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365c8e025e4d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정산현황" sheetId="1" r:id="Rf53defb60c0d47b3"/>
    <x:sheet xmlns:r="http://schemas.openxmlformats.org/officeDocument/2006/relationships" name="입고대장" sheetId="2" r:id="Rf4182e592ee54631"/>
    <x:sheet xmlns:r="http://schemas.openxmlformats.org/officeDocument/2006/relationships" name="출고대장" sheetId="3" r:id="Rf7022ca3e6a246f1"/>
    <x:sheet xmlns:r="http://schemas.openxmlformats.org/officeDocument/2006/relationships" name="입금대장" sheetId="4" r:id="R8cfc00f240e546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;[Red](#,##0);0"/>
    <x:numFmt numFmtId="202" formatCode="#,##0"/>
    <x:numFmt numFmtId="203" formatCode="yyyy-mm"/>
  </x:numFmts>
  <x:fonts count="6">
    <x:font>
      <x:sz val="11"/>
      <x:name val="Carlito"/>
    </x:font>
    <x:font>
      <x:sz val="11"/>
      <x:color rgb="FF252932"/>
      <x:name val="Arial"/>
    </x:font>
    <x:font>
      <x:b/>
      <x:sz val="16"/>
      <x:color rgb="FFB51235"/>
      <x:name val="Arial"/>
    </x:font>
    <x:font>
      <x:sz val="10"/>
      <x:color rgb="FF626B78"/>
      <x:name val="Arial"/>
    </x:font>
    <x:font>
      <x:b/>
      <x:sz val="11"/>
      <x:color rgb="FFFFFFFF"/>
      <x:name val="Arial"/>
    </x:font>
    <x:font>
      <x:b/>
      <x:sz val="11"/>
      <x:color rgb="FFB51235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353B46"/>
      </x:patternFill>
    </x:fill>
    <x:fill>
      <x:patternFill patternType="solid">
        <x:fgColor rgb="FFFFFFFF"/>
      </x:patternFill>
    </x:fill>
    <x:fill>
      <x:patternFill patternType="solid">
        <x:fgColor rgb="FFEEF2F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202" fontId="1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41c193f641469c" /><Relationship Type="http://schemas.openxmlformats.org/officeDocument/2006/relationships/theme" Target="/xl/theme/theme1.xml" Id="Rca8019383bde44f5" /><Relationship Type="http://schemas.openxmlformats.org/officeDocument/2006/relationships/sharedStrings" Target="/xl/sharedStrings.xml" Id="Rf57929c822344585" /><Relationship Type="http://schemas.openxmlformats.org/officeDocument/2006/relationships/worksheet" Target="/xl/worksheets/sheet1.xml" Id="Rf53defb60c0d47b3" /><Relationship Type="http://schemas.openxmlformats.org/officeDocument/2006/relationships/worksheet" Target="/xl/worksheets/sheet2.xml" Id="Rf4182e592ee54631" /><Relationship Type="http://schemas.openxmlformats.org/officeDocument/2006/relationships/worksheet" Target="/xl/worksheets/sheet3.xml" Id="Rf7022ca3e6a246f1" /><Relationship Type="http://schemas.openxmlformats.org/officeDocument/2006/relationships/worksheet" Target="/xl/worksheets/sheet4.xml" Id="R8cfc00f240e546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3" customHeight="1">
      <x:c r="A2" s="3" t="str">
        <x:v>서울마우스 입출고 정산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3" customHeight="1">
      <x:c r="A3" s="2" t="str">
        <x:v>조회 시점: 내려받을 때 표시됩니다.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3" customHeight="1">
      <x:c r="A4" s="2" t="str">
        <x:v>월별 집계 연도</x:v>
      </x:c>
      <x:c r="B4" s="2" t="n">
        <x:v>2026</x:v>
      </x:c>
      <x:c r="C4" s="2"/>
      <x:c r="D4" s="2" t="str">
        <x:v>전체 저장자료 중 삭제 입고·취소 입금은 합계에서 제외합니다.</x:v>
      </x:c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3" customHeight="1">
      <x:c r="A5" s="2"/>
      <x:c r="B5" s="2"/>
      <x:c r="C5" s="2"/>
      <x:c r="D5" s="2" t="str">
        <x:v>미수금과 선입금·초과입금을 서로 상계하지 않습니다.</x:v>
      </x:c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23" customHeight="1">
      <x:c r="A6" s="15" t="str">
        <x:v>전체 현황</x:v>
      </x:c>
      <x:c r="B6" s="15" t="str">
        <x:v>수량 / 원</x:v>
      </x:c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ht="23" customHeight="1">
      <x:c r="A7" s="2" t="str">
        <x:v>입고 수량</x:v>
      </x:c>
      <x:c r="B7" s="16" t="n">
        <x:f>SUMIFS('입고대장'!$F$7:$F$1006,'입고대장'!$M$7:$M$1006,"정상")</x:f>
        <x:v>0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 ht="23" customHeight="1">
      <x:c r="A8" s="2" t="str">
        <x:v>출고 수량</x:v>
      </x:c>
      <x:c r="B8" s="16" t="n">
        <x:f>SUMIFS('입고대장'!$G$7:$G$1006,'입고대장'!$M$7:$M$1006,"정상")</x:f>
        <x:v>0</x:v>
      </x:c>
      <x:c r="C8" s="2"/>
      <x:c r="D8" s="4" t="str">
        <x:v>수정은 홈페이지 관리자에서 합니다.</x:v>
      </x:c>
      <x:c r="E8" s="2"/>
      <x:c r="F8" s="2"/>
      <x:c r="G8" s="2"/>
      <x:c r="H8" s="2"/>
      <x:c r="I8" s="2"/>
      <x:c r="J8" s="2"/>
      <x:c r="K8" s="2"/>
      <x:c r="L8" s="2"/>
      <x:c r="M8" s="2"/>
      <x:c r="N8" s="2"/>
    </x:row>
    <x:row r="9" ht="23" customHeight="1">
      <x:c r="A9" s="2" t="str">
        <x:v>미출고 수량</x:v>
      </x:c>
      <x:c r="B9" s="16" t="n">
        <x:f>SUMIFS('입고대장'!$H$7:$H$1006,'입고대장'!$M$7:$M$1006,"정상")</x:f>
        <x:v>0</x:v>
      </x:c>
      <x:c r="C9" s="2"/>
      <x:c r="D9" s="4" t="str">
        <x:v>엑셀 파일은 내려받은 시점의 사본입니다.</x:v>
      </x:c>
      <x:c r="E9" s="2"/>
      <x:c r="F9" s="2"/>
      <x:c r="G9" s="2"/>
      <x:c r="H9" s="2"/>
      <x:c r="I9" s="2"/>
      <x:c r="J9" s="2"/>
      <x:c r="K9" s="2"/>
      <x:c r="L9" s="2"/>
      <x:c r="M9" s="2"/>
      <x:c r="N9" s="2"/>
    </x:row>
    <x:row r="10" ht="23" customHeight="1">
      <x:c r="A10" s="2" t="str">
        <x:v>청구액 합계</x:v>
      </x:c>
      <x:c r="B10" s="16" t="n">
        <x:f>SUMIFS('입고대장'!$I$7:$I$1006,'입고대장'!$M$7:$M$1006,"정상")</x:f>
        <x:v>0</x:v>
      </x:c>
      <x:c r="C10" s="2"/>
      <x:c r="D10" s="4" t="str">
        <x:v>삭제·취소 기록은 각 대장에 상태와 함께 남습니다.</x:v>
      </x:c>
      <x:c r="E10" s="2"/>
      <x:c r="F10" s="2"/>
      <x:c r="G10" s="2"/>
      <x:c r="H10" s="2"/>
      <x:c r="I10" s="2"/>
      <x:c r="J10" s="2"/>
      <x:c r="K10" s="2"/>
      <x:c r="L10" s="2"/>
      <x:c r="M10" s="2"/>
      <x:c r="N10" s="2"/>
    </x:row>
    <x:row r="11" ht="23" customHeight="1">
      <x:c r="A11" s="2" t="str">
        <x:v>입금액 합계</x:v>
      </x:c>
      <x:c r="B11" s="16" t="n">
        <x:f>SUMIFS('입고대장'!$J$7:$J$1006,'입고대장'!$M$7:$M$1006,"정상")</x:f>
        <x:v>0</x:v>
      </x:c>
      <x:c r="C11" s="2"/>
      <x:c r="D11" s="4" t="str">
        <x:v>각 대장 최대 1,000건. 초과 시 다운로드를 중단합니다.</x:v>
      </x:c>
      <x:c r="E11" s="2"/>
      <x:c r="F11" s="2"/>
      <x:c r="G11" s="2"/>
      <x:c r="H11" s="2"/>
      <x:c r="I11" s="2"/>
      <x:c r="J11" s="2"/>
      <x:c r="K11" s="2"/>
      <x:c r="L11" s="2"/>
      <x:c r="M11" s="2"/>
      <x:c r="N11" s="2"/>
    </x:row>
    <x:row r="12" ht="23" customHeight="1">
      <x:c r="A12" s="17" t="str">
        <x:v>미수금</x:v>
      </x:c>
      <x:c r="B12" s="18" t="n">
        <x:f>SUMIFS('입고대장'!$K$7:$K$1006,'입고대장'!$M$7:$M$1006,"정상",'입고대장'!$K$7:$K$1006,"&gt;0")</x:f>
        <x:v>0</x:v>
      </x:c>
      <x:c r="C12" s="2"/>
      <x:c r="D12" s="4" t="str">
        <x:v>입금은 직접 확인한 기록이며 은행 자동 조회가 아닙니다.</x:v>
      </x:c>
      <x:c r="E12" s="2"/>
      <x:c r="F12" s="2"/>
      <x:c r="G12" s="2"/>
      <x:c r="H12" s="2"/>
      <x:c r="I12" s="2"/>
      <x:c r="J12" s="2"/>
      <x:c r="K12" s="2"/>
      <x:c r="L12" s="2"/>
      <x:c r="M12" s="2"/>
      <x:c r="N12" s="2"/>
    </x:row>
    <x:row r="13" ht="23" customHeight="1">
      <x:c r="A13" s="2" t="str">
        <x:v>선입금·초과입금</x:v>
      </x:c>
      <x:c r="B13" s="16" t="n">
        <x:f>-SUMIFS('입고대장'!$K$7:$K$1006,'입고대장'!$M$7:$M$1006,"정상",'입고대장'!$K$7:$K$1006,"&lt;0")</x:f>
        <x:v>0</x:v>
      </x:c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</x:row>
    <x:row r="14" ht="23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 ht="23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 ht="34" customHeight="1">
      <x:c r="A16" s="15" t="str">
        <x:v>월</x:v>
      </x:c>
      <x:c r="B16" s="15" t="str">
        <x:v>입고 수량</x:v>
      </x:c>
      <x:c r="C16" s="15" t="str">
        <x:v>출고 수량</x:v>
      </x:c>
      <x:c r="D16" s="15" t="str">
        <x:v>청구액</x:v>
      </x:c>
      <x:c r="E16" s="15" t="str">
        <x:v>입금액</x:v>
      </x:c>
      <x:c r="F16" s="15" t="str">
        <x:v>누적 청구−입금</x:v>
      </x:c>
      <x:c r="G16" s="2"/>
      <x:c r="H16" s="2"/>
      <x:c r="I16" s="2"/>
      <x:c r="J16" s="2"/>
      <x:c r="K16" s="2"/>
      <x:c r="L16" s="2"/>
      <x:c r="M16" s="2"/>
      <x:c r="N16" s="2"/>
    </x:row>
    <x:row r="17" ht="23" customHeight="1">
      <x:c r="A17" s="19" t="n">
        <x:f>DATE($B$4,1,1)</x:f>
        <x:v>46023</x:v>
      </x:c>
      <x:c r="B17" s="20" t="n">
        <x:f>SUMIFS('입고대장'!$F$7:$F$1006,'입고대장'!$B$7:$B$1006,"&gt;="&amp;A17,'입고대장'!$B$7:$B$1006,"&lt;"&amp;DATE(YEAR(A17),MONTH(A17)+1,1),'입고대장'!$M$7:$M$1006,"정상")</x:f>
        <x:v>0</x:v>
      </x:c>
      <x:c r="C17" s="20" t="n">
        <x:f>SUMIFS('출고대장'!$D$7:$D$1006,'출고대장'!$B$7:$B$1006,"&gt;="&amp;A17,'출고대장'!$B$7:$B$1006,"&lt;"&amp;DATE(YEAR(A17),MONTH(A17)+1,1),'출고대장'!$M$7:$M$1006,"정상")</x:f>
        <x:v>0</x:v>
      </x:c>
      <x:c r="D17" s="20" t="n">
        <x:f>SUMIFS('출고대장'!$K$7:$K$1006,'출고대장'!$B$7:$B$1006,"&gt;="&amp;A17,'출고대장'!$B$7:$B$1006,"&lt;"&amp;DATE(YEAR(A17),MONTH(A17)+1,1),'출고대장'!$M$7:$M$1006,"정상")</x:f>
        <x:v>0</x:v>
      </x:c>
      <x:c r="E17" s="20" t="n">
        <x:f>SUMIFS('입금대장'!$C$7:$C$1006,'입금대장'!$B$7:$B$1006,"&gt;="&amp;A17,'입금대장'!$B$7:$B$1006,"&lt;"&amp;DATE(YEAR(A17),MONTH(A17)+1,1),'입금대장'!$E$7:$E$1006,"정상",'입금대장'!$G$7:$G$1006,"정상")</x:f>
        <x:v>0</x:v>
      </x:c>
      <x:c r="F17" s="20" t="n">
        <x:f>SUMIFS('출고대장'!$K$7:$K$1006,'출고대장'!$B$7:$B$1006,"&lt;"&amp;DATE(YEAR(A17),MONTH(A17)+1,1),'출고대장'!$M$7:$M$1006,"정상")-SUMIFS('입금대장'!$C$7:$C$1006,'입금대장'!$B$7:$B$1006,"&lt;"&amp;DATE(YEAR(A17),MONTH(A17)+1,1),'입금대장'!$E$7:$E$1006,"정상",'입금대장'!$G$7:$G$1006,"정상")</x:f>
        <x:v>0</x:v>
      </x:c>
      <x:c r="G17" s="2"/>
      <x:c r="H17" s="2"/>
      <x:c r="I17" s="2"/>
      <x:c r="J17" s="2"/>
      <x:c r="K17" s="2"/>
      <x:c r="L17" s="2"/>
      <x:c r="M17" s="2"/>
      <x:c r="N17" s="2"/>
    </x:row>
    <x:row r="18" ht="23" customHeight="1">
      <x:c r="A18" s="19" t="n">
        <x:f>DATE($B$4,2,1)</x:f>
        <x:v>46054</x:v>
      </x:c>
      <x:c r="B18" s="20" t="n">
        <x:f>SUMIFS('입고대장'!$F$7:$F$1006,'입고대장'!$B$7:$B$1006,"&gt;="&amp;A18,'입고대장'!$B$7:$B$1006,"&lt;"&amp;DATE(YEAR(A18),MONTH(A18)+1,1),'입고대장'!$M$7:$M$1006,"정상")</x:f>
        <x:v>0</x:v>
      </x:c>
      <x:c r="C18" s="20" t="n">
        <x:f>SUMIFS('출고대장'!$D$7:$D$1006,'출고대장'!$B$7:$B$1006,"&gt;="&amp;A18,'출고대장'!$B$7:$B$1006,"&lt;"&amp;DATE(YEAR(A18),MONTH(A18)+1,1),'출고대장'!$M$7:$M$1006,"정상")</x:f>
        <x:v>0</x:v>
      </x:c>
      <x:c r="D18" s="20" t="n">
        <x:f>SUMIFS('출고대장'!$K$7:$K$1006,'출고대장'!$B$7:$B$1006,"&gt;="&amp;A18,'출고대장'!$B$7:$B$1006,"&lt;"&amp;DATE(YEAR(A18),MONTH(A18)+1,1),'출고대장'!$M$7:$M$1006,"정상")</x:f>
        <x:v>0</x:v>
      </x:c>
      <x:c r="E18" s="20" t="n">
        <x:f>SUMIFS('입금대장'!$C$7:$C$1006,'입금대장'!$B$7:$B$1006,"&gt;="&amp;A18,'입금대장'!$B$7:$B$1006,"&lt;"&amp;DATE(YEAR(A18),MONTH(A18)+1,1),'입금대장'!$E$7:$E$1006,"정상",'입금대장'!$G$7:$G$1006,"정상")</x:f>
        <x:v>0</x:v>
      </x:c>
      <x:c r="F18" s="20" t="n">
        <x:f>SUMIFS('출고대장'!$K$7:$K$1006,'출고대장'!$B$7:$B$1006,"&lt;"&amp;DATE(YEAR(A18),MONTH(A18)+1,1),'출고대장'!$M$7:$M$1006,"정상")-SUMIFS('입금대장'!$C$7:$C$1006,'입금대장'!$B$7:$B$1006,"&lt;"&amp;DATE(YEAR(A18),MONTH(A18)+1,1),'입금대장'!$E$7:$E$1006,"정상",'입금대장'!$G$7:$G$1006,"정상")</x:f>
        <x:v>0</x:v>
      </x:c>
      <x:c r="G18" s="2"/>
      <x:c r="H18" s="2"/>
      <x:c r="I18" s="2"/>
      <x:c r="J18" s="2"/>
      <x:c r="K18" s="2"/>
      <x:c r="L18" s="2"/>
      <x:c r="M18" s="2"/>
      <x:c r="N18" s="2"/>
    </x:row>
    <x:row r="19" ht="23" customHeight="1">
      <x:c r="A19" s="19" t="n">
        <x:f>DATE($B$4,3,1)</x:f>
        <x:v>46082</x:v>
      </x:c>
      <x:c r="B19" s="20" t="n">
        <x:f>SUMIFS('입고대장'!$F$7:$F$1006,'입고대장'!$B$7:$B$1006,"&gt;="&amp;A19,'입고대장'!$B$7:$B$1006,"&lt;"&amp;DATE(YEAR(A19),MONTH(A19)+1,1),'입고대장'!$M$7:$M$1006,"정상")</x:f>
        <x:v>0</x:v>
      </x:c>
      <x:c r="C19" s="20" t="n">
        <x:f>SUMIFS('출고대장'!$D$7:$D$1006,'출고대장'!$B$7:$B$1006,"&gt;="&amp;A19,'출고대장'!$B$7:$B$1006,"&lt;"&amp;DATE(YEAR(A19),MONTH(A19)+1,1),'출고대장'!$M$7:$M$1006,"정상")</x:f>
        <x:v>0</x:v>
      </x:c>
      <x:c r="D19" s="20" t="n">
        <x:f>SUMIFS('출고대장'!$K$7:$K$1006,'출고대장'!$B$7:$B$1006,"&gt;="&amp;A19,'출고대장'!$B$7:$B$1006,"&lt;"&amp;DATE(YEAR(A19),MONTH(A19)+1,1),'출고대장'!$M$7:$M$1006,"정상")</x:f>
        <x:v>0</x:v>
      </x:c>
      <x:c r="E19" s="20" t="n">
        <x:f>SUMIFS('입금대장'!$C$7:$C$1006,'입금대장'!$B$7:$B$1006,"&gt;="&amp;A19,'입금대장'!$B$7:$B$1006,"&lt;"&amp;DATE(YEAR(A19),MONTH(A19)+1,1),'입금대장'!$E$7:$E$1006,"정상",'입금대장'!$G$7:$G$1006,"정상")</x:f>
        <x:v>0</x:v>
      </x:c>
      <x:c r="F19" s="20" t="n">
        <x:f>SUMIFS('출고대장'!$K$7:$K$1006,'출고대장'!$B$7:$B$1006,"&lt;"&amp;DATE(YEAR(A19),MONTH(A19)+1,1),'출고대장'!$M$7:$M$1006,"정상")-SUMIFS('입금대장'!$C$7:$C$1006,'입금대장'!$B$7:$B$1006,"&lt;"&amp;DATE(YEAR(A19),MONTH(A19)+1,1),'입금대장'!$E$7:$E$1006,"정상",'입금대장'!$G$7:$G$1006,"정상")</x:f>
        <x:v>0</x:v>
      </x:c>
      <x:c r="G19" s="2"/>
      <x:c r="H19" s="2"/>
      <x:c r="I19" s="2"/>
      <x:c r="J19" s="2"/>
      <x:c r="K19" s="2"/>
      <x:c r="L19" s="2"/>
      <x:c r="M19" s="2"/>
      <x:c r="N19" s="2"/>
    </x:row>
    <x:row r="20" ht="23" customHeight="1">
      <x:c r="A20" s="19" t="n">
        <x:f>DATE($B$4,4,1)</x:f>
        <x:v>46113</x:v>
      </x:c>
      <x:c r="B20" s="20" t="n">
        <x:f>SUMIFS('입고대장'!$F$7:$F$1006,'입고대장'!$B$7:$B$1006,"&gt;="&amp;A20,'입고대장'!$B$7:$B$1006,"&lt;"&amp;DATE(YEAR(A20),MONTH(A20)+1,1),'입고대장'!$M$7:$M$1006,"정상")</x:f>
        <x:v>0</x:v>
      </x:c>
      <x:c r="C20" s="20" t="n">
        <x:f>SUMIFS('출고대장'!$D$7:$D$1006,'출고대장'!$B$7:$B$1006,"&gt;="&amp;A20,'출고대장'!$B$7:$B$1006,"&lt;"&amp;DATE(YEAR(A20),MONTH(A20)+1,1),'출고대장'!$M$7:$M$1006,"정상")</x:f>
        <x:v>0</x:v>
      </x:c>
      <x:c r="D20" s="20" t="n">
        <x:f>SUMIFS('출고대장'!$K$7:$K$1006,'출고대장'!$B$7:$B$1006,"&gt;="&amp;A20,'출고대장'!$B$7:$B$1006,"&lt;"&amp;DATE(YEAR(A20),MONTH(A20)+1,1),'출고대장'!$M$7:$M$1006,"정상")</x:f>
        <x:v>0</x:v>
      </x:c>
      <x:c r="E20" s="20" t="n">
        <x:f>SUMIFS('입금대장'!$C$7:$C$1006,'입금대장'!$B$7:$B$1006,"&gt;="&amp;A20,'입금대장'!$B$7:$B$1006,"&lt;"&amp;DATE(YEAR(A20),MONTH(A20)+1,1),'입금대장'!$E$7:$E$1006,"정상",'입금대장'!$G$7:$G$1006,"정상")</x:f>
        <x:v>0</x:v>
      </x:c>
      <x:c r="F20" s="20" t="n">
        <x:f>SUMIFS('출고대장'!$K$7:$K$1006,'출고대장'!$B$7:$B$1006,"&lt;"&amp;DATE(YEAR(A20),MONTH(A20)+1,1),'출고대장'!$M$7:$M$1006,"정상")-SUMIFS('입금대장'!$C$7:$C$1006,'입금대장'!$B$7:$B$1006,"&lt;"&amp;DATE(YEAR(A20),MONTH(A20)+1,1),'입금대장'!$E$7:$E$1006,"정상",'입금대장'!$G$7:$G$1006,"정상")</x:f>
        <x:v>0</x:v>
      </x:c>
      <x:c r="G20" s="2"/>
      <x:c r="H20" s="2"/>
      <x:c r="I20" s="2"/>
      <x:c r="J20" s="2"/>
      <x:c r="K20" s="2"/>
      <x:c r="L20" s="2"/>
      <x:c r="M20" s="2"/>
      <x:c r="N20" s="2"/>
    </x:row>
    <x:row r="21" ht="23" customHeight="1">
      <x:c r="A21" s="19" t="n">
        <x:f>DATE($B$4,5,1)</x:f>
        <x:v>46143</x:v>
      </x:c>
      <x:c r="B21" s="20" t="n">
        <x:f>SUMIFS('입고대장'!$F$7:$F$1006,'입고대장'!$B$7:$B$1006,"&gt;="&amp;A21,'입고대장'!$B$7:$B$1006,"&lt;"&amp;DATE(YEAR(A21),MONTH(A21)+1,1),'입고대장'!$M$7:$M$1006,"정상")</x:f>
        <x:v>0</x:v>
      </x:c>
      <x:c r="C21" s="20" t="n">
        <x:f>SUMIFS('출고대장'!$D$7:$D$1006,'출고대장'!$B$7:$B$1006,"&gt;="&amp;A21,'출고대장'!$B$7:$B$1006,"&lt;"&amp;DATE(YEAR(A21),MONTH(A21)+1,1),'출고대장'!$M$7:$M$1006,"정상")</x:f>
        <x:v>0</x:v>
      </x:c>
      <x:c r="D21" s="20" t="n">
        <x:f>SUMIFS('출고대장'!$K$7:$K$1006,'출고대장'!$B$7:$B$1006,"&gt;="&amp;A21,'출고대장'!$B$7:$B$1006,"&lt;"&amp;DATE(YEAR(A21),MONTH(A21)+1,1),'출고대장'!$M$7:$M$1006,"정상")</x:f>
        <x:v>0</x:v>
      </x:c>
      <x:c r="E21" s="20" t="n">
        <x:f>SUMIFS('입금대장'!$C$7:$C$1006,'입금대장'!$B$7:$B$1006,"&gt;="&amp;A21,'입금대장'!$B$7:$B$1006,"&lt;"&amp;DATE(YEAR(A21),MONTH(A21)+1,1),'입금대장'!$E$7:$E$1006,"정상",'입금대장'!$G$7:$G$1006,"정상")</x:f>
        <x:v>0</x:v>
      </x:c>
      <x:c r="F21" s="20" t="n">
        <x:f>SUMIFS('출고대장'!$K$7:$K$1006,'출고대장'!$B$7:$B$1006,"&lt;"&amp;DATE(YEAR(A21),MONTH(A21)+1,1),'출고대장'!$M$7:$M$1006,"정상")-SUMIFS('입금대장'!$C$7:$C$1006,'입금대장'!$B$7:$B$1006,"&lt;"&amp;DATE(YEAR(A21),MONTH(A21)+1,1),'입금대장'!$E$7:$E$1006,"정상",'입금대장'!$G$7:$G$1006,"정상")</x:f>
        <x:v>0</x:v>
      </x:c>
      <x:c r="G21" s="2"/>
      <x:c r="H21" s="2"/>
      <x:c r="I21" s="2"/>
      <x:c r="J21" s="2"/>
      <x:c r="K21" s="2"/>
      <x:c r="L21" s="2"/>
      <x:c r="M21" s="2"/>
      <x:c r="N21" s="2"/>
    </x:row>
    <x:row r="22" ht="23" customHeight="1">
      <x:c r="A22" s="19" t="n">
        <x:f>DATE($B$4,6,1)</x:f>
        <x:v>46174</x:v>
      </x:c>
      <x:c r="B22" s="20" t="n">
        <x:f>SUMIFS('입고대장'!$F$7:$F$1006,'입고대장'!$B$7:$B$1006,"&gt;="&amp;A22,'입고대장'!$B$7:$B$1006,"&lt;"&amp;DATE(YEAR(A22),MONTH(A22)+1,1),'입고대장'!$M$7:$M$1006,"정상")</x:f>
        <x:v>0</x:v>
      </x:c>
      <x:c r="C22" s="20" t="n">
        <x:f>SUMIFS('출고대장'!$D$7:$D$1006,'출고대장'!$B$7:$B$1006,"&gt;="&amp;A22,'출고대장'!$B$7:$B$1006,"&lt;"&amp;DATE(YEAR(A22),MONTH(A22)+1,1),'출고대장'!$M$7:$M$1006,"정상")</x:f>
        <x:v>0</x:v>
      </x:c>
      <x:c r="D22" s="20" t="n">
        <x:f>SUMIFS('출고대장'!$K$7:$K$1006,'출고대장'!$B$7:$B$1006,"&gt;="&amp;A22,'출고대장'!$B$7:$B$1006,"&lt;"&amp;DATE(YEAR(A22),MONTH(A22)+1,1),'출고대장'!$M$7:$M$1006,"정상")</x:f>
        <x:v>0</x:v>
      </x:c>
      <x:c r="E22" s="20" t="n">
        <x:f>SUMIFS('입금대장'!$C$7:$C$1006,'입금대장'!$B$7:$B$1006,"&gt;="&amp;A22,'입금대장'!$B$7:$B$1006,"&lt;"&amp;DATE(YEAR(A22),MONTH(A22)+1,1),'입금대장'!$E$7:$E$1006,"정상",'입금대장'!$G$7:$G$1006,"정상")</x:f>
        <x:v>0</x:v>
      </x:c>
      <x:c r="F22" s="20" t="n">
        <x:f>SUMIFS('출고대장'!$K$7:$K$1006,'출고대장'!$B$7:$B$1006,"&lt;"&amp;DATE(YEAR(A22),MONTH(A22)+1,1),'출고대장'!$M$7:$M$1006,"정상")-SUMIFS('입금대장'!$C$7:$C$1006,'입금대장'!$B$7:$B$1006,"&lt;"&amp;DATE(YEAR(A22),MONTH(A22)+1,1),'입금대장'!$E$7:$E$1006,"정상",'입금대장'!$G$7:$G$1006,"정상")</x:f>
        <x:v>0</x:v>
      </x:c>
      <x:c r="G22" s="2"/>
      <x:c r="H22" s="2"/>
      <x:c r="I22" s="2"/>
      <x:c r="J22" s="2"/>
      <x:c r="K22" s="2"/>
      <x:c r="L22" s="2"/>
      <x:c r="M22" s="2"/>
      <x:c r="N22" s="2"/>
    </x:row>
    <x:row r="23" ht="23" customHeight="1">
      <x:c r="A23" s="19" t="n">
        <x:f>DATE($B$4,7,1)</x:f>
        <x:v>46204</x:v>
      </x:c>
      <x:c r="B23" s="20" t="n">
        <x:f>SUMIFS('입고대장'!$F$7:$F$1006,'입고대장'!$B$7:$B$1006,"&gt;="&amp;A23,'입고대장'!$B$7:$B$1006,"&lt;"&amp;DATE(YEAR(A23),MONTH(A23)+1,1),'입고대장'!$M$7:$M$1006,"정상")</x:f>
        <x:v>0</x:v>
      </x:c>
      <x:c r="C23" s="20" t="n">
        <x:f>SUMIFS('출고대장'!$D$7:$D$1006,'출고대장'!$B$7:$B$1006,"&gt;="&amp;A23,'출고대장'!$B$7:$B$1006,"&lt;"&amp;DATE(YEAR(A23),MONTH(A23)+1,1),'출고대장'!$M$7:$M$1006,"정상")</x:f>
        <x:v>0</x:v>
      </x:c>
      <x:c r="D23" s="20" t="n">
        <x:f>SUMIFS('출고대장'!$K$7:$K$1006,'출고대장'!$B$7:$B$1006,"&gt;="&amp;A23,'출고대장'!$B$7:$B$1006,"&lt;"&amp;DATE(YEAR(A23),MONTH(A23)+1,1),'출고대장'!$M$7:$M$1006,"정상")</x:f>
        <x:v>0</x:v>
      </x:c>
      <x:c r="E23" s="20" t="n">
        <x:f>SUMIFS('입금대장'!$C$7:$C$1006,'입금대장'!$B$7:$B$1006,"&gt;="&amp;A23,'입금대장'!$B$7:$B$1006,"&lt;"&amp;DATE(YEAR(A23),MONTH(A23)+1,1),'입금대장'!$E$7:$E$1006,"정상",'입금대장'!$G$7:$G$1006,"정상")</x:f>
        <x:v>0</x:v>
      </x:c>
      <x:c r="F23" s="20" t="n">
        <x:f>SUMIFS('출고대장'!$K$7:$K$1006,'출고대장'!$B$7:$B$1006,"&lt;"&amp;DATE(YEAR(A23),MONTH(A23)+1,1),'출고대장'!$M$7:$M$1006,"정상")-SUMIFS('입금대장'!$C$7:$C$1006,'입금대장'!$B$7:$B$1006,"&lt;"&amp;DATE(YEAR(A23),MONTH(A23)+1,1),'입금대장'!$E$7:$E$1006,"정상",'입금대장'!$G$7:$G$1006,"정상")</x:f>
        <x:v>0</x:v>
      </x:c>
      <x:c r="G23" s="2"/>
      <x:c r="H23" s="2"/>
      <x:c r="I23" s="2"/>
      <x:c r="J23" s="2"/>
      <x:c r="K23" s="2"/>
      <x:c r="L23" s="2"/>
      <x:c r="M23" s="2"/>
      <x:c r="N23" s="2"/>
    </x:row>
    <x:row r="24" ht="23" customHeight="1">
      <x:c r="A24" s="19" t="n">
        <x:f>DATE($B$4,8,1)</x:f>
        <x:v>46235</x:v>
      </x:c>
      <x:c r="B24" s="20" t="n">
        <x:f>SUMIFS('입고대장'!$F$7:$F$1006,'입고대장'!$B$7:$B$1006,"&gt;="&amp;A24,'입고대장'!$B$7:$B$1006,"&lt;"&amp;DATE(YEAR(A24),MONTH(A24)+1,1),'입고대장'!$M$7:$M$1006,"정상")</x:f>
        <x:v>0</x:v>
      </x:c>
      <x:c r="C24" s="20" t="n">
        <x:f>SUMIFS('출고대장'!$D$7:$D$1006,'출고대장'!$B$7:$B$1006,"&gt;="&amp;A24,'출고대장'!$B$7:$B$1006,"&lt;"&amp;DATE(YEAR(A24),MONTH(A24)+1,1),'출고대장'!$M$7:$M$1006,"정상")</x:f>
        <x:v>0</x:v>
      </x:c>
      <x:c r="D24" s="20" t="n">
        <x:f>SUMIFS('출고대장'!$K$7:$K$1006,'출고대장'!$B$7:$B$1006,"&gt;="&amp;A24,'출고대장'!$B$7:$B$1006,"&lt;"&amp;DATE(YEAR(A24),MONTH(A24)+1,1),'출고대장'!$M$7:$M$1006,"정상")</x:f>
        <x:v>0</x:v>
      </x:c>
      <x:c r="E24" s="20" t="n">
        <x:f>SUMIFS('입금대장'!$C$7:$C$1006,'입금대장'!$B$7:$B$1006,"&gt;="&amp;A24,'입금대장'!$B$7:$B$1006,"&lt;"&amp;DATE(YEAR(A24),MONTH(A24)+1,1),'입금대장'!$E$7:$E$1006,"정상",'입금대장'!$G$7:$G$1006,"정상")</x:f>
        <x:v>0</x:v>
      </x:c>
      <x:c r="F24" s="20" t="n">
        <x:f>SUMIFS('출고대장'!$K$7:$K$1006,'출고대장'!$B$7:$B$1006,"&lt;"&amp;DATE(YEAR(A24),MONTH(A24)+1,1),'출고대장'!$M$7:$M$1006,"정상")-SUMIFS('입금대장'!$C$7:$C$1006,'입금대장'!$B$7:$B$1006,"&lt;"&amp;DATE(YEAR(A24),MONTH(A24)+1,1),'입금대장'!$E$7:$E$1006,"정상",'입금대장'!$G$7:$G$1006,"정상")</x:f>
        <x:v>0</x:v>
      </x:c>
      <x:c r="G24" s="2"/>
      <x:c r="H24" s="2"/>
      <x:c r="I24" s="2"/>
      <x:c r="J24" s="2"/>
      <x:c r="K24" s="2"/>
      <x:c r="L24" s="2"/>
      <x:c r="M24" s="2"/>
      <x:c r="N24" s="2"/>
    </x:row>
    <x:row r="25" ht="23" customHeight="1">
      <x:c r="A25" s="19" t="n">
        <x:f>DATE($B$4,9,1)</x:f>
        <x:v>46266</x:v>
      </x:c>
      <x:c r="B25" s="20" t="n">
        <x:f>SUMIFS('입고대장'!$F$7:$F$1006,'입고대장'!$B$7:$B$1006,"&gt;="&amp;A25,'입고대장'!$B$7:$B$1006,"&lt;"&amp;DATE(YEAR(A25),MONTH(A25)+1,1),'입고대장'!$M$7:$M$1006,"정상")</x:f>
        <x:v>0</x:v>
      </x:c>
      <x:c r="C25" s="20" t="n">
        <x:f>SUMIFS('출고대장'!$D$7:$D$1006,'출고대장'!$B$7:$B$1006,"&gt;="&amp;A25,'출고대장'!$B$7:$B$1006,"&lt;"&amp;DATE(YEAR(A25),MONTH(A25)+1,1),'출고대장'!$M$7:$M$1006,"정상")</x:f>
        <x:v>0</x:v>
      </x:c>
      <x:c r="D25" s="20" t="n">
        <x:f>SUMIFS('출고대장'!$K$7:$K$1006,'출고대장'!$B$7:$B$1006,"&gt;="&amp;A25,'출고대장'!$B$7:$B$1006,"&lt;"&amp;DATE(YEAR(A25),MONTH(A25)+1,1),'출고대장'!$M$7:$M$1006,"정상")</x:f>
        <x:v>0</x:v>
      </x:c>
      <x:c r="E25" s="20" t="n">
        <x:f>SUMIFS('입금대장'!$C$7:$C$1006,'입금대장'!$B$7:$B$1006,"&gt;="&amp;A25,'입금대장'!$B$7:$B$1006,"&lt;"&amp;DATE(YEAR(A25),MONTH(A25)+1,1),'입금대장'!$E$7:$E$1006,"정상",'입금대장'!$G$7:$G$1006,"정상")</x:f>
        <x:v>0</x:v>
      </x:c>
      <x:c r="F25" s="20" t="n">
        <x:f>SUMIFS('출고대장'!$K$7:$K$1006,'출고대장'!$B$7:$B$1006,"&lt;"&amp;DATE(YEAR(A25),MONTH(A25)+1,1),'출고대장'!$M$7:$M$1006,"정상")-SUMIFS('입금대장'!$C$7:$C$1006,'입금대장'!$B$7:$B$1006,"&lt;"&amp;DATE(YEAR(A25),MONTH(A25)+1,1),'입금대장'!$E$7:$E$1006,"정상",'입금대장'!$G$7:$G$1006,"정상")</x:f>
        <x:v>0</x:v>
      </x:c>
      <x:c r="G25" s="2"/>
      <x:c r="H25" s="2"/>
      <x:c r="I25" s="2"/>
      <x:c r="J25" s="2"/>
      <x:c r="K25" s="2"/>
      <x:c r="L25" s="2"/>
      <x:c r="M25" s="2"/>
      <x:c r="N25" s="2"/>
    </x:row>
    <x:row r="26" ht="23" customHeight="1">
      <x:c r="A26" s="19" t="n">
        <x:f>DATE($B$4,10,1)</x:f>
        <x:v>46296</x:v>
      </x:c>
      <x:c r="B26" s="20" t="n">
        <x:f>SUMIFS('입고대장'!$F$7:$F$1006,'입고대장'!$B$7:$B$1006,"&gt;="&amp;A26,'입고대장'!$B$7:$B$1006,"&lt;"&amp;DATE(YEAR(A26),MONTH(A26)+1,1),'입고대장'!$M$7:$M$1006,"정상")</x:f>
        <x:v>0</x:v>
      </x:c>
      <x:c r="C26" s="20" t="n">
        <x:f>SUMIFS('출고대장'!$D$7:$D$1006,'출고대장'!$B$7:$B$1006,"&gt;="&amp;A26,'출고대장'!$B$7:$B$1006,"&lt;"&amp;DATE(YEAR(A26),MONTH(A26)+1,1),'출고대장'!$M$7:$M$1006,"정상")</x:f>
        <x:v>0</x:v>
      </x:c>
      <x:c r="D26" s="20" t="n">
        <x:f>SUMIFS('출고대장'!$K$7:$K$1006,'출고대장'!$B$7:$B$1006,"&gt;="&amp;A26,'출고대장'!$B$7:$B$1006,"&lt;"&amp;DATE(YEAR(A26),MONTH(A26)+1,1),'출고대장'!$M$7:$M$1006,"정상")</x:f>
        <x:v>0</x:v>
      </x:c>
      <x:c r="E26" s="20" t="n">
        <x:f>SUMIFS('입금대장'!$C$7:$C$1006,'입금대장'!$B$7:$B$1006,"&gt;="&amp;A26,'입금대장'!$B$7:$B$1006,"&lt;"&amp;DATE(YEAR(A26),MONTH(A26)+1,1),'입금대장'!$E$7:$E$1006,"정상",'입금대장'!$G$7:$G$1006,"정상")</x:f>
        <x:v>0</x:v>
      </x:c>
      <x:c r="F26" s="20" t="n">
        <x:f>SUMIFS('출고대장'!$K$7:$K$1006,'출고대장'!$B$7:$B$1006,"&lt;"&amp;DATE(YEAR(A26),MONTH(A26)+1,1),'출고대장'!$M$7:$M$1006,"정상")-SUMIFS('입금대장'!$C$7:$C$1006,'입금대장'!$B$7:$B$1006,"&lt;"&amp;DATE(YEAR(A26),MONTH(A26)+1,1),'입금대장'!$E$7:$E$1006,"정상",'입금대장'!$G$7:$G$1006,"정상")</x:f>
        <x:v>0</x:v>
      </x:c>
      <x:c r="G26" s="2"/>
      <x:c r="H26" s="2"/>
      <x:c r="I26" s="2"/>
      <x:c r="J26" s="2"/>
      <x:c r="K26" s="2"/>
      <x:c r="L26" s="2"/>
      <x:c r="M26" s="2"/>
      <x:c r="N26" s="2"/>
    </x:row>
    <x:row r="27" ht="23" customHeight="1">
      <x:c r="A27" s="19" t="n">
        <x:f>DATE($B$4,11,1)</x:f>
        <x:v>46327</x:v>
      </x:c>
      <x:c r="B27" s="20" t="n">
        <x:f>SUMIFS('입고대장'!$F$7:$F$1006,'입고대장'!$B$7:$B$1006,"&gt;="&amp;A27,'입고대장'!$B$7:$B$1006,"&lt;"&amp;DATE(YEAR(A27),MONTH(A27)+1,1),'입고대장'!$M$7:$M$1006,"정상")</x:f>
        <x:v>0</x:v>
      </x:c>
      <x:c r="C27" s="20" t="n">
        <x:f>SUMIFS('출고대장'!$D$7:$D$1006,'출고대장'!$B$7:$B$1006,"&gt;="&amp;A27,'출고대장'!$B$7:$B$1006,"&lt;"&amp;DATE(YEAR(A27),MONTH(A27)+1,1),'출고대장'!$M$7:$M$1006,"정상")</x:f>
        <x:v>0</x:v>
      </x:c>
      <x:c r="D27" s="20" t="n">
        <x:f>SUMIFS('출고대장'!$K$7:$K$1006,'출고대장'!$B$7:$B$1006,"&gt;="&amp;A27,'출고대장'!$B$7:$B$1006,"&lt;"&amp;DATE(YEAR(A27),MONTH(A27)+1,1),'출고대장'!$M$7:$M$1006,"정상")</x:f>
        <x:v>0</x:v>
      </x:c>
      <x:c r="E27" s="20" t="n">
        <x:f>SUMIFS('입금대장'!$C$7:$C$1006,'입금대장'!$B$7:$B$1006,"&gt;="&amp;A27,'입금대장'!$B$7:$B$1006,"&lt;"&amp;DATE(YEAR(A27),MONTH(A27)+1,1),'입금대장'!$E$7:$E$1006,"정상",'입금대장'!$G$7:$G$1006,"정상")</x:f>
        <x:v>0</x:v>
      </x:c>
      <x:c r="F27" s="20" t="n">
        <x:f>SUMIFS('출고대장'!$K$7:$K$1006,'출고대장'!$B$7:$B$1006,"&lt;"&amp;DATE(YEAR(A27),MONTH(A27)+1,1),'출고대장'!$M$7:$M$1006,"정상")-SUMIFS('입금대장'!$C$7:$C$1006,'입금대장'!$B$7:$B$1006,"&lt;"&amp;DATE(YEAR(A27),MONTH(A27)+1,1),'입금대장'!$E$7:$E$1006,"정상",'입금대장'!$G$7:$G$1006,"정상")</x:f>
        <x:v>0</x:v>
      </x:c>
      <x:c r="G27" s="2"/>
      <x:c r="H27" s="2"/>
      <x:c r="I27" s="2"/>
      <x:c r="J27" s="2"/>
      <x:c r="K27" s="2"/>
      <x:c r="L27" s="2"/>
      <x:c r="M27" s="2"/>
      <x:c r="N27" s="2"/>
    </x:row>
    <x:row r="28" ht="23" customHeight="1">
      <x:c r="A28" s="19" t="n">
        <x:f>DATE($B$4,12,1)</x:f>
        <x:v>46357</x:v>
      </x:c>
      <x:c r="B28" s="20" t="n">
        <x:f>SUMIFS('입고대장'!$F$7:$F$1006,'입고대장'!$B$7:$B$1006,"&gt;="&amp;A28,'입고대장'!$B$7:$B$1006,"&lt;"&amp;DATE(YEAR(A28),MONTH(A28)+1,1),'입고대장'!$M$7:$M$1006,"정상")</x:f>
        <x:v>0</x:v>
      </x:c>
      <x:c r="C28" s="20" t="n">
        <x:f>SUMIFS('출고대장'!$D$7:$D$1006,'출고대장'!$B$7:$B$1006,"&gt;="&amp;A28,'출고대장'!$B$7:$B$1006,"&lt;"&amp;DATE(YEAR(A28),MONTH(A28)+1,1),'출고대장'!$M$7:$M$1006,"정상")</x:f>
        <x:v>0</x:v>
      </x:c>
      <x:c r="D28" s="20" t="n">
        <x:f>SUMIFS('출고대장'!$K$7:$K$1006,'출고대장'!$B$7:$B$1006,"&gt;="&amp;A28,'출고대장'!$B$7:$B$1006,"&lt;"&amp;DATE(YEAR(A28),MONTH(A28)+1,1),'출고대장'!$M$7:$M$1006,"정상")</x:f>
        <x:v>0</x:v>
      </x:c>
      <x:c r="E28" s="20" t="n">
        <x:f>SUMIFS('입금대장'!$C$7:$C$1006,'입금대장'!$B$7:$B$1006,"&gt;="&amp;A28,'입금대장'!$B$7:$B$1006,"&lt;"&amp;DATE(YEAR(A28),MONTH(A28)+1,1),'입금대장'!$E$7:$E$1006,"정상",'입금대장'!$G$7:$G$1006,"정상")</x:f>
        <x:v>0</x:v>
      </x:c>
      <x:c r="F28" s="20" t="n">
        <x:f>SUMIFS('출고대장'!$K$7:$K$1006,'출고대장'!$B$7:$B$1006,"&lt;"&amp;DATE(YEAR(A28),MONTH(A28)+1,1),'출고대장'!$M$7:$M$1006,"정상")-SUMIFS('입금대장'!$C$7:$C$1006,'입금대장'!$B$7:$B$1006,"&lt;"&amp;DATE(YEAR(A28),MONTH(A28)+1,1),'입금대장'!$E$7:$E$1006,"정상",'입금대장'!$G$7:$G$1006,"정상")</x:f>
        <x:v>0</x:v>
      </x:c>
      <x:c r="G28" s="2"/>
      <x:c r="H28" s="2"/>
      <x:c r="I28" s="2"/>
      <x:c r="J28" s="2"/>
      <x:c r="K28" s="2"/>
      <x:c r="L28" s="2"/>
      <x:c r="M28" s="2"/>
      <x:c r="N28" s="2"/>
    </x:row>
    <x:row r="29" ht="23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 ht="23" customHeight="1">
      <x:c r="A30" s="4" t="str">
        <x:v>누적 차액은 월말까지의 청구−입금이며 거래처별 미수금 합계와 다를 수 있습니다.</x:v>
      </x:c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 ht="23" customHeight="1">
      <x:c r="A31" s="4" t="str">
        <x:v>원본: 서울마우스 관리자 서버의 입고·출고·입금 기록. 사진 원본과 로그인 정보는 포함하지 않습니다.</x:v>
      </x:c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 ht="23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 ht="23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 ht="23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 ht="23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 ht="23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 ht="23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 ht="23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 ht="23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 ht="23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 ht="23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 ht="23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 ht="23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 ht="23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 ht="23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 ht="23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 ht="23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 ht="23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 ht="23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 ht="23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 ht="23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 ht="23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 ht="23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 ht="23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 ht="23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 ht="23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 ht="23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 ht="23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 ht="23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 ht="23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  <x:row r="61" ht="23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</x:row>
    <x:row r="62" ht="23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</x:row>
    <x:row r="63" ht="23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</x:row>
    <x:row r="64" ht="23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  <x:row r="65" ht="23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</x:row>
    <x:row r="66" ht="23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</x:row>
    <x:row r="67" ht="23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</x:row>
    <x:row r="68" ht="23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</x:row>
    <x:row r="69" ht="23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</x:row>
    <x:row r="70" ht="23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</x:row>
    <x:row r="71" ht="23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</x:row>
    <x:row r="72" ht="23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</x:row>
    <x:row r="73" ht="23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</x:row>
    <x:row r="74" ht="23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</x:row>
    <x:row r="75" ht="23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</x:row>
    <x:row r="76" ht="23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</x:row>
    <x:row r="77" ht="23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</x:row>
    <x:row r="78" ht="23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</x:row>
    <x:row r="79" ht="23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  <x:row r="80" ht="23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</x:row>
    <x:row r="81" ht="23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</x:row>
    <x:row r="82" ht="23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</x:row>
    <x:row r="83" ht="23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</x:row>
    <x:row r="84" ht="23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</x:row>
    <x:row r="85" ht="23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</x:row>
    <x:row r="86" ht="23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</x:row>
    <x:row r="87" ht="23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</x:row>
    <x:row r="88" ht="23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</x:row>
    <x:row r="89" ht="23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</x:row>
    <x:row r="90" ht="23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</x:row>
    <x:row r="91" ht="23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</x:row>
    <x:row r="92" ht="23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</x:row>
    <x:row r="93" ht="23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</x:row>
    <x:row r="94" ht="23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</x:row>
    <x:row r="95" ht="23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</x:row>
    <x:row r="96" ht="23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</x:row>
    <x:row r="97" ht="23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</x:row>
    <x:row r="98" ht="23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</x:row>
    <x:row r="99" ht="23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</x:row>
    <x:row r="100" ht="23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</x:row>
    <x:row r="101" ht="23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</x:row>
    <x:row r="102" ht="23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</x:row>
    <x:row r="103" ht="23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</x:row>
    <x:row r="104" ht="23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</x:row>
    <x:row r="105" ht="23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</x:row>
    <x:row r="106" ht="23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</x:row>
    <x:row r="107" ht="23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</x:row>
    <x:row r="108" ht="23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</x:row>
    <x:row r="109" ht="23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</x:row>
    <x:row r="110" ht="23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</x:row>
    <x:row r="111" ht="23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</x:row>
    <x:row r="112" ht="23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</x:row>
    <x:row r="113" ht="23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</x:row>
    <x:row r="114" ht="23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</x:row>
    <x:row r="115" ht="23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</x:row>
    <x:row r="116" ht="23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</x:row>
    <x:row r="117" ht="23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</x:row>
    <x:row r="118" ht="23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</x:row>
    <x:row r="119" ht="23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</x:row>
    <x:row r="120" ht="23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</x:row>
    <x:row r="121" ht="23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</x:row>
    <x:row r="122" ht="23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</x:row>
    <x:row r="123" ht="23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</x:row>
    <x:row r="124" ht="23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</x:row>
    <x:row r="125" ht="23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</x:row>
    <x:row r="126" ht="23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</x:row>
    <x:row r="127" ht="23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</x:row>
    <x:row r="128" ht="23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</x:row>
    <x:row r="129" ht="23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</x:row>
    <x:row r="130" ht="23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</x:row>
    <x:row r="131" ht="23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</x:row>
    <x:row r="132" ht="23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</x:row>
    <x:row r="133" ht="23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</x:row>
    <x:row r="134" ht="23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</x:row>
    <x:row r="135" ht="23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</x:row>
    <x:row r="136" ht="23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</x:row>
    <x:row r="137" ht="23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</x:row>
    <x:row r="138" ht="23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</x:row>
    <x:row r="139" ht="23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</x:row>
    <x:row r="140" ht="23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</x:row>
    <x:row r="141" ht="23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</x:row>
    <x:row r="142" ht="23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</x:row>
    <x:row r="143" ht="23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</x:row>
    <x:row r="144" ht="23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</x:row>
    <x:row r="145" ht="23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</x:row>
    <x:row r="146" ht="23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</x:row>
    <x:row r="147" ht="23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</x:row>
    <x:row r="148" ht="23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</x:row>
    <x:row r="149" ht="23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</x:row>
    <x:row r="150" ht="23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</x:row>
    <x:row r="151" ht="23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</x:row>
    <x:row r="152" ht="23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</x:row>
    <x:row r="153" ht="23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</x:row>
    <x:row r="154" ht="23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</x:row>
    <x:row r="155" ht="23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</x:row>
    <x:row r="156" ht="23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</x:row>
    <x:row r="157" ht="23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</x:row>
    <x:row r="158" ht="23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</x:row>
    <x:row r="159" ht="23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</x:row>
    <x:row r="160" ht="23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</x:row>
    <x:row r="161" ht="23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</x:row>
    <x:row r="162" ht="23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</x:row>
    <x:row r="163" ht="23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</x:row>
    <x:row r="164" ht="23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</x:row>
    <x:row r="165" ht="23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</x:row>
    <x:row r="166" ht="23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</x:row>
    <x:row r="167" ht="23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</x:row>
    <x:row r="168" ht="23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</x:row>
    <x:row r="169" ht="23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</x:row>
    <x:row r="170" ht="23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</x:row>
    <x:row r="171" ht="23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</x:row>
    <x:row r="172" ht="23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</x:row>
    <x:row r="173" ht="23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</x:row>
    <x:row r="174" ht="23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</x:row>
    <x:row r="175" ht="23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</x:row>
    <x:row r="176" ht="23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</x:row>
    <x:row r="177" ht="23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</x:row>
    <x:row r="178" ht="23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</x:row>
    <x:row r="179" ht="23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</x:row>
    <x:row r="180" ht="23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</x:row>
    <x:row r="181" ht="23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</x:row>
    <x:row r="182" ht="23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</x:row>
    <x:row r="183" ht="23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</x:row>
    <x:row r="184" ht="23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</x:row>
    <x:row r="185" ht="23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</x:row>
    <x:row r="186" ht="23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</x:row>
    <x:row r="187" ht="23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</x:row>
    <x:row r="188" ht="23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</x:row>
    <x:row r="189" ht="23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</x:row>
    <x:row r="190" ht="23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</x:row>
    <x:row r="191" ht="23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</x:row>
    <x:row r="192" ht="23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</x:row>
    <x:row r="193" ht="23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</x:row>
    <x:row r="194" ht="23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</x:row>
    <x:row r="195" ht="23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</x:row>
    <x:row r="196" ht="23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</x:row>
    <x:row r="197" ht="23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</x:row>
    <x:row r="198" ht="23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</x:row>
    <x:row r="199" ht="23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</x:row>
    <x:row r="200" ht="23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</x:row>
    <x:row r="201" ht="23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</x:row>
    <x:row r="202" ht="23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</x:row>
    <x:row r="203" ht="23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</x:row>
    <x:row r="204" ht="23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</x:row>
    <x:row r="205" ht="23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</x:row>
    <x:row r="206" ht="23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</x:row>
    <x:row r="207" ht="23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</x:row>
    <x:row r="208" ht="23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</x:row>
    <x:row r="209" ht="23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</x:row>
    <x:row r="210" ht="23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</x:row>
    <x:row r="211" ht="23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</x:row>
    <x:row r="212" ht="23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</x:row>
    <x:row r="213" ht="23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</x:row>
    <x:row r="214" ht="23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</x:row>
    <x:row r="215" ht="23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</x:row>
    <x:row r="216" ht="23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</x:row>
    <x:row r="217" ht="23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</x:row>
    <x:row r="218" ht="23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</x:row>
    <x:row r="219" ht="23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</x:row>
    <x:row r="220" ht="23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</x:row>
    <x:row r="221" ht="23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</x:row>
    <x:row r="222" ht="23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</x:row>
    <x:row r="223" ht="23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</x:row>
    <x:row r="224" ht="23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</x:row>
    <x:row r="225" ht="23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</x:row>
    <x:row r="226" ht="23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</x:row>
    <x:row r="227" ht="23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</x:row>
    <x:row r="228" ht="23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</x:row>
    <x:row r="229" ht="23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</x:row>
    <x:row r="230" ht="23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</x:row>
    <x:row r="231" ht="23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</x:row>
    <x:row r="232" ht="23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</x:row>
    <x:row r="233" ht="23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</x:row>
    <x:row r="234" ht="23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</x:row>
    <x:row r="235" ht="23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</x:row>
    <x:row r="236" ht="23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</x:row>
    <x:row r="237" ht="23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</x:row>
    <x:row r="238" ht="23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</x:row>
    <x:row r="239" ht="23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</x:row>
    <x:row r="240" ht="23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</x:row>
    <x:row r="241" ht="23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</x:row>
    <x:row r="242" ht="23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</x:row>
    <x:row r="243" ht="23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</x:row>
    <x:row r="244" ht="23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</x:row>
    <x:row r="245" ht="23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</x:row>
    <x:row r="246" ht="23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</x:row>
    <x:row r="247" ht="23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</x:row>
    <x:row r="248" ht="23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</x:row>
    <x:row r="249" ht="23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</x:row>
    <x:row r="250" ht="23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</x:row>
    <x:row r="251" ht="23" customHeight="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</x:row>
    <x:row r="252" ht="23" customHeight="1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</x:row>
    <x:row r="253" ht="23" customHeight="1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</x:row>
    <x:row r="254" ht="23" customHeight="1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</x:row>
    <x:row r="255" ht="23" customHeight="1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</x:row>
    <x:row r="256" ht="23" customHeight="1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</x:row>
    <x:row r="257" ht="23" customHeight="1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</x:row>
    <x:row r="258" ht="23" customHeight="1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</x:row>
    <x:row r="259" ht="23" customHeight="1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</x:row>
    <x:row r="260" ht="23" customHeight="1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</x:row>
    <x:row r="261" ht="23" customHeight="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</x:row>
    <x:row r="262" ht="23" customHeight="1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</x:row>
    <x:row r="263" ht="23" customHeight="1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</x:row>
    <x:row r="264" ht="23" customHeight="1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</x:row>
    <x:row r="265" ht="23" customHeight="1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</x:row>
    <x:row r="266" ht="23" customHeight="1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</x:row>
    <x:row r="267" ht="23" customHeight="1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</x:row>
    <x:row r="268" ht="23" customHeight="1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</x:row>
    <x:row r="269" ht="23" customHeight="1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</x:row>
    <x:row r="270" ht="23" customHeight="1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</x:row>
    <x:row r="271" ht="23" customHeight="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</x:row>
    <x:row r="272" ht="23" customHeight="1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</x:row>
    <x:row r="273" ht="23" customHeight="1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</x:row>
    <x:row r="274" ht="23" customHeight="1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</x:row>
    <x:row r="275" ht="23" customHeight="1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</x:row>
    <x:row r="276" ht="23" customHeight="1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</x:row>
    <x:row r="277" ht="23" customHeight="1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</x:row>
    <x:row r="278" ht="23" customHeight="1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</x:row>
    <x:row r="279" ht="23" customHeight="1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</x:row>
    <x:row r="280" ht="23" customHeight="1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</x:row>
    <x:row r="281" ht="23" customHeight="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</x:row>
    <x:row r="282" ht="23" customHeight="1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</x:row>
    <x:row r="283" ht="23" customHeight="1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</x:row>
    <x:row r="284" ht="23" customHeight="1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</x:row>
    <x:row r="285" ht="23" customHeight="1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</x:row>
    <x:row r="286" ht="23" customHeight="1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</x:row>
    <x:row r="287" ht="23" customHeight="1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</x:row>
    <x:row r="288" ht="23" customHeight="1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</x:row>
    <x:row r="289" ht="23" customHeight="1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</x:row>
    <x:row r="290" ht="23" customHeight="1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</x:row>
    <x:row r="291" ht="23" customHeight="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</x:row>
    <x:row r="292" ht="23" customHeight="1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</x:row>
    <x:row r="293" ht="23" customHeight="1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</x:row>
    <x:row r="294" ht="23" customHeight="1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</x:row>
    <x:row r="295" ht="23" customHeight="1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</x:row>
    <x:row r="296" ht="23" customHeight="1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</x:row>
    <x:row r="297" ht="23" customHeight="1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</x:row>
    <x:row r="298" ht="23" customHeight="1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</x:row>
    <x:row r="299" ht="23" customHeight="1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</x:row>
    <x:row r="300" ht="23" customHeight="1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</x:row>
    <x:row r="301" ht="23" customHeight="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</x:row>
    <x:row r="302" ht="23" customHeight="1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</x:row>
    <x:row r="303" ht="23" customHeight="1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</x:row>
    <x:row r="304" ht="23" customHeight="1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</x:row>
    <x:row r="305" ht="23" customHeight="1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</x:row>
    <x:row r="306" ht="23" customHeight="1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</x:row>
    <x:row r="307" ht="23" customHeight="1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</x:row>
    <x:row r="308" ht="23" customHeight="1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</x:row>
    <x:row r="309" ht="23" customHeight="1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</x:row>
    <x:row r="310" ht="23" customHeight="1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</x:row>
    <x:row r="311" ht="23" customHeight="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</x:row>
    <x:row r="312" ht="23" customHeight="1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</x:row>
    <x:row r="313" ht="23" customHeight="1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</x:row>
    <x:row r="314" ht="23" customHeight="1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</x:row>
    <x:row r="315" ht="23" customHeight="1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</x:row>
    <x:row r="316" ht="23" customHeight="1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</x:row>
    <x:row r="317" ht="23" customHeight="1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</x:row>
    <x:row r="318" ht="23" customHeight="1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</x:row>
    <x:row r="319" ht="23" customHeight="1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</x:row>
    <x:row r="320" ht="23" customHeight="1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</x:row>
    <x:row r="321" ht="23" customHeight="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</x:row>
    <x:row r="322" ht="23" customHeight="1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</x:row>
    <x:row r="323" ht="23" customHeight="1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</x:row>
    <x:row r="324" ht="23" customHeight="1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</x:row>
    <x:row r="325" ht="23" customHeight="1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</x:row>
    <x:row r="326" ht="23" customHeight="1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</x:row>
    <x:row r="327" ht="23" customHeight="1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</x:row>
    <x:row r="328" ht="23" customHeight="1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</x:row>
    <x:row r="329" ht="23" customHeight="1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</x:row>
    <x:row r="330" ht="23" customHeight="1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</x:row>
    <x:row r="331" ht="23" customHeight="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</x:row>
    <x:row r="332" ht="23" customHeight="1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</x:row>
    <x:row r="333" ht="23" customHeight="1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</x:row>
    <x:row r="334" ht="23" customHeight="1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</x:row>
    <x:row r="335" ht="23" customHeight="1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</x:row>
    <x:row r="336" ht="23" customHeight="1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</x:row>
    <x:row r="337" ht="23" customHeight="1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</x:row>
    <x:row r="338" ht="23" customHeight="1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</x:row>
    <x:row r="339" ht="23" customHeight="1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</x:row>
    <x:row r="340" ht="23" customHeight="1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</x:row>
    <x:row r="341" ht="23" customHeight="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</x:row>
    <x:row r="342" ht="23" customHeight="1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</x:row>
    <x:row r="343" ht="23" customHeight="1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</x:row>
    <x:row r="344" ht="23" customHeight="1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</x:row>
    <x:row r="345" ht="23" customHeight="1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</x:row>
    <x:row r="346" ht="23" customHeight="1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</x:row>
    <x:row r="347" ht="23" customHeight="1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</x:row>
    <x:row r="348" ht="23" customHeight="1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</x:row>
    <x:row r="349" ht="23" customHeight="1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</x:row>
    <x:row r="350" ht="23" customHeight="1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</x:row>
    <x:row r="351" ht="23" customHeight="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</x:row>
    <x:row r="352" ht="23" customHeight="1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</x:row>
    <x:row r="353" ht="23" customHeight="1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</x:row>
    <x:row r="354" ht="23" customHeight="1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</x:row>
    <x:row r="355" ht="23" customHeight="1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</x:row>
    <x:row r="356" ht="23" customHeight="1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</x:row>
    <x:row r="357" ht="23" customHeight="1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</x:row>
    <x:row r="358" ht="23" customHeight="1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</x:row>
    <x:row r="359" ht="23" customHeight="1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</x:row>
    <x:row r="360" ht="23" customHeight="1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</x:row>
    <x:row r="361" ht="23" customHeight="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</x:row>
    <x:row r="362" ht="23" customHeight="1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</x:row>
    <x:row r="363" ht="23" customHeight="1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</x:row>
    <x:row r="364" ht="23" customHeight="1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</x:row>
    <x:row r="365" ht="23" customHeight="1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</x:row>
    <x:row r="366" ht="23" customHeight="1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</x:row>
    <x:row r="367" ht="23" customHeight="1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</x:row>
    <x:row r="368" ht="23" customHeight="1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</x:row>
    <x:row r="369" ht="23" customHeight="1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</x:row>
    <x:row r="370" ht="23" customHeight="1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</x:row>
    <x:row r="371" ht="23" customHeight="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</x:row>
    <x:row r="372" ht="23" customHeight="1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</x:row>
    <x:row r="373" ht="23" customHeight="1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</x:row>
    <x:row r="374" ht="23" customHeight="1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</x:row>
    <x:row r="375" ht="23" customHeight="1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</x:row>
    <x:row r="376" ht="23" customHeight="1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</x:row>
    <x:row r="377" ht="23" customHeight="1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</x:row>
    <x:row r="378" ht="23" customHeight="1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</x:row>
    <x:row r="379" ht="23" customHeight="1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</x:row>
    <x:row r="380" ht="23" customHeight="1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</x:row>
    <x:row r="381" ht="23" customHeight="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</x:row>
    <x:row r="382" ht="23" customHeight="1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</x:row>
    <x:row r="383" ht="23" customHeight="1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</x:row>
    <x:row r="384" ht="23" customHeight="1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</x:row>
    <x:row r="385" ht="23" customHeight="1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</x:row>
    <x:row r="386" ht="23" customHeight="1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</x:row>
    <x:row r="387" ht="23" customHeight="1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</x:row>
    <x:row r="388" ht="23" customHeight="1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</x:row>
    <x:row r="389" ht="23" customHeight="1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</x:row>
    <x:row r="390" ht="23" customHeight="1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</x:row>
    <x:row r="391" ht="23" customHeight="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</x:row>
    <x:row r="392" ht="23" customHeight="1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</x:row>
    <x:row r="393" ht="23" customHeight="1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</x:row>
    <x:row r="394" ht="23" customHeight="1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</x:row>
    <x:row r="395" ht="23" customHeight="1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</x:row>
    <x:row r="396" ht="23" customHeight="1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</x:row>
    <x:row r="397" ht="23" customHeight="1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</x:row>
    <x:row r="398" ht="23" customHeight="1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</x:row>
    <x:row r="399" ht="23" customHeight="1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</x:row>
    <x:row r="400" ht="23" customHeight="1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</x:row>
    <x:row r="401" ht="23" customHeight="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</x:row>
    <x:row r="402" ht="23" customHeight="1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</x:row>
    <x:row r="403" ht="23" customHeight="1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</x:row>
    <x:row r="404" ht="23" customHeight="1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</x:row>
    <x:row r="405" ht="23" customHeight="1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</x:row>
    <x:row r="406" ht="23" customHeight="1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</x:row>
    <x:row r="407" ht="23" customHeight="1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</x:row>
    <x:row r="408" ht="23" customHeight="1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</x:row>
    <x:row r="409" ht="23" customHeight="1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</x:row>
    <x:row r="410" ht="23" customHeight="1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</x:row>
    <x:row r="411" ht="23" customHeight="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</x:row>
    <x:row r="412" ht="23" customHeight="1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</x:row>
    <x:row r="413" ht="23" customHeight="1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</x:row>
    <x:row r="414" ht="23" customHeight="1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</x:row>
    <x:row r="415" ht="23" customHeight="1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</x:row>
    <x:row r="416" ht="23" customHeight="1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</x:row>
    <x:row r="417" ht="23" customHeight="1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</x:row>
    <x:row r="418" ht="23" customHeight="1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</x:row>
    <x:row r="419" ht="23" customHeight="1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</x:row>
    <x:row r="420" ht="23" customHeight="1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</x:row>
    <x:row r="421" ht="23" customHeight="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</x:row>
    <x:row r="422" ht="23" customHeight="1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</x:row>
    <x:row r="423" ht="23" customHeight="1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</x:row>
    <x:row r="424" ht="23" customHeight="1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</x:row>
    <x:row r="425" ht="23" customHeight="1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</x:row>
    <x:row r="426" ht="23" customHeight="1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</x:row>
    <x:row r="427" ht="23" customHeight="1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</x:row>
    <x:row r="428" ht="23" customHeight="1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</x:row>
    <x:row r="429" ht="23" customHeight="1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</x:row>
    <x:row r="430" ht="23" customHeight="1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</x:row>
    <x:row r="431" ht="23" customHeight="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</x:row>
    <x:row r="432" ht="23" customHeight="1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</x:row>
    <x:row r="433" ht="23" customHeight="1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</x:row>
    <x:row r="434" ht="23" customHeight="1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</x:row>
    <x:row r="435" ht="23" customHeight="1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</x:row>
    <x:row r="436" ht="23" customHeight="1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</x:row>
    <x:row r="437" ht="23" customHeight="1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</x:row>
    <x:row r="438" ht="23" customHeight="1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</x:row>
    <x:row r="439" ht="23" customHeight="1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</x:row>
    <x:row r="440" ht="23" customHeight="1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</x:row>
    <x:row r="441" ht="23" customHeight="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</x:row>
    <x:row r="442" ht="23" customHeight="1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</x:row>
    <x:row r="443" ht="23" customHeight="1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</x:row>
    <x:row r="444" ht="23" customHeight="1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</x:row>
    <x:row r="445" ht="23" customHeight="1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</x:row>
    <x:row r="446" ht="23" customHeight="1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</x:row>
    <x:row r="447" ht="23" customHeight="1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</x:row>
    <x:row r="448" ht="23" customHeight="1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</x:row>
    <x:row r="449" ht="23" customHeight="1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</x:row>
    <x:row r="450" ht="23" customHeight="1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</x:row>
    <x:row r="451" ht="23" customHeight="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</x:row>
    <x:row r="452" ht="23" customHeight="1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</x:row>
    <x:row r="453" ht="23" customHeight="1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</x:row>
    <x:row r="454" ht="23" customHeight="1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</x:row>
    <x:row r="455" ht="23" customHeight="1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</x:row>
    <x:row r="456" ht="23" customHeight="1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</x:row>
    <x:row r="457" ht="23" customHeight="1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</x:row>
    <x:row r="458" ht="23" customHeight="1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</x:row>
    <x:row r="459" ht="23" customHeight="1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</x:row>
    <x:row r="460" ht="23" customHeight="1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</x:row>
    <x:row r="461" ht="23" customHeight="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</x:row>
    <x:row r="462" ht="23" customHeight="1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</x:row>
    <x:row r="463" ht="23" customHeight="1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</x:row>
    <x:row r="464" ht="23" customHeight="1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</x:row>
    <x:row r="465" ht="23" customHeight="1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</x:row>
    <x:row r="466" ht="23" customHeight="1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</x:row>
    <x:row r="467" ht="23" customHeight="1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</x:row>
    <x:row r="468" ht="23" customHeight="1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</x:row>
    <x:row r="469" ht="23" customHeight="1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</x:row>
    <x:row r="470" ht="23" customHeight="1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</x:row>
    <x:row r="471" ht="23" customHeight="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</x:row>
    <x:row r="472" ht="23" customHeight="1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</x:row>
    <x:row r="473" ht="23" customHeight="1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</x:row>
    <x:row r="474" ht="23" customHeight="1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</x:row>
    <x:row r="475" ht="23" customHeight="1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</x:row>
    <x:row r="476" ht="23" customHeight="1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</x:row>
    <x:row r="477" ht="23" customHeight="1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</x:row>
    <x:row r="478" ht="23" customHeight="1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</x:row>
    <x:row r="479" ht="23" customHeight="1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</x:row>
    <x:row r="480" ht="23" customHeight="1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</x:row>
    <x:row r="481" ht="23" customHeight="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</x:row>
    <x:row r="482" ht="23" customHeight="1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</x:row>
    <x:row r="483" ht="23" customHeight="1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</x:row>
    <x:row r="484" ht="23" customHeight="1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</x:row>
    <x:row r="485" ht="23" customHeight="1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</x:row>
    <x:row r="486" ht="23" customHeight="1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</x:row>
    <x:row r="487" ht="23" customHeight="1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</x:row>
    <x:row r="488" ht="23" customHeight="1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</x:row>
    <x:row r="489" ht="23" customHeight="1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</x:row>
    <x:row r="490" ht="23" customHeight="1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</x:row>
    <x:row r="491" ht="23" customHeight="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</x:row>
    <x:row r="492" ht="23" customHeight="1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</x:row>
    <x:row r="493" ht="23" customHeight="1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</x:row>
    <x:row r="494" ht="23" customHeight="1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</x:row>
    <x:row r="495" ht="23" customHeight="1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</x:row>
    <x:row r="496" ht="23" customHeight="1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</x:row>
    <x:row r="497" ht="23" customHeight="1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</x:row>
    <x:row r="498" ht="23" customHeight="1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</x:row>
    <x:row r="499" ht="23" customHeight="1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</x:row>
    <x:row r="500" ht="23" customHeight="1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</x:row>
    <x:row r="501" ht="23" customHeight="1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</x:row>
    <x:row r="502" ht="23" customHeight="1">
      <x:c r="A502" s="2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</x:row>
    <x:row r="503" ht="23" customHeight="1">
      <x:c r="A503" s="2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</x:row>
    <x:row r="504" ht="23" customHeight="1">
      <x:c r="A504" s="2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</x:row>
    <x:row r="505" ht="23" customHeight="1">
      <x:c r="A505" s="2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</x:row>
    <x:row r="506" ht="23" customHeight="1">
      <x:c r="A506" s="2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</x:row>
    <x:row r="507" ht="23" customHeight="1">
      <x:c r="A507" s="2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</x:row>
    <x:row r="508" ht="23" customHeight="1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</x:row>
    <x:row r="509" ht="23" customHeight="1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</x:row>
    <x:row r="510" ht="23" customHeight="1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</x:row>
    <x:row r="511" ht="23" customHeight="1">
      <x:c r="A511" s="2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</x:row>
    <x:row r="512" ht="23" customHeight="1">
      <x:c r="A512" s="2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</x:row>
    <x:row r="513" ht="23" customHeight="1">
      <x:c r="A513" s="2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</x:row>
    <x:row r="514" ht="23" customHeight="1">
      <x:c r="A514" s="2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</x:row>
    <x:row r="515" ht="23" customHeight="1">
      <x:c r="A515" s="2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</x:row>
    <x:row r="516" ht="23" customHeight="1">
      <x:c r="A516" s="2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</x:row>
    <x:row r="517" ht="23" customHeight="1">
      <x:c r="A517" s="2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</x:row>
    <x:row r="518" ht="23" customHeight="1">
      <x:c r="A518" s="2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</x:row>
    <x:row r="519" ht="23" customHeight="1">
      <x:c r="A519" s="2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</x:row>
    <x:row r="520" ht="23" customHeight="1">
      <x:c r="A520" s="2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</x:row>
    <x:row r="521" ht="23" customHeight="1">
      <x:c r="A521" s="2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</x:row>
    <x:row r="522" ht="23" customHeight="1">
      <x:c r="A522" s="2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</x:row>
    <x:row r="523" ht="23" customHeight="1">
      <x:c r="A523" s="2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</x:row>
    <x:row r="524" ht="23" customHeight="1">
      <x:c r="A524" s="2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</x:row>
    <x:row r="525" ht="23" customHeight="1">
      <x:c r="A525" s="2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</x:row>
    <x:row r="526" ht="23" customHeight="1">
      <x:c r="A526" s="2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</x:row>
    <x:row r="527" ht="23" customHeight="1">
      <x:c r="A527" s="2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</x:row>
    <x:row r="528" ht="23" customHeight="1">
      <x:c r="A528" s="2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</x:row>
    <x:row r="529" ht="23" customHeight="1">
      <x:c r="A529" s="2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</x:row>
    <x:row r="530" ht="23" customHeight="1">
      <x:c r="A530" s="2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</x:row>
    <x:row r="531" ht="23" customHeight="1">
      <x:c r="A531" s="2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</x:row>
    <x:row r="532" ht="23" customHeight="1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</x:row>
    <x:row r="533" ht="23" customHeight="1">
      <x:c r="A533" s="2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</x:row>
    <x:row r="534" ht="23" customHeight="1">
      <x:c r="A534" s="2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</x:row>
    <x:row r="535" ht="23" customHeight="1">
      <x:c r="A535" s="2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</x:row>
    <x:row r="536" ht="23" customHeight="1">
      <x:c r="A536" s="2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</x:row>
    <x:row r="537" ht="23" customHeight="1">
      <x:c r="A537" s="2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</x:row>
    <x:row r="538" ht="23" customHeight="1">
      <x:c r="A538" s="2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</x:row>
    <x:row r="539" ht="23" customHeight="1">
      <x:c r="A539" s="2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</x:row>
    <x:row r="540" ht="23" customHeight="1">
      <x:c r="A540" s="2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</x:row>
    <x:row r="541" ht="23" customHeight="1">
      <x:c r="A541" s="2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</x:row>
    <x:row r="542" ht="23" customHeight="1">
      <x:c r="A542" s="2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</x:row>
    <x:row r="543" ht="23" customHeight="1">
      <x:c r="A543" s="2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</x:row>
    <x:row r="544" ht="23" customHeight="1">
      <x:c r="A544" s="2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</x:row>
    <x:row r="545" ht="23" customHeight="1">
      <x:c r="A545" s="2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</x:row>
    <x:row r="546" ht="23" customHeight="1">
      <x:c r="A546" s="2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</x:row>
    <x:row r="547" ht="23" customHeight="1">
      <x:c r="A547" s="2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</x:row>
    <x:row r="548" ht="23" customHeight="1">
      <x:c r="A548" s="2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</x:row>
    <x:row r="549" ht="23" customHeight="1">
      <x:c r="A549" s="2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</x:row>
    <x:row r="550" ht="23" customHeight="1">
      <x:c r="A550" s="2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</x:row>
    <x:row r="551" ht="23" customHeight="1">
      <x:c r="A551" s="2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</x:row>
    <x:row r="552" ht="23" customHeight="1">
      <x:c r="A552" s="2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</x:row>
    <x:row r="553" ht="23" customHeight="1">
      <x:c r="A553" s="2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</x:row>
    <x:row r="554" ht="23" customHeight="1">
      <x:c r="A554" s="2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</x:row>
    <x:row r="555" ht="23" customHeight="1">
      <x:c r="A555" s="2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</x:row>
    <x:row r="556" ht="23" customHeight="1">
      <x:c r="A556" s="2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</x:row>
    <x:row r="557" ht="23" customHeight="1">
      <x:c r="A557" s="2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</x:row>
    <x:row r="558" ht="23" customHeight="1">
      <x:c r="A558" s="2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</x:row>
    <x:row r="559" ht="23" customHeight="1">
      <x:c r="A559" s="2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</x:row>
    <x:row r="560" ht="23" customHeight="1">
      <x:c r="A560" s="2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</x:row>
    <x:row r="561" ht="23" customHeight="1">
      <x:c r="A561" s="2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</x:row>
    <x:row r="562" ht="23" customHeight="1">
      <x:c r="A562" s="2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</x:row>
    <x:row r="563" ht="23" customHeight="1">
      <x:c r="A563" s="2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</x:row>
    <x:row r="564" ht="23" customHeight="1">
      <x:c r="A564" s="2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</x:row>
    <x:row r="565" ht="23" customHeight="1">
      <x:c r="A565" s="2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</x:row>
    <x:row r="566" ht="23" customHeight="1">
      <x:c r="A566" s="2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</x:row>
    <x:row r="567" ht="23" customHeight="1">
      <x:c r="A567" s="2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</x:row>
    <x:row r="568" ht="23" customHeight="1">
      <x:c r="A568" s="2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</x:row>
    <x:row r="569" ht="23" customHeight="1">
      <x:c r="A569" s="2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</x:row>
    <x:row r="570" ht="23" customHeight="1">
      <x:c r="A570" s="2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</x:row>
    <x:row r="571" ht="23" customHeight="1">
      <x:c r="A571" s="2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</x:row>
    <x:row r="572" ht="23" customHeight="1">
      <x:c r="A572" s="2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</x:row>
    <x:row r="573" ht="23" customHeight="1">
      <x:c r="A573" s="2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</x:row>
    <x:row r="574" ht="23" customHeight="1">
      <x:c r="A574" s="2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</x:row>
    <x:row r="575" ht="23" customHeight="1">
      <x:c r="A575" s="2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</x:row>
    <x:row r="576" ht="23" customHeight="1">
      <x:c r="A576" s="2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</x:row>
    <x:row r="577" ht="23" customHeight="1">
      <x:c r="A577" s="2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</x:row>
    <x:row r="578" ht="23" customHeight="1">
      <x:c r="A578" s="2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</x:row>
    <x:row r="579" ht="23" customHeight="1">
      <x:c r="A579" s="2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</x:row>
    <x:row r="580" ht="23" customHeight="1">
      <x:c r="A580" s="2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</x:row>
    <x:row r="581" ht="23" customHeight="1">
      <x:c r="A581" s="2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</x:row>
    <x:row r="582" ht="23" customHeight="1">
      <x:c r="A582" s="2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</x:row>
    <x:row r="583" ht="23" customHeight="1">
      <x:c r="A583" s="2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</x:row>
    <x:row r="584" ht="23" customHeight="1">
      <x:c r="A584" s="2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</x:row>
    <x:row r="585" ht="23" customHeight="1">
      <x:c r="A585" s="2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</x:row>
    <x:row r="586" ht="23" customHeight="1">
      <x:c r="A586" s="2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</x:row>
    <x:row r="587" ht="23" customHeight="1">
      <x:c r="A587" s="2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</x:row>
    <x:row r="588" ht="23" customHeight="1">
      <x:c r="A588" s="2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</x:row>
    <x:row r="589" ht="23" customHeight="1">
      <x:c r="A589" s="2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</x:row>
    <x:row r="590" ht="23" customHeight="1">
      <x:c r="A590" s="2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</x:row>
    <x:row r="591" ht="23" customHeight="1">
      <x:c r="A591" s="2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</x:row>
    <x:row r="592" ht="23" customHeight="1">
      <x:c r="A592" s="2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</x:row>
    <x:row r="593" ht="23" customHeight="1">
      <x:c r="A593" s="2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</x:row>
    <x:row r="594" ht="23" customHeight="1">
      <x:c r="A594" s="2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</x:row>
    <x:row r="595" ht="23" customHeight="1">
      <x:c r="A595" s="2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</x:row>
    <x:row r="596" ht="23" customHeight="1">
      <x:c r="A596" s="2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</x:row>
    <x:row r="597" ht="23" customHeight="1">
      <x:c r="A597" s="2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</x:row>
    <x:row r="598" ht="23" customHeight="1">
      <x:c r="A598" s="2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</x:row>
    <x:row r="599" ht="23" customHeight="1">
      <x:c r="A599" s="2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</x:row>
    <x:row r="600" ht="23" customHeight="1">
      <x:c r="A600" s="2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</x:row>
    <x:row r="601" ht="23" customHeight="1">
      <x:c r="A601" s="2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</x:row>
    <x:row r="602" ht="23" customHeight="1">
      <x:c r="A602" s="2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</x:row>
    <x:row r="603" ht="23" customHeight="1">
      <x:c r="A603" s="2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</x:row>
    <x:row r="604" ht="23" customHeight="1">
      <x:c r="A604" s="2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</x:row>
    <x:row r="605" ht="23" customHeight="1">
      <x:c r="A605" s="2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</x:row>
    <x:row r="606" ht="23" customHeight="1">
      <x:c r="A606" s="2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</x:row>
    <x:row r="607" ht="23" customHeight="1">
      <x:c r="A607" s="2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</x:row>
    <x:row r="608" ht="23" customHeight="1">
      <x:c r="A608" s="2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</x:row>
    <x:row r="609" ht="23" customHeight="1">
      <x:c r="A609" s="2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</x:row>
    <x:row r="610" ht="23" customHeight="1">
      <x:c r="A610" s="2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</x:row>
    <x:row r="611" ht="23" customHeight="1">
      <x:c r="A611" s="2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</x:row>
    <x:row r="612" ht="23" customHeight="1">
      <x:c r="A612" s="2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</x:row>
    <x:row r="613" ht="23" customHeight="1">
      <x:c r="A613" s="2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</x:row>
    <x:row r="614" ht="23" customHeight="1">
      <x:c r="A614" s="2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</x:row>
    <x:row r="615" ht="23" customHeight="1">
      <x:c r="A615" s="2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</x:row>
    <x:row r="616" ht="23" customHeight="1">
      <x:c r="A616" s="2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</x:row>
    <x:row r="617" ht="23" customHeight="1">
      <x:c r="A617" s="2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</x:row>
    <x:row r="618" ht="23" customHeight="1">
      <x:c r="A618" s="2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</x:row>
    <x:row r="619" ht="23" customHeight="1">
      <x:c r="A619" s="2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</x:row>
    <x:row r="620" ht="23" customHeight="1">
      <x:c r="A620" s="2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</x:row>
    <x:row r="621" ht="23" customHeight="1">
      <x:c r="A621" s="2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</x:row>
    <x:row r="622" ht="23" customHeight="1">
      <x:c r="A622" s="2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</x:row>
    <x:row r="623" ht="23" customHeight="1">
      <x:c r="A623" s="2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</x:row>
    <x:row r="624" ht="23" customHeight="1">
      <x:c r="A624" s="2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</x:row>
    <x:row r="625" ht="23" customHeight="1">
      <x:c r="A625" s="2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</x:row>
    <x:row r="626" ht="23" customHeight="1">
      <x:c r="A626" s="2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</x:row>
    <x:row r="627" ht="23" customHeight="1">
      <x:c r="A627" s="2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</x:row>
    <x:row r="628" ht="23" customHeight="1">
      <x:c r="A628" s="2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</x:row>
    <x:row r="629" ht="23" customHeight="1">
      <x:c r="A629" s="2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</x:row>
    <x:row r="630" ht="23" customHeight="1">
      <x:c r="A630" s="2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</x:row>
    <x:row r="631" ht="23" customHeight="1">
      <x:c r="A631" s="2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</x:row>
    <x:row r="632" ht="23" customHeight="1">
      <x:c r="A632" s="2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</x:row>
    <x:row r="633" ht="23" customHeight="1">
      <x:c r="A633" s="2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</x:row>
    <x:row r="634" ht="23" customHeight="1">
      <x:c r="A634" s="2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</x:row>
    <x:row r="635" ht="23" customHeight="1">
      <x:c r="A635" s="2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</x:row>
    <x:row r="636" ht="23" customHeight="1">
      <x:c r="A636" s="2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</x:row>
    <x:row r="637" ht="23" customHeight="1">
      <x:c r="A637" s="2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</x:row>
    <x:row r="638" ht="23" customHeight="1">
      <x:c r="A638" s="2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</x:row>
    <x:row r="639" ht="23" customHeight="1">
      <x:c r="A639" s="2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</x:row>
    <x:row r="640" ht="23" customHeight="1">
      <x:c r="A640" s="2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</x:row>
    <x:row r="641" ht="23" customHeight="1">
      <x:c r="A641" s="2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</x:row>
    <x:row r="642" ht="23" customHeight="1">
      <x:c r="A642" s="2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</x:row>
    <x:row r="643" ht="23" customHeight="1">
      <x:c r="A643" s="2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</x:row>
    <x:row r="644" ht="23" customHeight="1">
      <x:c r="A644" s="2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</x:row>
    <x:row r="645" ht="23" customHeight="1">
      <x:c r="A645" s="2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</x:row>
    <x:row r="646" ht="23" customHeight="1">
      <x:c r="A646" s="2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</x:row>
    <x:row r="647" ht="23" customHeight="1">
      <x:c r="A647" s="2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</x:row>
    <x:row r="648" ht="23" customHeight="1">
      <x:c r="A648" s="2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</x:row>
    <x:row r="649" ht="23" customHeight="1">
      <x:c r="A649" s="2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</x:row>
    <x:row r="650" ht="23" customHeight="1">
      <x:c r="A650" s="2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</x:row>
    <x:row r="651" ht="23" customHeight="1">
      <x:c r="A651" s="2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</x:row>
    <x:row r="652" ht="23" customHeight="1">
      <x:c r="A652" s="2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</x:row>
    <x:row r="653" ht="23" customHeight="1">
      <x:c r="A653" s="2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</x:row>
    <x:row r="654" ht="23" customHeight="1">
      <x:c r="A654" s="2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</x:row>
    <x:row r="655" ht="23" customHeight="1">
      <x:c r="A655" s="2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</x:row>
    <x:row r="656" ht="23" customHeight="1">
      <x:c r="A656" s="2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</x:row>
    <x:row r="657" ht="23" customHeight="1">
      <x:c r="A657" s="2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</x:row>
    <x:row r="658" ht="23" customHeight="1">
      <x:c r="A658" s="2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</x:row>
    <x:row r="659" ht="23" customHeight="1">
      <x:c r="A659" s="2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</x:row>
    <x:row r="660" ht="23" customHeight="1">
      <x:c r="A660" s="2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</x:row>
    <x:row r="661" ht="23" customHeight="1">
      <x:c r="A661" s="2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</x:row>
    <x:row r="662" ht="23" customHeight="1">
      <x:c r="A662" s="2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</x:row>
    <x:row r="663" ht="23" customHeight="1">
      <x:c r="A663" s="2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</x:row>
    <x:row r="664" ht="23" customHeight="1">
      <x:c r="A664" s="2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</x:row>
    <x:row r="665" ht="23" customHeight="1">
      <x:c r="A665" s="2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</x:row>
    <x:row r="666" ht="23" customHeight="1">
      <x:c r="A666" s="2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</x:row>
    <x:row r="667" ht="23" customHeight="1">
      <x:c r="A667" s="2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</x:row>
    <x:row r="668" ht="23" customHeight="1">
      <x:c r="A668" s="2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</x:row>
    <x:row r="669" ht="23" customHeight="1">
      <x:c r="A669" s="2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</x:row>
    <x:row r="670" ht="23" customHeight="1">
      <x:c r="A670" s="2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</x:row>
    <x:row r="671" ht="23" customHeight="1">
      <x:c r="A671" s="2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</x:row>
    <x:row r="672" ht="23" customHeight="1">
      <x:c r="A672" s="2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</x:row>
    <x:row r="673" ht="23" customHeight="1">
      <x:c r="A673" s="2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</x:row>
    <x:row r="674" ht="23" customHeight="1">
      <x:c r="A674" s="2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</x:row>
    <x:row r="675" ht="23" customHeight="1">
      <x:c r="A675" s="2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</x:row>
    <x:row r="676" ht="23" customHeight="1">
      <x:c r="A676" s="2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</x:row>
    <x:row r="677" ht="23" customHeight="1">
      <x:c r="A677" s="2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</x:row>
    <x:row r="678" ht="23" customHeight="1">
      <x:c r="A678" s="2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</x:row>
    <x:row r="679" ht="23" customHeight="1">
      <x:c r="A679" s="2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</x:row>
    <x:row r="680" ht="23" customHeight="1">
      <x:c r="A680" s="2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</x:row>
    <x:row r="681" ht="23" customHeight="1">
      <x:c r="A681" s="2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</x:row>
    <x:row r="682" ht="23" customHeight="1">
      <x:c r="A682" s="2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</x:row>
    <x:row r="683" ht="23" customHeight="1">
      <x:c r="A683" s="2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</x:row>
    <x:row r="684" ht="23" customHeight="1">
      <x:c r="A684" s="2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</x:row>
    <x:row r="685" ht="23" customHeight="1">
      <x:c r="A685" s="2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</x:row>
    <x:row r="686" ht="23" customHeight="1">
      <x:c r="A686" s="2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</x:row>
    <x:row r="687" ht="23" customHeight="1">
      <x:c r="A687" s="2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</x:row>
    <x:row r="688" ht="23" customHeight="1">
      <x:c r="A688" s="2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</x:row>
    <x:row r="689" ht="23" customHeight="1">
      <x:c r="A689" s="2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</x:row>
    <x:row r="690" ht="23" customHeight="1">
      <x:c r="A690" s="2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</x:row>
    <x:row r="691" ht="23" customHeight="1">
      <x:c r="A691" s="2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</x:row>
    <x:row r="692" ht="23" customHeight="1">
      <x:c r="A692" s="2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</x:row>
    <x:row r="693" ht="23" customHeight="1">
      <x:c r="A693" s="2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</x:row>
    <x:row r="694" ht="23" customHeight="1">
      <x:c r="A694" s="2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</x:row>
    <x:row r="695" ht="23" customHeight="1">
      <x:c r="A695" s="2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</x:row>
    <x:row r="696" ht="23" customHeight="1">
      <x:c r="A696" s="2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</x:row>
    <x:row r="697" ht="23" customHeight="1">
      <x:c r="A697" s="2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</x:row>
    <x:row r="698" ht="23" customHeight="1">
      <x:c r="A698" s="2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</x:row>
    <x:row r="699" ht="23" customHeight="1">
      <x:c r="A699" s="2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</x:row>
    <x:row r="700" ht="23" customHeight="1">
      <x:c r="A700" s="2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</x:row>
    <x:row r="701" ht="23" customHeight="1">
      <x:c r="A701" s="2"/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</x:row>
    <x:row r="702" ht="23" customHeight="1">
      <x:c r="A702" s="2"/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</x:row>
    <x:row r="703" ht="23" customHeight="1">
      <x:c r="A703" s="2"/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</x:row>
    <x:row r="704" ht="23" customHeight="1">
      <x:c r="A704" s="2"/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</x:row>
    <x:row r="705" ht="23" customHeight="1">
      <x:c r="A705" s="2"/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</x:row>
    <x:row r="706" ht="23" customHeight="1">
      <x:c r="A706" s="2"/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</x:row>
    <x:row r="707" ht="23" customHeight="1">
      <x:c r="A707" s="2"/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</x:row>
    <x:row r="708" ht="23" customHeight="1">
      <x:c r="A708" s="2"/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</x:row>
    <x:row r="709" ht="23" customHeight="1">
      <x:c r="A709" s="2"/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</x:row>
    <x:row r="710" ht="23" customHeight="1">
      <x:c r="A710" s="2"/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</x:row>
    <x:row r="711" ht="23" customHeight="1">
      <x:c r="A711" s="2"/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</x:row>
    <x:row r="712" ht="23" customHeight="1">
      <x:c r="A712" s="2"/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</x:row>
    <x:row r="713" ht="23" customHeight="1">
      <x:c r="A713" s="2"/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</x:row>
    <x:row r="714" ht="23" customHeight="1">
      <x:c r="A714" s="2"/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</x:row>
    <x:row r="715" ht="23" customHeight="1">
      <x:c r="A715" s="2"/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</x:row>
    <x:row r="716" ht="23" customHeight="1">
      <x:c r="A716" s="2"/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</x:row>
    <x:row r="717" ht="23" customHeight="1">
      <x:c r="A717" s="2"/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</x:row>
    <x:row r="718" ht="23" customHeight="1">
      <x:c r="A718" s="2"/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</x:row>
    <x:row r="719" ht="23" customHeight="1">
      <x:c r="A719" s="2"/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</x:row>
    <x:row r="720" ht="23" customHeight="1">
      <x:c r="A720" s="2"/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</x:row>
    <x:row r="721" ht="23" customHeight="1">
      <x:c r="A721" s="2"/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</x:row>
    <x:row r="722" ht="23" customHeight="1">
      <x:c r="A722" s="2"/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</x:row>
    <x:row r="723" ht="23" customHeight="1">
      <x:c r="A723" s="2"/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</x:row>
    <x:row r="724" ht="23" customHeight="1">
      <x:c r="A724" s="2"/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</x:row>
    <x:row r="725" ht="23" customHeight="1">
      <x:c r="A725" s="2"/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</x:row>
    <x:row r="726" ht="23" customHeight="1">
      <x:c r="A726" s="2"/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</x:row>
    <x:row r="727" ht="23" customHeight="1">
      <x:c r="A727" s="2"/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</x:row>
    <x:row r="728" ht="23" customHeight="1">
      <x:c r="A728" s="2"/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</x:row>
    <x:row r="729" ht="23" customHeight="1">
      <x:c r="A729" s="2"/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</x:row>
    <x:row r="730" ht="23" customHeight="1">
      <x:c r="A730" s="2"/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</x:row>
    <x:row r="731" ht="23" customHeight="1">
      <x:c r="A731" s="2"/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</x:row>
    <x:row r="732" ht="23" customHeight="1">
      <x:c r="A732" s="2"/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</x:row>
    <x:row r="733" ht="23" customHeight="1">
      <x:c r="A733" s="2"/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</x:row>
    <x:row r="734" ht="23" customHeight="1">
      <x:c r="A734" s="2"/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</x:row>
    <x:row r="735" ht="23" customHeight="1">
      <x:c r="A735" s="2"/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</x:row>
    <x:row r="736" ht="23" customHeight="1">
      <x:c r="A736" s="2"/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</x:row>
    <x:row r="737" ht="23" customHeight="1">
      <x:c r="A737" s="2"/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</x:row>
    <x:row r="738" ht="23" customHeight="1">
      <x:c r="A738" s="2"/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</x:row>
    <x:row r="739" ht="23" customHeight="1">
      <x:c r="A739" s="2"/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</x:row>
    <x:row r="740" ht="23" customHeight="1">
      <x:c r="A740" s="2"/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</x:row>
    <x:row r="741" ht="23" customHeight="1">
      <x:c r="A741" s="2"/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</x:row>
    <x:row r="742" ht="23" customHeight="1">
      <x:c r="A742" s="2"/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</x:row>
    <x:row r="743" ht="23" customHeight="1">
      <x:c r="A743" s="2"/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</x:row>
    <x:row r="744" ht="23" customHeight="1">
      <x:c r="A744" s="2"/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</x:row>
    <x:row r="745" ht="23" customHeight="1">
      <x:c r="A745" s="2"/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</x:row>
    <x:row r="746" ht="23" customHeight="1">
      <x:c r="A746" s="2"/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</x:row>
    <x:row r="747" ht="23" customHeight="1">
      <x:c r="A747" s="2"/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</x:row>
    <x:row r="748" ht="23" customHeight="1">
      <x:c r="A748" s="2"/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</x:row>
    <x:row r="749" ht="23" customHeight="1">
      <x:c r="A749" s="2"/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</x:row>
    <x:row r="750" ht="23" customHeight="1">
      <x:c r="A750" s="2"/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</x:row>
    <x:row r="751" ht="23" customHeight="1">
      <x:c r="A751" s="2"/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</x:row>
    <x:row r="752" ht="23" customHeight="1">
      <x:c r="A752" s="2"/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</x:row>
    <x:row r="753" ht="23" customHeight="1">
      <x:c r="A753" s="2"/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</x:row>
    <x:row r="754" ht="23" customHeight="1">
      <x:c r="A754" s="2"/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</x:row>
    <x:row r="755" ht="23" customHeight="1">
      <x:c r="A755" s="2"/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</x:row>
    <x:row r="756" ht="23" customHeight="1">
      <x:c r="A756" s="2"/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</x:row>
    <x:row r="757" ht="23" customHeight="1">
      <x:c r="A757" s="2"/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</x:row>
    <x:row r="758" ht="23" customHeight="1">
      <x:c r="A758" s="2"/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</x:row>
    <x:row r="759" ht="23" customHeight="1">
      <x:c r="A759" s="2"/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</x:row>
    <x:row r="760" ht="23" customHeight="1">
      <x:c r="A760" s="2"/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</x:row>
    <x:row r="761" ht="23" customHeight="1">
      <x:c r="A761" s="2"/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</x:row>
    <x:row r="762" ht="23" customHeight="1">
      <x:c r="A762" s="2"/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</x:row>
    <x:row r="763" ht="23" customHeight="1">
      <x:c r="A763" s="2"/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</x:row>
    <x:row r="764" ht="23" customHeight="1">
      <x:c r="A764" s="2"/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</x:row>
    <x:row r="765" ht="23" customHeight="1">
      <x:c r="A765" s="2"/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</x:row>
    <x:row r="766" ht="23" customHeight="1">
      <x:c r="A766" s="2"/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</x:row>
    <x:row r="767" ht="23" customHeight="1">
      <x:c r="A767" s="2"/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</x:row>
    <x:row r="768" ht="23" customHeight="1">
      <x:c r="A768" s="2"/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</x:row>
    <x:row r="769" ht="23" customHeight="1">
      <x:c r="A769" s="2"/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</x:row>
    <x:row r="770" ht="23" customHeight="1">
      <x:c r="A770" s="2"/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</x:row>
    <x:row r="771" ht="23" customHeight="1">
      <x:c r="A771" s="2"/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</x:row>
    <x:row r="772" ht="23" customHeight="1">
      <x:c r="A772" s="2"/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</x:row>
    <x:row r="773" ht="23" customHeight="1">
      <x:c r="A773" s="2"/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</x:row>
    <x:row r="774" ht="23" customHeight="1">
      <x:c r="A774" s="2"/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</x:row>
    <x:row r="775" ht="23" customHeight="1">
      <x:c r="A775" s="2"/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</x:row>
    <x:row r="776" ht="23" customHeight="1">
      <x:c r="A776" s="2"/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</x:row>
    <x:row r="777" ht="23" customHeight="1">
      <x:c r="A777" s="2"/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</x:row>
    <x:row r="778" ht="23" customHeight="1">
      <x:c r="A778" s="2"/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</x:row>
    <x:row r="779" ht="23" customHeight="1">
      <x:c r="A779" s="2"/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</x:row>
    <x:row r="780" ht="23" customHeight="1">
      <x:c r="A780" s="2"/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</x:row>
    <x:row r="781" ht="23" customHeight="1">
      <x:c r="A781" s="2"/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</x:row>
    <x:row r="782" ht="23" customHeight="1">
      <x:c r="A782" s="2"/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</x:row>
    <x:row r="783" ht="23" customHeight="1">
      <x:c r="A783" s="2"/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</x:row>
    <x:row r="784" ht="23" customHeight="1">
      <x:c r="A784" s="2"/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</x:row>
    <x:row r="785" ht="23" customHeight="1">
      <x:c r="A785" s="2"/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</x:row>
    <x:row r="786" ht="23" customHeight="1">
      <x:c r="A786" s="2"/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</x:row>
    <x:row r="787" ht="23" customHeight="1">
      <x:c r="A787" s="2"/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</x:row>
    <x:row r="788" ht="23" customHeight="1">
      <x:c r="A788" s="2"/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</x:row>
    <x:row r="789" ht="23" customHeight="1">
      <x:c r="A789" s="2"/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</x:row>
    <x:row r="790" ht="23" customHeight="1">
      <x:c r="A790" s="2"/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</x:row>
    <x:row r="791" ht="23" customHeight="1">
      <x:c r="A791" s="2"/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</x:row>
    <x:row r="792" ht="23" customHeight="1">
      <x:c r="A792" s="2"/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</x:row>
    <x:row r="793" ht="23" customHeight="1">
      <x:c r="A793" s="2"/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</x:row>
    <x:row r="794" ht="23" customHeight="1">
      <x:c r="A794" s="2"/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</x:row>
    <x:row r="795" ht="23" customHeight="1">
      <x:c r="A795" s="2"/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</x:row>
    <x:row r="796" ht="23" customHeight="1">
      <x:c r="A796" s="2"/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</x:row>
    <x:row r="797" ht="23" customHeight="1">
      <x:c r="A797" s="2"/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</x:row>
    <x:row r="798" ht="23" customHeight="1">
      <x:c r="A798" s="2"/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</x:row>
    <x:row r="799" ht="23" customHeight="1">
      <x:c r="A799" s="2"/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</x:row>
    <x:row r="800" ht="23" customHeight="1">
      <x:c r="A800" s="2"/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</x:row>
    <x:row r="801" ht="23" customHeight="1">
      <x:c r="A801" s="2"/>
      <x:c r="B801" s="2"/>
      <x:c r="C801" s="2"/>
      <x:c r="D801" s="2"/>
      <x:c r="E801" s="2"/>
      <x:c r="F801" s="2"/>
      <x:c r="G801" s="2"/>
      <x:c r="H801" s="2"/>
      <x:c r="I801" s="2"/>
      <x:c r="J801" s="2"/>
      <x:c r="K801" s="2"/>
      <x:c r="L801" s="2"/>
      <x:c r="M801" s="2"/>
      <x:c r="N801" s="2"/>
    </x:row>
    <x:row r="802" ht="23" customHeight="1">
      <x:c r="A802" s="2"/>
      <x:c r="B802" s="2"/>
      <x:c r="C802" s="2"/>
      <x:c r="D802" s="2"/>
      <x:c r="E802" s="2"/>
      <x:c r="F802" s="2"/>
      <x:c r="G802" s="2"/>
      <x:c r="H802" s="2"/>
      <x:c r="I802" s="2"/>
      <x:c r="J802" s="2"/>
      <x:c r="K802" s="2"/>
      <x:c r="L802" s="2"/>
      <x:c r="M802" s="2"/>
      <x:c r="N802" s="2"/>
    </x:row>
    <x:row r="803" ht="23" customHeight="1">
      <x:c r="A803" s="2"/>
      <x:c r="B803" s="2"/>
      <x:c r="C803" s="2"/>
      <x:c r="D803" s="2"/>
      <x:c r="E803" s="2"/>
      <x:c r="F803" s="2"/>
      <x:c r="G803" s="2"/>
      <x:c r="H803" s="2"/>
      <x:c r="I803" s="2"/>
      <x:c r="J803" s="2"/>
      <x:c r="K803" s="2"/>
      <x:c r="L803" s="2"/>
      <x:c r="M803" s="2"/>
      <x:c r="N803" s="2"/>
    </x:row>
    <x:row r="804" ht="23" customHeight="1">
      <x:c r="A804" s="2"/>
      <x:c r="B804" s="2"/>
      <x:c r="C804" s="2"/>
      <x:c r="D804" s="2"/>
      <x:c r="E804" s="2"/>
      <x:c r="F804" s="2"/>
      <x:c r="G804" s="2"/>
      <x:c r="H804" s="2"/>
      <x:c r="I804" s="2"/>
      <x:c r="J804" s="2"/>
      <x:c r="K804" s="2"/>
      <x:c r="L804" s="2"/>
      <x:c r="M804" s="2"/>
      <x:c r="N804" s="2"/>
    </x:row>
    <x:row r="805" ht="23" customHeight="1">
      <x:c r="A805" s="2"/>
      <x:c r="B805" s="2"/>
      <x:c r="C805" s="2"/>
      <x:c r="D805" s="2"/>
      <x:c r="E805" s="2"/>
      <x:c r="F805" s="2"/>
      <x:c r="G805" s="2"/>
      <x:c r="H805" s="2"/>
      <x:c r="I805" s="2"/>
      <x:c r="J805" s="2"/>
      <x:c r="K805" s="2"/>
      <x:c r="L805" s="2"/>
      <x:c r="M805" s="2"/>
      <x:c r="N805" s="2"/>
    </x:row>
    <x:row r="806" ht="23" customHeight="1">
      <x:c r="A806" s="2"/>
      <x:c r="B806" s="2"/>
      <x:c r="C806" s="2"/>
      <x:c r="D806" s="2"/>
      <x:c r="E806" s="2"/>
      <x:c r="F806" s="2"/>
      <x:c r="G806" s="2"/>
      <x:c r="H806" s="2"/>
      <x:c r="I806" s="2"/>
      <x:c r="J806" s="2"/>
      <x:c r="K806" s="2"/>
      <x:c r="L806" s="2"/>
      <x:c r="M806" s="2"/>
      <x:c r="N806" s="2"/>
    </x:row>
    <x:row r="807" ht="23" customHeight="1">
      <x:c r="A807" s="2"/>
      <x:c r="B807" s="2"/>
      <x:c r="C807" s="2"/>
      <x:c r="D807" s="2"/>
      <x:c r="E807" s="2"/>
      <x:c r="F807" s="2"/>
      <x:c r="G807" s="2"/>
      <x:c r="H807" s="2"/>
      <x:c r="I807" s="2"/>
      <x:c r="J807" s="2"/>
      <x:c r="K807" s="2"/>
      <x:c r="L807" s="2"/>
      <x:c r="M807" s="2"/>
      <x:c r="N807" s="2"/>
    </x:row>
    <x:row r="808" ht="23" customHeight="1">
      <x:c r="A808" s="2"/>
      <x:c r="B808" s="2"/>
      <x:c r="C808" s="2"/>
      <x:c r="D808" s="2"/>
      <x:c r="E808" s="2"/>
      <x:c r="F808" s="2"/>
      <x:c r="G808" s="2"/>
      <x:c r="H808" s="2"/>
      <x:c r="I808" s="2"/>
      <x:c r="J808" s="2"/>
      <x:c r="K808" s="2"/>
      <x:c r="L808" s="2"/>
      <x:c r="M808" s="2"/>
      <x:c r="N808" s="2"/>
    </x:row>
    <x:row r="809" ht="23" customHeight="1">
      <x:c r="A809" s="2"/>
      <x:c r="B809" s="2"/>
      <x:c r="C809" s="2"/>
      <x:c r="D809" s="2"/>
      <x:c r="E809" s="2"/>
      <x:c r="F809" s="2"/>
      <x:c r="G809" s="2"/>
      <x:c r="H809" s="2"/>
      <x:c r="I809" s="2"/>
      <x:c r="J809" s="2"/>
      <x:c r="K809" s="2"/>
      <x:c r="L809" s="2"/>
      <x:c r="M809" s="2"/>
      <x:c r="N809" s="2"/>
    </x:row>
    <x:row r="810" ht="23" customHeight="1">
      <x:c r="A810" s="2"/>
      <x:c r="B810" s="2"/>
      <x:c r="C810" s="2"/>
      <x:c r="D810" s="2"/>
      <x:c r="E810" s="2"/>
      <x:c r="F810" s="2"/>
      <x:c r="G810" s="2"/>
      <x:c r="H810" s="2"/>
      <x:c r="I810" s="2"/>
      <x:c r="J810" s="2"/>
      <x:c r="K810" s="2"/>
      <x:c r="L810" s="2"/>
      <x:c r="M810" s="2"/>
      <x:c r="N810" s="2"/>
    </x:row>
    <x:row r="811" ht="23" customHeight="1">
      <x:c r="A811" s="2"/>
      <x:c r="B811" s="2"/>
      <x:c r="C811" s="2"/>
      <x:c r="D811" s="2"/>
      <x:c r="E811" s="2"/>
      <x:c r="F811" s="2"/>
      <x:c r="G811" s="2"/>
      <x:c r="H811" s="2"/>
      <x:c r="I811" s="2"/>
      <x:c r="J811" s="2"/>
      <x:c r="K811" s="2"/>
      <x:c r="L811" s="2"/>
      <x:c r="M811" s="2"/>
      <x:c r="N811" s="2"/>
    </x:row>
    <x:row r="812" ht="23" customHeight="1">
      <x:c r="A812" s="2"/>
      <x:c r="B812" s="2"/>
      <x:c r="C812" s="2"/>
      <x:c r="D812" s="2"/>
      <x:c r="E812" s="2"/>
      <x:c r="F812" s="2"/>
      <x:c r="G812" s="2"/>
      <x:c r="H812" s="2"/>
      <x:c r="I812" s="2"/>
      <x:c r="J812" s="2"/>
      <x:c r="K812" s="2"/>
      <x:c r="L812" s="2"/>
      <x:c r="M812" s="2"/>
      <x:c r="N812" s="2"/>
    </x:row>
    <x:row r="813" ht="23" customHeight="1">
      <x:c r="A813" s="2"/>
      <x:c r="B813" s="2"/>
      <x:c r="C813" s="2"/>
      <x:c r="D813" s="2"/>
      <x:c r="E813" s="2"/>
      <x:c r="F813" s="2"/>
      <x:c r="G813" s="2"/>
      <x:c r="H813" s="2"/>
      <x:c r="I813" s="2"/>
      <x:c r="J813" s="2"/>
      <x:c r="K813" s="2"/>
      <x:c r="L813" s="2"/>
      <x:c r="M813" s="2"/>
      <x:c r="N813" s="2"/>
    </x:row>
    <x:row r="814" ht="23" customHeight="1">
      <x:c r="A814" s="2"/>
      <x:c r="B814" s="2"/>
      <x:c r="C814" s="2"/>
      <x:c r="D814" s="2"/>
      <x:c r="E814" s="2"/>
      <x:c r="F814" s="2"/>
      <x:c r="G814" s="2"/>
      <x:c r="H814" s="2"/>
      <x:c r="I814" s="2"/>
      <x:c r="J814" s="2"/>
      <x:c r="K814" s="2"/>
      <x:c r="L814" s="2"/>
      <x:c r="M814" s="2"/>
      <x:c r="N814" s="2"/>
    </x:row>
    <x:row r="815" ht="23" customHeight="1">
      <x:c r="A815" s="2"/>
      <x:c r="B815" s="2"/>
      <x:c r="C815" s="2"/>
      <x:c r="D815" s="2"/>
      <x:c r="E815" s="2"/>
      <x:c r="F815" s="2"/>
      <x:c r="G815" s="2"/>
      <x:c r="H815" s="2"/>
      <x:c r="I815" s="2"/>
      <x:c r="J815" s="2"/>
      <x:c r="K815" s="2"/>
      <x:c r="L815" s="2"/>
      <x:c r="M815" s="2"/>
      <x:c r="N815" s="2"/>
    </x:row>
    <x:row r="816" ht="23" customHeight="1">
      <x:c r="A816" s="2"/>
      <x:c r="B816" s="2"/>
      <x:c r="C816" s="2"/>
      <x:c r="D816" s="2"/>
      <x:c r="E816" s="2"/>
      <x:c r="F816" s="2"/>
      <x:c r="G816" s="2"/>
      <x:c r="H816" s="2"/>
      <x:c r="I816" s="2"/>
      <x:c r="J816" s="2"/>
      <x:c r="K816" s="2"/>
      <x:c r="L816" s="2"/>
      <x:c r="M816" s="2"/>
      <x:c r="N816" s="2"/>
    </x:row>
    <x:row r="817" ht="23" customHeight="1">
      <x:c r="A817" s="2"/>
      <x:c r="B817" s="2"/>
      <x:c r="C817" s="2"/>
      <x:c r="D817" s="2"/>
      <x:c r="E817" s="2"/>
      <x:c r="F817" s="2"/>
      <x:c r="G817" s="2"/>
      <x:c r="H817" s="2"/>
      <x:c r="I817" s="2"/>
      <x:c r="J817" s="2"/>
      <x:c r="K817" s="2"/>
      <x:c r="L817" s="2"/>
      <x:c r="M817" s="2"/>
      <x:c r="N817" s="2"/>
    </x:row>
    <x:row r="818" ht="23" customHeight="1">
      <x:c r="A818" s="2"/>
      <x:c r="B818" s="2"/>
      <x:c r="C818" s="2"/>
      <x:c r="D818" s="2"/>
      <x:c r="E818" s="2"/>
      <x:c r="F818" s="2"/>
      <x:c r="G818" s="2"/>
      <x:c r="H818" s="2"/>
      <x:c r="I818" s="2"/>
      <x:c r="J818" s="2"/>
      <x:c r="K818" s="2"/>
      <x:c r="L818" s="2"/>
      <x:c r="M818" s="2"/>
      <x:c r="N818" s="2"/>
    </x:row>
    <x:row r="819" ht="23" customHeight="1">
      <x:c r="A819" s="2"/>
      <x:c r="B819" s="2"/>
      <x:c r="C819" s="2"/>
      <x:c r="D819" s="2"/>
      <x:c r="E819" s="2"/>
      <x:c r="F819" s="2"/>
      <x:c r="G819" s="2"/>
      <x:c r="H819" s="2"/>
      <x:c r="I819" s="2"/>
      <x:c r="J819" s="2"/>
      <x:c r="K819" s="2"/>
      <x:c r="L819" s="2"/>
      <x:c r="M819" s="2"/>
      <x:c r="N819" s="2"/>
    </x:row>
    <x:row r="820" ht="23" customHeight="1">
      <x:c r="A820" s="2"/>
      <x:c r="B820" s="2"/>
      <x:c r="C820" s="2"/>
      <x:c r="D820" s="2"/>
      <x:c r="E820" s="2"/>
      <x:c r="F820" s="2"/>
      <x:c r="G820" s="2"/>
      <x:c r="H820" s="2"/>
      <x:c r="I820" s="2"/>
      <x:c r="J820" s="2"/>
      <x:c r="K820" s="2"/>
      <x:c r="L820" s="2"/>
      <x:c r="M820" s="2"/>
      <x:c r="N820" s="2"/>
    </x:row>
    <x:row r="821" ht="23" customHeight="1">
      <x:c r="A821" s="2"/>
      <x:c r="B821" s="2"/>
      <x:c r="C821" s="2"/>
      <x:c r="D821" s="2"/>
      <x:c r="E821" s="2"/>
      <x:c r="F821" s="2"/>
      <x:c r="G821" s="2"/>
      <x:c r="H821" s="2"/>
      <x:c r="I821" s="2"/>
      <x:c r="J821" s="2"/>
      <x:c r="K821" s="2"/>
      <x:c r="L821" s="2"/>
      <x:c r="M821" s="2"/>
      <x:c r="N821" s="2"/>
    </x:row>
    <x:row r="822" ht="23" customHeight="1">
      <x:c r="A822" s="2"/>
      <x:c r="B822" s="2"/>
      <x:c r="C822" s="2"/>
      <x:c r="D822" s="2"/>
      <x:c r="E822" s="2"/>
      <x:c r="F822" s="2"/>
      <x:c r="G822" s="2"/>
      <x:c r="H822" s="2"/>
      <x:c r="I822" s="2"/>
      <x:c r="J822" s="2"/>
      <x:c r="K822" s="2"/>
      <x:c r="L822" s="2"/>
      <x:c r="M822" s="2"/>
      <x:c r="N822" s="2"/>
    </x:row>
    <x:row r="823" ht="23" customHeight="1">
      <x:c r="A823" s="2"/>
      <x:c r="B823" s="2"/>
      <x:c r="C823" s="2"/>
      <x:c r="D823" s="2"/>
      <x:c r="E823" s="2"/>
      <x:c r="F823" s="2"/>
      <x:c r="G823" s="2"/>
      <x:c r="H823" s="2"/>
      <x:c r="I823" s="2"/>
      <x:c r="J823" s="2"/>
      <x:c r="K823" s="2"/>
      <x:c r="L823" s="2"/>
      <x:c r="M823" s="2"/>
      <x:c r="N823" s="2"/>
    </x:row>
    <x:row r="824" ht="23" customHeight="1">
      <x:c r="A824" s="2"/>
      <x:c r="B824" s="2"/>
      <x:c r="C824" s="2"/>
      <x:c r="D824" s="2"/>
      <x:c r="E824" s="2"/>
      <x:c r="F824" s="2"/>
      <x:c r="G824" s="2"/>
      <x:c r="H824" s="2"/>
      <x:c r="I824" s="2"/>
      <x:c r="J824" s="2"/>
      <x:c r="K824" s="2"/>
      <x:c r="L824" s="2"/>
      <x:c r="M824" s="2"/>
      <x:c r="N824" s="2"/>
    </x:row>
    <x:row r="825" ht="23" customHeight="1">
      <x:c r="A825" s="2"/>
      <x:c r="B825" s="2"/>
      <x:c r="C825" s="2"/>
      <x:c r="D825" s="2"/>
      <x:c r="E825" s="2"/>
      <x:c r="F825" s="2"/>
      <x:c r="G825" s="2"/>
      <x:c r="H825" s="2"/>
      <x:c r="I825" s="2"/>
      <x:c r="J825" s="2"/>
      <x:c r="K825" s="2"/>
      <x:c r="L825" s="2"/>
      <x:c r="M825" s="2"/>
      <x:c r="N825" s="2"/>
    </x:row>
    <x:row r="826" ht="23" customHeight="1">
      <x:c r="A826" s="2"/>
      <x:c r="B826" s="2"/>
      <x:c r="C826" s="2"/>
      <x:c r="D826" s="2"/>
      <x:c r="E826" s="2"/>
      <x:c r="F826" s="2"/>
      <x:c r="G826" s="2"/>
      <x:c r="H826" s="2"/>
      <x:c r="I826" s="2"/>
      <x:c r="J826" s="2"/>
      <x:c r="K826" s="2"/>
      <x:c r="L826" s="2"/>
      <x:c r="M826" s="2"/>
      <x:c r="N826" s="2"/>
    </x:row>
    <x:row r="827" ht="23" customHeight="1">
      <x:c r="A827" s="2"/>
      <x:c r="B827" s="2"/>
      <x:c r="C827" s="2"/>
      <x:c r="D827" s="2"/>
      <x:c r="E827" s="2"/>
      <x:c r="F827" s="2"/>
      <x:c r="G827" s="2"/>
      <x:c r="H827" s="2"/>
      <x:c r="I827" s="2"/>
      <x:c r="J827" s="2"/>
      <x:c r="K827" s="2"/>
      <x:c r="L827" s="2"/>
      <x:c r="M827" s="2"/>
      <x:c r="N827" s="2"/>
    </x:row>
    <x:row r="828" ht="23" customHeight="1">
      <x:c r="A828" s="2"/>
      <x:c r="B828" s="2"/>
      <x:c r="C828" s="2"/>
      <x:c r="D828" s="2"/>
      <x:c r="E828" s="2"/>
      <x:c r="F828" s="2"/>
      <x:c r="G828" s="2"/>
      <x:c r="H828" s="2"/>
      <x:c r="I828" s="2"/>
      <x:c r="J828" s="2"/>
      <x:c r="K828" s="2"/>
      <x:c r="L828" s="2"/>
      <x:c r="M828" s="2"/>
      <x:c r="N828" s="2"/>
    </x:row>
    <x:row r="829" ht="23" customHeight="1">
      <x:c r="A829" s="2"/>
      <x:c r="B829" s="2"/>
      <x:c r="C829" s="2"/>
      <x:c r="D829" s="2"/>
      <x:c r="E829" s="2"/>
      <x:c r="F829" s="2"/>
      <x:c r="G829" s="2"/>
      <x:c r="H829" s="2"/>
      <x:c r="I829" s="2"/>
      <x:c r="J829" s="2"/>
      <x:c r="K829" s="2"/>
      <x:c r="L829" s="2"/>
      <x:c r="M829" s="2"/>
      <x:c r="N829" s="2"/>
    </x:row>
    <x:row r="830" ht="23" customHeight="1">
      <x:c r="A830" s="2"/>
      <x:c r="B830" s="2"/>
      <x:c r="C830" s="2"/>
      <x:c r="D830" s="2"/>
      <x:c r="E830" s="2"/>
      <x:c r="F830" s="2"/>
      <x:c r="G830" s="2"/>
      <x:c r="H830" s="2"/>
      <x:c r="I830" s="2"/>
      <x:c r="J830" s="2"/>
      <x:c r="K830" s="2"/>
      <x:c r="L830" s="2"/>
      <x:c r="M830" s="2"/>
      <x:c r="N830" s="2"/>
    </x:row>
    <x:row r="831" ht="23" customHeight="1">
      <x:c r="A831" s="2"/>
      <x:c r="B831" s="2"/>
      <x:c r="C831" s="2"/>
      <x:c r="D831" s="2"/>
      <x:c r="E831" s="2"/>
      <x:c r="F831" s="2"/>
      <x:c r="G831" s="2"/>
      <x:c r="H831" s="2"/>
      <x:c r="I831" s="2"/>
      <x:c r="J831" s="2"/>
      <x:c r="K831" s="2"/>
      <x:c r="L831" s="2"/>
      <x:c r="M831" s="2"/>
      <x:c r="N831" s="2"/>
    </x:row>
    <x:row r="832" ht="23" customHeight="1">
      <x:c r="A832" s="2"/>
      <x:c r="B832" s="2"/>
      <x:c r="C832" s="2"/>
      <x:c r="D832" s="2"/>
      <x:c r="E832" s="2"/>
      <x:c r="F832" s="2"/>
      <x:c r="G832" s="2"/>
      <x:c r="H832" s="2"/>
      <x:c r="I832" s="2"/>
      <x:c r="J832" s="2"/>
      <x:c r="K832" s="2"/>
      <x:c r="L832" s="2"/>
      <x:c r="M832" s="2"/>
      <x:c r="N832" s="2"/>
    </x:row>
    <x:row r="833" ht="23" customHeight="1">
      <x:c r="A833" s="2"/>
      <x:c r="B833" s="2"/>
      <x:c r="C833" s="2"/>
      <x:c r="D833" s="2"/>
      <x:c r="E833" s="2"/>
      <x:c r="F833" s="2"/>
      <x:c r="G833" s="2"/>
      <x:c r="H833" s="2"/>
      <x:c r="I833" s="2"/>
      <x:c r="J833" s="2"/>
      <x:c r="K833" s="2"/>
      <x:c r="L833" s="2"/>
      <x:c r="M833" s="2"/>
      <x:c r="N833" s="2"/>
    </x:row>
    <x:row r="834" ht="23" customHeight="1">
      <x:c r="A834" s="2"/>
      <x:c r="B834" s="2"/>
      <x:c r="C834" s="2"/>
      <x:c r="D834" s="2"/>
      <x:c r="E834" s="2"/>
      <x:c r="F834" s="2"/>
      <x:c r="G834" s="2"/>
      <x:c r="H834" s="2"/>
      <x:c r="I834" s="2"/>
      <x:c r="J834" s="2"/>
      <x:c r="K834" s="2"/>
      <x:c r="L834" s="2"/>
      <x:c r="M834" s="2"/>
      <x:c r="N834" s="2"/>
    </x:row>
    <x:row r="835" ht="23" customHeight="1">
      <x:c r="A835" s="2"/>
      <x:c r="B835" s="2"/>
      <x:c r="C835" s="2"/>
      <x:c r="D835" s="2"/>
      <x:c r="E835" s="2"/>
      <x:c r="F835" s="2"/>
      <x:c r="G835" s="2"/>
      <x:c r="H835" s="2"/>
      <x:c r="I835" s="2"/>
      <x:c r="J835" s="2"/>
      <x:c r="K835" s="2"/>
      <x:c r="L835" s="2"/>
      <x:c r="M835" s="2"/>
      <x:c r="N835" s="2"/>
    </x:row>
    <x:row r="836" ht="23" customHeight="1">
      <x:c r="A836" s="2"/>
      <x:c r="B836" s="2"/>
      <x:c r="C836" s="2"/>
      <x:c r="D836" s="2"/>
      <x:c r="E836" s="2"/>
      <x:c r="F836" s="2"/>
      <x:c r="G836" s="2"/>
      <x:c r="H836" s="2"/>
      <x:c r="I836" s="2"/>
      <x:c r="J836" s="2"/>
      <x:c r="K836" s="2"/>
      <x:c r="L836" s="2"/>
      <x:c r="M836" s="2"/>
      <x:c r="N836" s="2"/>
    </x:row>
    <x:row r="837" ht="23" customHeight="1">
      <x:c r="A837" s="2"/>
      <x:c r="B837" s="2"/>
      <x:c r="C837" s="2"/>
      <x:c r="D837" s="2"/>
      <x:c r="E837" s="2"/>
      <x:c r="F837" s="2"/>
      <x:c r="G837" s="2"/>
      <x:c r="H837" s="2"/>
      <x:c r="I837" s="2"/>
      <x:c r="J837" s="2"/>
      <x:c r="K837" s="2"/>
      <x:c r="L837" s="2"/>
      <x:c r="M837" s="2"/>
      <x:c r="N837" s="2"/>
    </x:row>
    <x:row r="838" ht="23" customHeight="1">
      <x:c r="A838" s="2"/>
      <x:c r="B838" s="2"/>
      <x:c r="C838" s="2"/>
      <x:c r="D838" s="2"/>
      <x:c r="E838" s="2"/>
      <x:c r="F838" s="2"/>
      <x:c r="G838" s="2"/>
      <x:c r="H838" s="2"/>
      <x:c r="I838" s="2"/>
      <x:c r="J838" s="2"/>
      <x:c r="K838" s="2"/>
      <x:c r="L838" s="2"/>
      <x:c r="M838" s="2"/>
      <x:c r="N838" s="2"/>
    </x:row>
    <x:row r="839" ht="23" customHeight="1">
      <x:c r="A839" s="2"/>
      <x:c r="B839" s="2"/>
      <x:c r="C839" s="2"/>
      <x:c r="D839" s="2"/>
      <x:c r="E839" s="2"/>
      <x:c r="F839" s="2"/>
      <x:c r="G839" s="2"/>
      <x:c r="H839" s="2"/>
      <x:c r="I839" s="2"/>
      <x:c r="J839" s="2"/>
      <x:c r="K839" s="2"/>
      <x:c r="L839" s="2"/>
      <x:c r="M839" s="2"/>
      <x:c r="N839" s="2"/>
    </x:row>
    <x:row r="840" ht="23" customHeight="1">
      <x:c r="A840" s="2"/>
      <x:c r="B840" s="2"/>
      <x:c r="C840" s="2"/>
      <x:c r="D840" s="2"/>
      <x:c r="E840" s="2"/>
      <x:c r="F840" s="2"/>
      <x:c r="G840" s="2"/>
      <x:c r="H840" s="2"/>
      <x:c r="I840" s="2"/>
      <x:c r="J840" s="2"/>
      <x:c r="K840" s="2"/>
      <x:c r="L840" s="2"/>
      <x:c r="M840" s="2"/>
      <x:c r="N840" s="2"/>
    </x:row>
    <x:row r="841" ht="23" customHeight="1">
      <x:c r="A841" s="2"/>
      <x:c r="B841" s="2"/>
      <x:c r="C841" s="2"/>
      <x:c r="D841" s="2"/>
      <x:c r="E841" s="2"/>
      <x:c r="F841" s="2"/>
      <x:c r="G841" s="2"/>
      <x:c r="H841" s="2"/>
      <x:c r="I841" s="2"/>
      <x:c r="J841" s="2"/>
      <x:c r="K841" s="2"/>
      <x:c r="L841" s="2"/>
      <x:c r="M841" s="2"/>
      <x:c r="N841" s="2"/>
    </x:row>
    <x:row r="842" ht="23" customHeight="1">
      <x:c r="A842" s="2"/>
      <x:c r="B842" s="2"/>
      <x:c r="C842" s="2"/>
      <x:c r="D842" s="2"/>
      <x:c r="E842" s="2"/>
      <x:c r="F842" s="2"/>
      <x:c r="G842" s="2"/>
      <x:c r="H842" s="2"/>
      <x:c r="I842" s="2"/>
      <x:c r="J842" s="2"/>
      <x:c r="K842" s="2"/>
      <x:c r="L842" s="2"/>
      <x:c r="M842" s="2"/>
      <x:c r="N842" s="2"/>
    </x:row>
    <x:row r="843" ht="23" customHeight="1">
      <x:c r="A843" s="2"/>
      <x:c r="B843" s="2"/>
      <x:c r="C843" s="2"/>
      <x:c r="D843" s="2"/>
      <x:c r="E843" s="2"/>
      <x:c r="F843" s="2"/>
      <x:c r="G843" s="2"/>
      <x:c r="H843" s="2"/>
      <x:c r="I843" s="2"/>
      <x:c r="J843" s="2"/>
      <x:c r="K843" s="2"/>
      <x:c r="L843" s="2"/>
      <x:c r="M843" s="2"/>
      <x:c r="N843" s="2"/>
    </x:row>
    <x:row r="844" ht="23" customHeight="1">
      <x:c r="A844" s="2"/>
      <x:c r="B844" s="2"/>
      <x:c r="C844" s="2"/>
      <x:c r="D844" s="2"/>
      <x:c r="E844" s="2"/>
      <x:c r="F844" s="2"/>
      <x:c r="G844" s="2"/>
      <x:c r="H844" s="2"/>
      <x:c r="I844" s="2"/>
      <x:c r="J844" s="2"/>
      <x:c r="K844" s="2"/>
      <x:c r="L844" s="2"/>
      <x:c r="M844" s="2"/>
      <x:c r="N844" s="2"/>
    </x:row>
    <x:row r="845" ht="23" customHeight="1">
      <x:c r="A845" s="2"/>
      <x:c r="B845" s="2"/>
      <x:c r="C845" s="2"/>
      <x:c r="D845" s="2"/>
      <x:c r="E845" s="2"/>
      <x:c r="F845" s="2"/>
      <x:c r="G845" s="2"/>
      <x:c r="H845" s="2"/>
      <x:c r="I845" s="2"/>
      <x:c r="J845" s="2"/>
      <x:c r="K845" s="2"/>
      <x:c r="L845" s="2"/>
      <x:c r="M845" s="2"/>
      <x:c r="N845" s="2"/>
    </x:row>
    <x:row r="846" ht="23" customHeight="1">
      <x:c r="A846" s="2"/>
      <x:c r="B846" s="2"/>
      <x:c r="C846" s="2"/>
      <x:c r="D846" s="2"/>
      <x:c r="E846" s="2"/>
      <x:c r="F846" s="2"/>
      <x:c r="G846" s="2"/>
      <x:c r="H846" s="2"/>
      <x:c r="I846" s="2"/>
      <x:c r="J846" s="2"/>
      <x:c r="K846" s="2"/>
      <x:c r="L846" s="2"/>
      <x:c r="M846" s="2"/>
      <x:c r="N846" s="2"/>
    </x:row>
    <x:row r="847" ht="23" customHeight="1">
      <x:c r="A847" s="2"/>
      <x:c r="B847" s="2"/>
      <x:c r="C847" s="2"/>
      <x:c r="D847" s="2"/>
      <x:c r="E847" s="2"/>
      <x:c r="F847" s="2"/>
      <x:c r="G847" s="2"/>
      <x:c r="H847" s="2"/>
      <x:c r="I847" s="2"/>
      <x:c r="J847" s="2"/>
      <x:c r="K847" s="2"/>
      <x:c r="L847" s="2"/>
      <x:c r="M847" s="2"/>
      <x:c r="N847" s="2"/>
    </x:row>
    <x:row r="848" ht="23" customHeight="1">
      <x:c r="A848" s="2"/>
      <x:c r="B848" s="2"/>
      <x:c r="C848" s="2"/>
      <x:c r="D848" s="2"/>
      <x:c r="E848" s="2"/>
      <x:c r="F848" s="2"/>
      <x:c r="G848" s="2"/>
      <x:c r="H848" s="2"/>
      <x:c r="I848" s="2"/>
      <x:c r="J848" s="2"/>
      <x:c r="K848" s="2"/>
      <x:c r="L848" s="2"/>
      <x:c r="M848" s="2"/>
      <x:c r="N848" s="2"/>
    </x:row>
    <x:row r="849" ht="23" customHeight="1">
      <x:c r="A849" s="2"/>
      <x:c r="B849" s="2"/>
      <x:c r="C849" s="2"/>
      <x:c r="D849" s="2"/>
      <x:c r="E849" s="2"/>
      <x:c r="F849" s="2"/>
      <x:c r="G849" s="2"/>
      <x:c r="H849" s="2"/>
      <x:c r="I849" s="2"/>
      <x:c r="J849" s="2"/>
      <x:c r="K849" s="2"/>
      <x:c r="L849" s="2"/>
      <x:c r="M849" s="2"/>
      <x:c r="N849" s="2"/>
    </x:row>
    <x:row r="850" ht="23" customHeight="1">
      <x:c r="A850" s="2"/>
      <x:c r="B850" s="2"/>
      <x:c r="C850" s="2"/>
      <x:c r="D850" s="2"/>
      <x:c r="E850" s="2"/>
      <x:c r="F850" s="2"/>
      <x:c r="G850" s="2"/>
      <x:c r="H850" s="2"/>
      <x:c r="I850" s="2"/>
      <x:c r="J850" s="2"/>
      <x:c r="K850" s="2"/>
      <x:c r="L850" s="2"/>
      <x:c r="M850" s="2"/>
      <x:c r="N850" s="2"/>
    </x:row>
    <x:row r="851" ht="23" customHeight="1">
      <x:c r="A851" s="2"/>
      <x:c r="B851" s="2"/>
      <x:c r="C851" s="2"/>
      <x:c r="D851" s="2"/>
      <x:c r="E851" s="2"/>
      <x:c r="F851" s="2"/>
      <x:c r="G851" s="2"/>
      <x:c r="H851" s="2"/>
      <x:c r="I851" s="2"/>
      <x:c r="J851" s="2"/>
      <x:c r="K851" s="2"/>
      <x:c r="L851" s="2"/>
      <x:c r="M851" s="2"/>
      <x:c r="N851" s="2"/>
    </x:row>
    <x:row r="852" ht="23" customHeight="1">
      <x:c r="A852" s="2"/>
      <x:c r="B852" s="2"/>
      <x:c r="C852" s="2"/>
      <x:c r="D852" s="2"/>
      <x:c r="E852" s="2"/>
      <x:c r="F852" s="2"/>
      <x:c r="G852" s="2"/>
      <x:c r="H852" s="2"/>
      <x:c r="I852" s="2"/>
      <x:c r="J852" s="2"/>
      <x:c r="K852" s="2"/>
      <x:c r="L852" s="2"/>
      <x:c r="M852" s="2"/>
      <x:c r="N852" s="2"/>
    </x:row>
    <x:row r="853" ht="23" customHeight="1">
      <x:c r="A853" s="2"/>
      <x:c r="B853" s="2"/>
      <x:c r="C853" s="2"/>
      <x:c r="D853" s="2"/>
      <x:c r="E853" s="2"/>
      <x:c r="F853" s="2"/>
      <x:c r="G853" s="2"/>
      <x:c r="H853" s="2"/>
      <x:c r="I853" s="2"/>
      <x:c r="J853" s="2"/>
      <x:c r="K853" s="2"/>
      <x:c r="L853" s="2"/>
      <x:c r="M853" s="2"/>
      <x:c r="N853" s="2"/>
    </x:row>
    <x:row r="854" ht="23" customHeight="1">
      <x:c r="A854" s="2"/>
      <x:c r="B854" s="2"/>
      <x:c r="C854" s="2"/>
      <x:c r="D854" s="2"/>
      <x:c r="E854" s="2"/>
      <x:c r="F854" s="2"/>
      <x:c r="G854" s="2"/>
      <x:c r="H854" s="2"/>
      <x:c r="I854" s="2"/>
      <x:c r="J854" s="2"/>
      <x:c r="K854" s="2"/>
      <x:c r="L854" s="2"/>
      <x:c r="M854" s="2"/>
      <x:c r="N854" s="2"/>
    </x:row>
    <x:row r="855" ht="23" customHeight="1">
      <x:c r="A855" s="2"/>
      <x:c r="B855" s="2"/>
      <x:c r="C855" s="2"/>
      <x:c r="D855" s="2"/>
      <x:c r="E855" s="2"/>
      <x:c r="F855" s="2"/>
      <x:c r="G855" s="2"/>
      <x:c r="H855" s="2"/>
      <x:c r="I855" s="2"/>
      <x:c r="J855" s="2"/>
      <x:c r="K855" s="2"/>
      <x:c r="L855" s="2"/>
      <x:c r="M855" s="2"/>
      <x:c r="N855" s="2"/>
    </x:row>
    <x:row r="856" ht="23" customHeight="1">
      <x:c r="A856" s="2"/>
      <x:c r="B856" s="2"/>
      <x:c r="C856" s="2"/>
      <x:c r="D856" s="2"/>
      <x:c r="E856" s="2"/>
      <x:c r="F856" s="2"/>
      <x:c r="G856" s="2"/>
      <x:c r="H856" s="2"/>
      <x:c r="I856" s="2"/>
      <x:c r="J856" s="2"/>
      <x:c r="K856" s="2"/>
      <x:c r="L856" s="2"/>
      <x:c r="M856" s="2"/>
      <x:c r="N856" s="2"/>
    </x:row>
    <x:row r="857" ht="23" customHeight="1">
      <x:c r="A857" s="2"/>
      <x:c r="B857" s="2"/>
      <x:c r="C857" s="2"/>
      <x:c r="D857" s="2"/>
      <x:c r="E857" s="2"/>
      <x:c r="F857" s="2"/>
      <x:c r="G857" s="2"/>
      <x:c r="H857" s="2"/>
      <x:c r="I857" s="2"/>
      <x:c r="J857" s="2"/>
      <x:c r="K857" s="2"/>
      <x:c r="L857" s="2"/>
      <x:c r="M857" s="2"/>
      <x:c r="N857" s="2"/>
    </x:row>
    <x:row r="858" ht="23" customHeight="1">
      <x:c r="A858" s="2"/>
      <x:c r="B858" s="2"/>
      <x:c r="C858" s="2"/>
      <x:c r="D858" s="2"/>
      <x:c r="E858" s="2"/>
      <x:c r="F858" s="2"/>
      <x:c r="G858" s="2"/>
      <x:c r="H858" s="2"/>
      <x:c r="I858" s="2"/>
      <x:c r="J858" s="2"/>
      <x:c r="K858" s="2"/>
      <x:c r="L858" s="2"/>
      <x:c r="M858" s="2"/>
      <x:c r="N858" s="2"/>
    </x:row>
    <x:row r="859" ht="23" customHeight="1">
      <x:c r="A859" s="2"/>
      <x:c r="B859" s="2"/>
      <x:c r="C859" s="2"/>
      <x:c r="D859" s="2"/>
      <x:c r="E859" s="2"/>
      <x:c r="F859" s="2"/>
      <x:c r="G859" s="2"/>
      <x:c r="H859" s="2"/>
      <x:c r="I859" s="2"/>
      <x:c r="J859" s="2"/>
      <x:c r="K859" s="2"/>
      <x:c r="L859" s="2"/>
      <x:c r="M859" s="2"/>
      <x:c r="N859" s="2"/>
    </x:row>
    <x:row r="860" ht="23" customHeight="1">
      <x:c r="A860" s="2"/>
      <x:c r="B860" s="2"/>
      <x:c r="C860" s="2"/>
      <x:c r="D860" s="2"/>
      <x:c r="E860" s="2"/>
      <x:c r="F860" s="2"/>
      <x:c r="G860" s="2"/>
      <x:c r="H860" s="2"/>
      <x:c r="I860" s="2"/>
      <x:c r="J860" s="2"/>
      <x:c r="K860" s="2"/>
      <x:c r="L860" s="2"/>
      <x:c r="M860" s="2"/>
      <x:c r="N860" s="2"/>
    </x:row>
    <x:row r="861" ht="23" customHeight="1">
      <x:c r="A861" s="2"/>
      <x:c r="B861" s="2"/>
      <x:c r="C861" s="2"/>
      <x:c r="D861" s="2"/>
      <x:c r="E861" s="2"/>
      <x:c r="F861" s="2"/>
      <x:c r="G861" s="2"/>
      <x:c r="H861" s="2"/>
      <x:c r="I861" s="2"/>
      <x:c r="J861" s="2"/>
      <x:c r="K861" s="2"/>
      <x:c r="L861" s="2"/>
      <x:c r="M861" s="2"/>
      <x:c r="N861" s="2"/>
    </x:row>
    <x:row r="862" ht="23" customHeight="1">
      <x:c r="A862" s="2"/>
      <x:c r="B862" s="2"/>
      <x:c r="C862" s="2"/>
      <x:c r="D862" s="2"/>
      <x:c r="E862" s="2"/>
      <x:c r="F862" s="2"/>
      <x:c r="G862" s="2"/>
      <x:c r="H862" s="2"/>
      <x:c r="I862" s="2"/>
      <x:c r="J862" s="2"/>
      <x:c r="K862" s="2"/>
      <x:c r="L862" s="2"/>
      <x:c r="M862" s="2"/>
      <x:c r="N862" s="2"/>
    </x:row>
    <x:row r="863" ht="23" customHeight="1">
      <x:c r="A863" s="2"/>
      <x:c r="B863" s="2"/>
      <x:c r="C863" s="2"/>
      <x:c r="D863" s="2"/>
      <x:c r="E863" s="2"/>
      <x:c r="F863" s="2"/>
      <x:c r="G863" s="2"/>
      <x:c r="H863" s="2"/>
      <x:c r="I863" s="2"/>
      <x:c r="J863" s="2"/>
      <x:c r="K863" s="2"/>
      <x:c r="L863" s="2"/>
      <x:c r="M863" s="2"/>
      <x:c r="N863" s="2"/>
    </x:row>
    <x:row r="864" ht="23" customHeight="1">
      <x:c r="A864" s="2"/>
      <x:c r="B864" s="2"/>
      <x:c r="C864" s="2"/>
      <x:c r="D864" s="2"/>
      <x:c r="E864" s="2"/>
      <x:c r="F864" s="2"/>
      <x:c r="G864" s="2"/>
      <x:c r="H864" s="2"/>
      <x:c r="I864" s="2"/>
      <x:c r="J864" s="2"/>
      <x:c r="K864" s="2"/>
      <x:c r="L864" s="2"/>
      <x:c r="M864" s="2"/>
      <x:c r="N864" s="2"/>
    </x:row>
    <x:row r="865" ht="23" customHeight="1">
      <x:c r="A865" s="2"/>
      <x:c r="B865" s="2"/>
      <x:c r="C865" s="2"/>
      <x:c r="D865" s="2"/>
      <x:c r="E865" s="2"/>
      <x:c r="F865" s="2"/>
      <x:c r="G865" s="2"/>
      <x:c r="H865" s="2"/>
      <x:c r="I865" s="2"/>
      <x:c r="J865" s="2"/>
      <x:c r="K865" s="2"/>
      <x:c r="L865" s="2"/>
      <x:c r="M865" s="2"/>
      <x:c r="N865" s="2"/>
    </x:row>
    <x:row r="866" ht="23" customHeight="1">
      <x:c r="A866" s="2"/>
      <x:c r="B866" s="2"/>
      <x:c r="C866" s="2"/>
      <x:c r="D866" s="2"/>
      <x:c r="E866" s="2"/>
      <x:c r="F866" s="2"/>
      <x:c r="G866" s="2"/>
      <x:c r="H866" s="2"/>
      <x:c r="I866" s="2"/>
      <x:c r="J866" s="2"/>
      <x:c r="K866" s="2"/>
      <x:c r="L866" s="2"/>
      <x:c r="M866" s="2"/>
      <x:c r="N866" s="2"/>
    </x:row>
    <x:row r="867" ht="23" customHeight="1">
      <x:c r="A867" s="2"/>
      <x:c r="B867" s="2"/>
      <x:c r="C867" s="2"/>
      <x:c r="D867" s="2"/>
      <x:c r="E867" s="2"/>
      <x:c r="F867" s="2"/>
      <x:c r="G867" s="2"/>
      <x:c r="H867" s="2"/>
      <x:c r="I867" s="2"/>
      <x:c r="J867" s="2"/>
      <x:c r="K867" s="2"/>
      <x:c r="L867" s="2"/>
      <x:c r="M867" s="2"/>
      <x:c r="N867" s="2"/>
    </x:row>
    <x:row r="868" ht="23" customHeight="1">
      <x:c r="A868" s="2"/>
      <x:c r="B868" s="2"/>
      <x:c r="C868" s="2"/>
      <x:c r="D868" s="2"/>
      <x:c r="E868" s="2"/>
      <x:c r="F868" s="2"/>
      <x:c r="G868" s="2"/>
      <x:c r="H868" s="2"/>
      <x:c r="I868" s="2"/>
      <x:c r="J868" s="2"/>
      <x:c r="K868" s="2"/>
      <x:c r="L868" s="2"/>
      <x:c r="M868" s="2"/>
      <x:c r="N868" s="2"/>
    </x:row>
    <x:row r="869" ht="23" customHeight="1">
      <x:c r="A869" s="2"/>
      <x:c r="B869" s="2"/>
      <x:c r="C869" s="2"/>
      <x:c r="D869" s="2"/>
      <x:c r="E869" s="2"/>
      <x:c r="F869" s="2"/>
      <x:c r="G869" s="2"/>
      <x:c r="H869" s="2"/>
      <x:c r="I869" s="2"/>
      <x:c r="J869" s="2"/>
      <x:c r="K869" s="2"/>
      <x:c r="L869" s="2"/>
      <x:c r="M869" s="2"/>
      <x:c r="N869" s="2"/>
    </x:row>
    <x:row r="870" ht="23" customHeight="1">
      <x:c r="A870" s="2"/>
      <x:c r="B870" s="2"/>
      <x:c r="C870" s="2"/>
      <x:c r="D870" s="2"/>
      <x:c r="E870" s="2"/>
      <x:c r="F870" s="2"/>
      <x:c r="G870" s="2"/>
      <x:c r="H870" s="2"/>
      <x:c r="I870" s="2"/>
      <x:c r="J870" s="2"/>
      <x:c r="K870" s="2"/>
      <x:c r="L870" s="2"/>
      <x:c r="M870" s="2"/>
      <x:c r="N870" s="2"/>
    </x:row>
    <x:row r="871" ht="23" customHeight="1">
      <x:c r="A871" s="2"/>
      <x:c r="B871" s="2"/>
      <x:c r="C871" s="2"/>
      <x:c r="D871" s="2"/>
      <x:c r="E871" s="2"/>
      <x:c r="F871" s="2"/>
      <x:c r="G871" s="2"/>
      <x:c r="H871" s="2"/>
      <x:c r="I871" s="2"/>
      <x:c r="J871" s="2"/>
      <x:c r="K871" s="2"/>
      <x:c r="L871" s="2"/>
      <x:c r="M871" s="2"/>
      <x:c r="N871" s="2"/>
    </x:row>
    <x:row r="872" ht="23" customHeight="1">
      <x:c r="A872" s="2"/>
      <x:c r="B872" s="2"/>
      <x:c r="C872" s="2"/>
      <x:c r="D872" s="2"/>
      <x:c r="E872" s="2"/>
      <x:c r="F872" s="2"/>
      <x:c r="G872" s="2"/>
      <x:c r="H872" s="2"/>
      <x:c r="I872" s="2"/>
      <x:c r="J872" s="2"/>
      <x:c r="K872" s="2"/>
      <x:c r="L872" s="2"/>
      <x:c r="M872" s="2"/>
      <x:c r="N872" s="2"/>
    </x:row>
    <x:row r="873" ht="23" customHeight="1">
      <x:c r="A873" s="2"/>
      <x:c r="B873" s="2"/>
      <x:c r="C873" s="2"/>
      <x:c r="D873" s="2"/>
      <x:c r="E873" s="2"/>
      <x:c r="F873" s="2"/>
      <x:c r="G873" s="2"/>
      <x:c r="H873" s="2"/>
      <x:c r="I873" s="2"/>
      <x:c r="J873" s="2"/>
      <x:c r="K873" s="2"/>
      <x:c r="L873" s="2"/>
      <x:c r="M873" s="2"/>
      <x:c r="N873" s="2"/>
    </x:row>
    <x:row r="874" ht="23" customHeight="1">
      <x:c r="A874" s="2"/>
      <x:c r="B874" s="2"/>
      <x:c r="C874" s="2"/>
      <x:c r="D874" s="2"/>
      <x:c r="E874" s="2"/>
      <x:c r="F874" s="2"/>
      <x:c r="G874" s="2"/>
      <x:c r="H874" s="2"/>
      <x:c r="I874" s="2"/>
      <x:c r="J874" s="2"/>
      <x:c r="K874" s="2"/>
      <x:c r="L874" s="2"/>
      <x:c r="M874" s="2"/>
      <x:c r="N874" s="2"/>
    </x:row>
    <x:row r="875" ht="23" customHeight="1">
      <x:c r="A875" s="2"/>
      <x:c r="B875" s="2"/>
      <x:c r="C875" s="2"/>
      <x:c r="D875" s="2"/>
      <x:c r="E875" s="2"/>
      <x:c r="F875" s="2"/>
      <x:c r="G875" s="2"/>
      <x:c r="H875" s="2"/>
      <x:c r="I875" s="2"/>
      <x:c r="J875" s="2"/>
      <x:c r="K875" s="2"/>
      <x:c r="L875" s="2"/>
      <x:c r="M875" s="2"/>
      <x:c r="N875" s="2"/>
    </x:row>
    <x:row r="876" ht="23" customHeight="1">
      <x:c r="A876" s="2"/>
      <x:c r="B876" s="2"/>
      <x:c r="C876" s="2"/>
      <x:c r="D876" s="2"/>
      <x:c r="E876" s="2"/>
      <x:c r="F876" s="2"/>
      <x:c r="G876" s="2"/>
      <x:c r="H876" s="2"/>
      <x:c r="I876" s="2"/>
      <x:c r="J876" s="2"/>
      <x:c r="K876" s="2"/>
      <x:c r="L876" s="2"/>
      <x:c r="M876" s="2"/>
      <x:c r="N876" s="2"/>
    </x:row>
    <x:row r="877" ht="23" customHeight="1">
      <x:c r="A877" s="2"/>
      <x:c r="B877" s="2"/>
      <x:c r="C877" s="2"/>
      <x:c r="D877" s="2"/>
      <x:c r="E877" s="2"/>
      <x:c r="F877" s="2"/>
      <x:c r="G877" s="2"/>
      <x:c r="H877" s="2"/>
      <x:c r="I877" s="2"/>
      <x:c r="J877" s="2"/>
      <x:c r="K877" s="2"/>
      <x:c r="L877" s="2"/>
      <x:c r="M877" s="2"/>
      <x:c r="N877" s="2"/>
    </x:row>
    <x:row r="878" ht="23" customHeight="1">
      <x:c r="A878" s="2"/>
      <x:c r="B878" s="2"/>
      <x:c r="C878" s="2"/>
      <x:c r="D878" s="2"/>
      <x:c r="E878" s="2"/>
      <x:c r="F878" s="2"/>
      <x:c r="G878" s="2"/>
      <x:c r="H878" s="2"/>
      <x:c r="I878" s="2"/>
      <x:c r="J878" s="2"/>
      <x:c r="K878" s="2"/>
      <x:c r="L878" s="2"/>
      <x:c r="M878" s="2"/>
      <x:c r="N878" s="2"/>
    </x:row>
    <x:row r="879" ht="23" customHeight="1">
      <x:c r="A879" s="2"/>
      <x:c r="B879" s="2"/>
      <x:c r="C879" s="2"/>
      <x:c r="D879" s="2"/>
      <x:c r="E879" s="2"/>
      <x:c r="F879" s="2"/>
      <x:c r="G879" s="2"/>
      <x:c r="H879" s="2"/>
      <x:c r="I879" s="2"/>
      <x:c r="J879" s="2"/>
      <x:c r="K879" s="2"/>
      <x:c r="L879" s="2"/>
      <x:c r="M879" s="2"/>
      <x:c r="N879" s="2"/>
    </x:row>
    <x:row r="880" ht="23" customHeight="1">
      <x:c r="A880" s="2"/>
      <x:c r="B880" s="2"/>
      <x:c r="C880" s="2"/>
      <x:c r="D880" s="2"/>
      <x:c r="E880" s="2"/>
      <x:c r="F880" s="2"/>
      <x:c r="G880" s="2"/>
      <x:c r="H880" s="2"/>
      <x:c r="I880" s="2"/>
      <x:c r="J880" s="2"/>
      <x:c r="K880" s="2"/>
      <x:c r="L880" s="2"/>
      <x:c r="M880" s="2"/>
      <x:c r="N880" s="2"/>
    </x:row>
    <x:row r="881" ht="23" customHeight="1">
      <x:c r="A881" s="2"/>
      <x:c r="B881" s="2"/>
      <x:c r="C881" s="2"/>
      <x:c r="D881" s="2"/>
      <x:c r="E881" s="2"/>
      <x:c r="F881" s="2"/>
      <x:c r="G881" s="2"/>
      <x:c r="H881" s="2"/>
      <x:c r="I881" s="2"/>
      <x:c r="J881" s="2"/>
      <x:c r="K881" s="2"/>
      <x:c r="L881" s="2"/>
      <x:c r="M881" s="2"/>
      <x:c r="N881" s="2"/>
    </x:row>
    <x:row r="882" ht="23" customHeight="1">
      <x:c r="A882" s="2"/>
      <x:c r="B882" s="2"/>
      <x:c r="C882" s="2"/>
      <x:c r="D882" s="2"/>
      <x:c r="E882" s="2"/>
      <x:c r="F882" s="2"/>
      <x:c r="G882" s="2"/>
      <x:c r="H882" s="2"/>
      <x:c r="I882" s="2"/>
      <x:c r="J882" s="2"/>
      <x:c r="K882" s="2"/>
      <x:c r="L882" s="2"/>
      <x:c r="M882" s="2"/>
      <x:c r="N882" s="2"/>
    </x:row>
    <x:row r="883" ht="23" customHeight="1">
      <x:c r="A883" s="2"/>
      <x:c r="B883" s="2"/>
      <x:c r="C883" s="2"/>
      <x:c r="D883" s="2"/>
      <x:c r="E883" s="2"/>
      <x:c r="F883" s="2"/>
      <x:c r="G883" s="2"/>
      <x:c r="H883" s="2"/>
      <x:c r="I883" s="2"/>
      <x:c r="J883" s="2"/>
      <x:c r="K883" s="2"/>
      <x:c r="L883" s="2"/>
      <x:c r="M883" s="2"/>
      <x:c r="N883" s="2"/>
    </x:row>
    <x:row r="884" ht="23" customHeight="1">
      <x:c r="A884" s="2"/>
      <x:c r="B884" s="2"/>
      <x:c r="C884" s="2"/>
      <x:c r="D884" s="2"/>
      <x:c r="E884" s="2"/>
      <x:c r="F884" s="2"/>
      <x:c r="G884" s="2"/>
      <x:c r="H884" s="2"/>
      <x:c r="I884" s="2"/>
      <x:c r="J884" s="2"/>
      <x:c r="K884" s="2"/>
      <x:c r="L884" s="2"/>
      <x:c r="M884" s="2"/>
      <x:c r="N884" s="2"/>
    </x:row>
    <x:row r="885" ht="23" customHeight="1">
      <x:c r="A885" s="2"/>
      <x:c r="B885" s="2"/>
      <x:c r="C885" s="2"/>
      <x:c r="D885" s="2"/>
      <x:c r="E885" s="2"/>
      <x:c r="F885" s="2"/>
      <x:c r="G885" s="2"/>
      <x:c r="H885" s="2"/>
      <x:c r="I885" s="2"/>
      <x:c r="J885" s="2"/>
      <x:c r="K885" s="2"/>
      <x:c r="L885" s="2"/>
      <x:c r="M885" s="2"/>
      <x:c r="N885" s="2"/>
    </x:row>
    <x:row r="886" ht="23" customHeight="1">
      <x:c r="A886" s="2"/>
      <x:c r="B886" s="2"/>
      <x:c r="C886" s="2"/>
      <x:c r="D886" s="2"/>
      <x:c r="E886" s="2"/>
      <x:c r="F886" s="2"/>
      <x:c r="G886" s="2"/>
      <x:c r="H886" s="2"/>
      <x:c r="I886" s="2"/>
      <x:c r="J886" s="2"/>
      <x:c r="K886" s="2"/>
      <x:c r="L886" s="2"/>
      <x:c r="M886" s="2"/>
      <x:c r="N886" s="2"/>
    </x:row>
    <x:row r="887" ht="23" customHeight="1">
      <x:c r="A887" s="2"/>
      <x:c r="B887" s="2"/>
      <x:c r="C887" s="2"/>
      <x:c r="D887" s="2"/>
      <x:c r="E887" s="2"/>
      <x:c r="F887" s="2"/>
      <x:c r="G887" s="2"/>
      <x:c r="H887" s="2"/>
      <x:c r="I887" s="2"/>
      <x:c r="J887" s="2"/>
      <x:c r="K887" s="2"/>
      <x:c r="L887" s="2"/>
      <x:c r="M887" s="2"/>
      <x:c r="N887" s="2"/>
    </x:row>
    <x:row r="888" ht="23" customHeight="1">
      <x:c r="A888" s="2"/>
      <x:c r="B888" s="2"/>
      <x:c r="C888" s="2"/>
      <x:c r="D888" s="2"/>
      <x:c r="E888" s="2"/>
      <x:c r="F888" s="2"/>
      <x:c r="G888" s="2"/>
      <x:c r="H888" s="2"/>
      <x:c r="I888" s="2"/>
      <x:c r="J888" s="2"/>
      <x:c r="K888" s="2"/>
      <x:c r="L888" s="2"/>
      <x:c r="M888" s="2"/>
      <x:c r="N888" s="2"/>
    </x:row>
    <x:row r="889" ht="23" customHeight="1">
      <x:c r="A889" s="2"/>
      <x:c r="B889" s="2"/>
      <x:c r="C889" s="2"/>
      <x:c r="D889" s="2"/>
      <x:c r="E889" s="2"/>
      <x:c r="F889" s="2"/>
      <x:c r="G889" s="2"/>
      <x:c r="H889" s="2"/>
      <x:c r="I889" s="2"/>
      <x:c r="J889" s="2"/>
      <x:c r="K889" s="2"/>
      <x:c r="L889" s="2"/>
      <x:c r="M889" s="2"/>
      <x:c r="N889" s="2"/>
    </x:row>
    <x:row r="890" ht="23" customHeight="1">
      <x:c r="A890" s="2"/>
      <x:c r="B890" s="2"/>
      <x:c r="C890" s="2"/>
      <x:c r="D890" s="2"/>
      <x:c r="E890" s="2"/>
      <x:c r="F890" s="2"/>
      <x:c r="G890" s="2"/>
      <x:c r="H890" s="2"/>
      <x:c r="I890" s="2"/>
      <x:c r="J890" s="2"/>
      <x:c r="K890" s="2"/>
      <x:c r="L890" s="2"/>
      <x:c r="M890" s="2"/>
      <x:c r="N890" s="2"/>
    </x:row>
    <x:row r="891" ht="23" customHeight="1">
      <x:c r="A891" s="2"/>
      <x:c r="B891" s="2"/>
      <x:c r="C891" s="2"/>
      <x:c r="D891" s="2"/>
      <x:c r="E891" s="2"/>
      <x:c r="F891" s="2"/>
      <x:c r="G891" s="2"/>
      <x:c r="H891" s="2"/>
      <x:c r="I891" s="2"/>
      <x:c r="J891" s="2"/>
      <x:c r="K891" s="2"/>
      <x:c r="L891" s="2"/>
      <x:c r="M891" s="2"/>
      <x:c r="N891" s="2"/>
    </x:row>
    <x:row r="892" ht="23" customHeight="1">
      <x:c r="A892" s="2"/>
      <x:c r="B892" s="2"/>
      <x:c r="C892" s="2"/>
      <x:c r="D892" s="2"/>
      <x:c r="E892" s="2"/>
      <x:c r="F892" s="2"/>
      <x:c r="G892" s="2"/>
      <x:c r="H892" s="2"/>
      <x:c r="I892" s="2"/>
      <x:c r="J892" s="2"/>
      <x:c r="K892" s="2"/>
      <x:c r="L892" s="2"/>
      <x:c r="M892" s="2"/>
      <x:c r="N892" s="2"/>
    </x:row>
    <x:row r="893" ht="23" customHeight="1">
      <x:c r="A893" s="2"/>
      <x:c r="B893" s="2"/>
      <x:c r="C893" s="2"/>
      <x:c r="D893" s="2"/>
      <x:c r="E893" s="2"/>
      <x:c r="F893" s="2"/>
      <x:c r="G893" s="2"/>
      <x:c r="H893" s="2"/>
      <x:c r="I893" s="2"/>
      <x:c r="J893" s="2"/>
      <x:c r="K893" s="2"/>
      <x:c r="L893" s="2"/>
      <x:c r="M893" s="2"/>
      <x:c r="N893" s="2"/>
    </x:row>
    <x:row r="894" ht="23" customHeight="1">
      <x:c r="A894" s="2"/>
      <x:c r="B894" s="2"/>
      <x:c r="C894" s="2"/>
      <x:c r="D894" s="2"/>
      <x:c r="E894" s="2"/>
      <x:c r="F894" s="2"/>
      <x:c r="G894" s="2"/>
      <x:c r="H894" s="2"/>
      <x:c r="I894" s="2"/>
      <x:c r="J894" s="2"/>
      <x:c r="K894" s="2"/>
      <x:c r="L894" s="2"/>
      <x:c r="M894" s="2"/>
      <x:c r="N894" s="2"/>
    </x:row>
    <x:row r="895" ht="23" customHeight="1">
      <x:c r="A895" s="2"/>
      <x:c r="B895" s="2"/>
      <x:c r="C895" s="2"/>
      <x:c r="D895" s="2"/>
      <x:c r="E895" s="2"/>
      <x:c r="F895" s="2"/>
      <x:c r="G895" s="2"/>
      <x:c r="H895" s="2"/>
      <x:c r="I895" s="2"/>
      <x:c r="J895" s="2"/>
      <x:c r="K895" s="2"/>
      <x:c r="L895" s="2"/>
      <x:c r="M895" s="2"/>
      <x:c r="N895" s="2"/>
    </x:row>
    <x:row r="896" ht="23" customHeight="1">
      <x:c r="A896" s="2"/>
      <x:c r="B896" s="2"/>
      <x:c r="C896" s="2"/>
      <x:c r="D896" s="2"/>
      <x:c r="E896" s="2"/>
      <x:c r="F896" s="2"/>
      <x:c r="G896" s="2"/>
      <x:c r="H896" s="2"/>
      <x:c r="I896" s="2"/>
      <x:c r="J896" s="2"/>
      <x:c r="K896" s="2"/>
      <x:c r="L896" s="2"/>
      <x:c r="M896" s="2"/>
      <x:c r="N896" s="2"/>
    </x:row>
    <x:row r="897" ht="23" customHeight="1">
      <x:c r="A897" s="2"/>
      <x:c r="B897" s="2"/>
      <x:c r="C897" s="2"/>
      <x:c r="D897" s="2"/>
      <x:c r="E897" s="2"/>
      <x:c r="F897" s="2"/>
      <x:c r="G897" s="2"/>
      <x:c r="H897" s="2"/>
      <x:c r="I897" s="2"/>
      <x:c r="J897" s="2"/>
      <x:c r="K897" s="2"/>
      <x:c r="L897" s="2"/>
      <x:c r="M897" s="2"/>
      <x:c r="N897" s="2"/>
    </x:row>
    <x:row r="898" ht="23" customHeight="1">
      <x:c r="A898" s="2"/>
      <x:c r="B898" s="2"/>
      <x:c r="C898" s="2"/>
      <x:c r="D898" s="2"/>
      <x:c r="E898" s="2"/>
      <x:c r="F898" s="2"/>
      <x:c r="G898" s="2"/>
      <x:c r="H898" s="2"/>
      <x:c r="I898" s="2"/>
      <x:c r="J898" s="2"/>
      <x:c r="K898" s="2"/>
      <x:c r="L898" s="2"/>
      <x:c r="M898" s="2"/>
      <x:c r="N898" s="2"/>
    </x:row>
    <x:row r="899" ht="23" customHeight="1">
      <x:c r="A899" s="2"/>
      <x:c r="B899" s="2"/>
      <x:c r="C899" s="2"/>
      <x:c r="D899" s="2"/>
      <x:c r="E899" s="2"/>
      <x:c r="F899" s="2"/>
      <x:c r="G899" s="2"/>
      <x:c r="H899" s="2"/>
      <x:c r="I899" s="2"/>
      <x:c r="J899" s="2"/>
      <x:c r="K899" s="2"/>
      <x:c r="L899" s="2"/>
      <x:c r="M899" s="2"/>
      <x:c r="N899" s="2"/>
    </x:row>
    <x:row r="900" ht="23" customHeight="1">
      <x:c r="A900" s="2"/>
      <x:c r="B900" s="2"/>
      <x:c r="C900" s="2"/>
      <x:c r="D900" s="2"/>
      <x:c r="E900" s="2"/>
      <x:c r="F900" s="2"/>
      <x:c r="G900" s="2"/>
      <x:c r="H900" s="2"/>
      <x:c r="I900" s="2"/>
      <x:c r="J900" s="2"/>
      <x:c r="K900" s="2"/>
      <x:c r="L900" s="2"/>
      <x:c r="M900" s="2"/>
      <x:c r="N900" s="2"/>
    </x:row>
    <x:row r="901" ht="23" customHeight="1">
      <x:c r="A901" s="2"/>
      <x:c r="B901" s="2"/>
      <x:c r="C901" s="2"/>
      <x:c r="D901" s="2"/>
      <x:c r="E901" s="2"/>
      <x:c r="F901" s="2"/>
      <x:c r="G901" s="2"/>
      <x:c r="H901" s="2"/>
      <x:c r="I901" s="2"/>
      <x:c r="J901" s="2"/>
      <x:c r="K901" s="2"/>
      <x:c r="L901" s="2"/>
      <x:c r="M901" s="2"/>
      <x:c r="N901" s="2"/>
    </x:row>
    <x:row r="902" ht="23" customHeight="1">
      <x:c r="A902" s="2"/>
      <x:c r="B902" s="2"/>
      <x:c r="C902" s="2"/>
      <x:c r="D902" s="2"/>
      <x:c r="E902" s="2"/>
      <x:c r="F902" s="2"/>
      <x:c r="G902" s="2"/>
      <x:c r="H902" s="2"/>
      <x:c r="I902" s="2"/>
      <x:c r="J902" s="2"/>
      <x:c r="K902" s="2"/>
      <x:c r="L902" s="2"/>
      <x:c r="M902" s="2"/>
      <x:c r="N902" s="2"/>
    </x:row>
    <x:row r="903" ht="23" customHeight="1">
      <x:c r="A903" s="2"/>
      <x:c r="B903" s="2"/>
      <x:c r="C903" s="2"/>
      <x:c r="D903" s="2"/>
      <x:c r="E903" s="2"/>
      <x:c r="F903" s="2"/>
      <x:c r="G903" s="2"/>
      <x:c r="H903" s="2"/>
      <x:c r="I903" s="2"/>
      <x:c r="J903" s="2"/>
      <x:c r="K903" s="2"/>
      <x:c r="L903" s="2"/>
      <x:c r="M903" s="2"/>
      <x:c r="N903" s="2"/>
    </x:row>
    <x:row r="904" ht="23" customHeight="1">
      <x:c r="A904" s="2"/>
      <x:c r="B904" s="2"/>
      <x:c r="C904" s="2"/>
      <x:c r="D904" s="2"/>
      <x:c r="E904" s="2"/>
      <x:c r="F904" s="2"/>
      <x:c r="G904" s="2"/>
      <x:c r="H904" s="2"/>
      <x:c r="I904" s="2"/>
      <x:c r="J904" s="2"/>
      <x:c r="K904" s="2"/>
      <x:c r="L904" s="2"/>
      <x:c r="M904" s="2"/>
      <x:c r="N904" s="2"/>
    </x:row>
    <x:row r="905" ht="23" customHeight="1">
      <x:c r="A905" s="2"/>
      <x:c r="B905" s="2"/>
      <x:c r="C905" s="2"/>
      <x:c r="D905" s="2"/>
      <x:c r="E905" s="2"/>
      <x:c r="F905" s="2"/>
      <x:c r="G905" s="2"/>
      <x:c r="H905" s="2"/>
      <x:c r="I905" s="2"/>
      <x:c r="J905" s="2"/>
      <x:c r="K905" s="2"/>
      <x:c r="L905" s="2"/>
      <x:c r="M905" s="2"/>
      <x:c r="N905" s="2"/>
    </x:row>
    <x:row r="906" ht="23" customHeight="1">
      <x:c r="A906" s="2"/>
      <x:c r="B906" s="2"/>
      <x:c r="C906" s="2"/>
      <x:c r="D906" s="2"/>
      <x:c r="E906" s="2"/>
      <x:c r="F906" s="2"/>
      <x:c r="G906" s="2"/>
      <x:c r="H906" s="2"/>
      <x:c r="I906" s="2"/>
      <x:c r="J906" s="2"/>
      <x:c r="K906" s="2"/>
      <x:c r="L906" s="2"/>
      <x:c r="M906" s="2"/>
      <x:c r="N906" s="2"/>
    </x:row>
    <x:row r="907" ht="23" customHeight="1">
      <x:c r="A907" s="2"/>
      <x:c r="B907" s="2"/>
      <x:c r="C907" s="2"/>
      <x:c r="D907" s="2"/>
      <x:c r="E907" s="2"/>
      <x:c r="F907" s="2"/>
      <x:c r="G907" s="2"/>
      <x:c r="H907" s="2"/>
      <x:c r="I907" s="2"/>
      <x:c r="J907" s="2"/>
      <x:c r="K907" s="2"/>
      <x:c r="L907" s="2"/>
      <x:c r="M907" s="2"/>
      <x:c r="N907" s="2"/>
    </x:row>
    <x:row r="908" ht="23" customHeight="1">
      <x:c r="A908" s="2"/>
      <x:c r="B908" s="2"/>
      <x:c r="C908" s="2"/>
      <x:c r="D908" s="2"/>
      <x:c r="E908" s="2"/>
      <x:c r="F908" s="2"/>
      <x:c r="G908" s="2"/>
      <x:c r="H908" s="2"/>
      <x:c r="I908" s="2"/>
      <x:c r="J908" s="2"/>
      <x:c r="K908" s="2"/>
      <x:c r="L908" s="2"/>
      <x:c r="M908" s="2"/>
      <x:c r="N908" s="2"/>
    </x:row>
    <x:row r="909" ht="23" customHeight="1">
      <x:c r="A909" s="2"/>
      <x:c r="B909" s="2"/>
      <x:c r="C909" s="2"/>
      <x:c r="D909" s="2"/>
      <x:c r="E909" s="2"/>
      <x:c r="F909" s="2"/>
      <x:c r="G909" s="2"/>
      <x:c r="H909" s="2"/>
      <x:c r="I909" s="2"/>
      <x:c r="J909" s="2"/>
      <x:c r="K909" s="2"/>
      <x:c r="L909" s="2"/>
      <x:c r="M909" s="2"/>
      <x:c r="N909" s="2"/>
    </x:row>
    <x:row r="910" ht="23" customHeight="1">
      <x:c r="A910" s="2"/>
      <x:c r="B910" s="2"/>
      <x:c r="C910" s="2"/>
      <x:c r="D910" s="2"/>
      <x:c r="E910" s="2"/>
      <x:c r="F910" s="2"/>
      <x:c r="G910" s="2"/>
      <x:c r="H910" s="2"/>
      <x:c r="I910" s="2"/>
      <x:c r="J910" s="2"/>
      <x:c r="K910" s="2"/>
      <x:c r="L910" s="2"/>
      <x:c r="M910" s="2"/>
      <x:c r="N910" s="2"/>
    </x:row>
    <x:row r="911" ht="23" customHeight="1">
      <x:c r="A911" s="2"/>
      <x:c r="B911" s="2"/>
      <x:c r="C911" s="2"/>
      <x:c r="D911" s="2"/>
      <x:c r="E911" s="2"/>
      <x:c r="F911" s="2"/>
      <x:c r="G911" s="2"/>
      <x:c r="H911" s="2"/>
      <x:c r="I911" s="2"/>
      <x:c r="J911" s="2"/>
      <x:c r="K911" s="2"/>
      <x:c r="L911" s="2"/>
      <x:c r="M911" s="2"/>
      <x:c r="N911" s="2"/>
    </x:row>
    <x:row r="912" ht="23" customHeight="1">
      <x:c r="A912" s="2"/>
      <x:c r="B912" s="2"/>
      <x:c r="C912" s="2"/>
      <x:c r="D912" s="2"/>
      <x:c r="E912" s="2"/>
      <x:c r="F912" s="2"/>
      <x:c r="G912" s="2"/>
      <x:c r="H912" s="2"/>
      <x:c r="I912" s="2"/>
      <x:c r="J912" s="2"/>
      <x:c r="K912" s="2"/>
      <x:c r="L912" s="2"/>
      <x:c r="M912" s="2"/>
      <x:c r="N912" s="2"/>
    </x:row>
    <x:row r="913" ht="23" customHeight="1">
      <x:c r="A913" s="2"/>
      <x:c r="B913" s="2"/>
      <x:c r="C913" s="2"/>
      <x:c r="D913" s="2"/>
      <x:c r="E913" s="2"/>
      <x:c r="F913" s="2"/>
      <x:c r="G913" s="2"/>
      <x:c r="H913" s="2"/>
      <x:c r="I913" s="2"/>
      <x:c r="J913" s="2"/>
      <x:c r="K913" s="2"/>
      <x:c r="L913" s="2"/>
      <x:c r="M913" s="2"/>
      <x:c r="N913" s="2"/>
    </x:row>
    <x:row r="914" ht="23" customHeight="1">
      <x:c r="A914" s="2"/>
      <x:c r="B914" s="2"/>
      <x:c r="C914" s="2"/>
      <x:c r="D914" s="2"/>
      <x:c r="E914" s="2"/>
      <x:c r="F914" s="2"/>
      <x:c r="G914" s="2"/>
      <x:c r="H914" s="2"/>
      <x:c r="I914" s="2"/>
      <x:c r="J914" s="2"/>
      <x:c r="K914" s="2"/>
      <x:c r="L914" s="2"/>
      <x:c r="M914" s="2"/>
      <x:c r="N914" s="2"/>
    </x:row>
    <x:row r="915" ht="23" customHeight="1">
      <x:c r="A915" s="2"/>
      <x:c r="B915" s="2"/>
      <x:c r="C915" s="2"/>
      <x:c r="D915" s="2"/>
      <x:c r="E915" s="2"/>
      <x:c r="F915" s="2"/>
      <x:c r="G915" s="2"/>
      <x:c r="H915" s="2"/>
      <x:c r="I915" s="2"/>
      <x:c r="J915" s="2"/>
      <x:c r="K915" s="2"/>
      <x:c r="L915" s="2"/>
      <x:c r="M915" s="2"/>
      <x:c r="N915" s="2"/>
    </x:row>
    <x:row r="916" ht="23" customHeight="1">
      <x:c r="A916" s="2"/>
      <x:c r="B916" s="2"/>
      <x:c r="C916" s="2"/>
      <x:c r="D916" s="2"/>
      <x:c r="E916" s="2"/>
      <x:c r="F916" s="2"/>
      <x:c r="G916" s="2"/>
      <x:c r="H916" s="2"/>
      <x:c r="I916" s="2"/>
      <x:c r="J916" s="2"/>
      <x:c r="K916" s="2"/>
      <x:c r="L916" s="2"/>
      <x:c r="M916" s="2"/>
      <x:c r="N916" s="2"/>
    </x:row>
    <x:row r="917" ht="23" customHeight="1">
      <x:c r="A917" s="2"/>
      <x:c r="B917" s="2"/>
      <x:c r="C917" s="2"/>
      <x:c r="D917" s="2"/>
      <x:c r="E917" s="2"/>
      <x:c r="F917" s="2"/>
      <x:c r="G917" s="2"/>
      <x:c r="H917" s="2"/>
      <x:c r="I917" s="2"/>
      <x:c r="J917" s="2"/>
      <x:c r="K917" s="2"/>
      <x:c r="L917" s="2"/>
      <x:c r="M917" s="2"/>
      <x:c r="N917" s="2"/>
    </x:row>
    <x:row r="918" ht="23" customHeight="1">
      <x:c r="A918" s="2"/>
      <x:c r="B918" s="2"/>
      <x:c r="C918" s="2"/>
      <x:c r="D918" s="2"/>
      <x:c r="E918" s="2"/>
      <x:c r="F918" s="2"/>
      <x:c r="G918" s="2"/>
      <x:c r="H918" s="2"/>
      <x:c r="I918" s="2"/>
      <x:c r="J918" s="2"/>
      <x:c r="K918" s="2"/>
      <x:c r="L918" s="2"/>
      <x:c r="M918" s="2"/>
      <x:c r="N918" s="2"/>
    </x:row>
    <x:row r="919" ht="23" customHeight="1">
      <x:c r="A919" s="2"/>
      <x:c r="B919" s="2"/>
      <x:c r="C919" s="2"/>
      <x:c r="D919" s="2"/>
      <x:c r="E919" s="2"/>
      <x:c r="F919" s="2"/>
      <x:c r="G919" s="2"/>
      <x:c r="H919" s="2"/>
      <x:c r="I919" s="2"/>
      <x:c r="J919" s="2"/>
      <x:c r="K919" s="2"/>
      <x:c r="L919" s="2"/>
      <x:c r="M919" s="2"/>
      <x:c r="N919" s="2"/>
    </x:row>
    <x:row r="920" ht="23" customHeight="1">
      <x:c r="A920" s="2"/>
      <x:c r="B920" s="2"/>
      <x:c r="C920" s="2"/>
      <x:c r="D920" s="2"/>
      <x:c r="E920" s="2"/>
      <x:c r="F920" s="2"/>
      <x:c r="G920" s="2"/>
      <x:c r="H920" s="2"/>
      <x:c r="I920" s="2"/>
      <x:c r="J920" s="2"/>
      <x:c r="K920" s="2"/>
      <x:c r="L920" s="2"/>
      <x:c r="M920" s="2"/>
      <x:c r="N920" s="2"/>
    </x:row>
    <x:row r="921" ht="23" customHeight="1">
      <x:c r="A921" s="2"/>
      <x:c r="B921" s="2"/>
      <x:c r="C921" s="2"/>
      <x:c r="D921" s="2"/>
      <x:c r="E921" s="2"/>
      <x:c r="F921" s="2"/>
      <x:c r="G921" s="2"/>
      <x:c r="H921" s="2"/>
      <x:c r="I921" s="2"/>
      <x:c r="J921" s="2"/>
      <x:c r="K921" s="2"/>
      <x:c r="L921" s="2"/>
      <x:c r="M921" s="2"/>
      <x:c r="N921" s="2"/>
    </x:row>
    <x:row r="922" ht="23" customHeight="1">
      <x:c r="A922" s="2"/>
      <x:c r="B922" s="2"/>
      <x:c r="C922" s="2"/>
      <x:c r="D922" s="2"/>
      <x:c r="E922" s="2"/>
      <x:c r="F922" s="2"/>
      <x:c r="G922" s="2"/>
      <x:c r="H922" s="2"/>
      <x:c r="I922" s="2"/>
      <x:c r="J922" s="2"/>
      <x:c r="K922" s="2"/>
      <x:c r="L922" s="2"/>
      <x:c r="M922" s="2"/>
      <x:c r="N922" s="2"/>
    </x:row>
    <x:row r="923" ht="23" customHeight="1">
      <x:c r="A923" s="2"/>
      <x:c r="B923" s="2"/>
      <x:c r="C923" s="2"/>
      <x:c r="D923" s="2"/>
      <x:c r="E923" s="2"/>
      <x:c r="F923" s="2"/>
      <x:c r="G923" s="2"/>
      <x:c r="H923" s="2"/>
      <x:c r="I923" s="2"/>
      <x:c r="J923" s="2"/>
      <x:c r="K923" s="2"/>
      <x:c r="L923" s="2"/>
      <x:c r="M923" s="2"/>
      <x:c r="N923" s="2"/>
    </x:row>
    <x:row r="924" ht="23" customHeight="1">
      <x:c r="A924" s="2"/>
      <x:c r="B924" s="2"/>
      <x:c r="C924" s="2"/>
      <x:c r="D924" s="2"/>
      <x:c r="E924" s="2"/>
      <x:c r="F924" s="2"/>
      <x:c r="G924" s="2"/>
      <x:c r="H924" s="2"/>
      <x:c r="I924" s="2"/>
      <x:c r="J924" s="2"/>
      <x:c r="K924" s="2"/>
      <x:c r="L924" s="2"/>
      <x:c r="M924" s="2"/>
      <x:c r="N924" s="2"/>
    </x:row>
    <x:row r="925" ht="23" customHeight="1">
      <x:c r="A925" s="2"/>
      <x:c r="B925" s="2"/>
      <x:c r="C925" s="2"/>
      <x:c r="D925" s="2"/>
      <x:c r="E925" s="2"/>
      <x:c r="F925" s="2"/>
      <x:c r="G925" s="2"/>
      <x:c r="H925" s="2"/>
      <x:c r="I925" s="2"/>
      <x:c r="J925" s="2"/>
      <x:c r="K925" s="2"/>
      <x:c r="L925" s="2"/>
      <x:c r="M925" s="2"/>
      <x:c r="N925" s="2"/>
    </x:row>
    <x:row r="926" ht="23" customHeight="1">
      <x:c r="A926" s="2"/>
      <x:c r="B926" s="2"/>
      <x:c r="C926" s="2"/>
      <x:c r="D926" s="2"/>
      <x:c r="E926" s="2"/>
      <x:c r="F926" s="2"/>
      <x:c r="G926" s="2"/>
      <x:c r="H926" s="2"/>
      <x:c r="I926" s="2"/>
      <x:c r="J926" s="2"/>
      <x:c r="K926" s="2"/>
      <x:c r="L926" s="2"/>
      <x:c r="M926" s="2"/>
      <x:c r="N926" s="2"/>
    </x:row>
    <x:row r="927" ht="23" customHeight="1">
      <x:c r="A927" s="2"/>
      <x:c r="B927" s="2"/>
      <x:c r="C927" s="2"/>
      <x:c r="D927" s="2"/>
      <x:c r="E927" s="2"/>
      <x:c r="F927" s="2"/>
      <x:c r="G927" s="2"/>
      <x:c r="H927" s="2"/>
      <x:c r="I927" s="2"/>
      <x:c r="J927" s="2"/>
      <x:c r="K927" s="2"/>
      <x:c r="L927" s="2"/>
      <x:c r="M927" s="2"/>
      <x:c r="N927" s="2"/>
    </x:row>
    <x:row r="928" ht="23" customHeight="1">
      <x:c r="A928" s="2"/>
      <x:c r="B928" s="2"/>
      <x:c r="C928" s="2"/>
      <x:c r="D928" s="2"/>
      <x:c r="E928" s="2"/>
      <x:c r="F928" s="2"/>
      <x:c r="G928" s="2"/>
      <x:c r="H928" s="2"/>
      <x:c r="I928" s="2"/>
      <x:c r="J928" s="2"/>
      <x:c r="K928" s="2"/>
      <x:c r="L928" s="2"/>
      <x:c r="M928" s="2"/>
      <x:c r="N928" s="2"/>
    </x:row>
    <x:row r="929" ht="23" customHeight="1">
      <x:c r="A929" s="2"/>
      <x:c r="B929" s="2"/>
      <x:c r="C929" s="2"/>
      <x:c r="D929" s="2"/>
      <x:c r="E929" s="2"/>
      <x:c r="F929" s="2"/>
      <x:c r="G929" s="2"/>
      <x:c r="H929" s="2"/>
      <x:c r="I929" s="2"/>
      <x:c r="J929" s="2"/>
      <x:c r="K929" s="2"/>
      <x:c r="L929" s="2"/>
      <x:c r="M929" s="2"/>
      <x:c r="N929" s="2"/>
    </x:row>
    <x:row r="930" ht="23" customHeight="1">
      <x:c r="A930" s="2"/>
      <x:c r="B930" s="2"/>
      <x:c r="C930" s="2"/>
      <x:c r="D930" s="2"/>
      <x:c r="E930" s="2"/>
      <x:c r="F930" s="2"/>
      <x:c r="G930" s="2"/>
      <x:c r="H930" s="2"/>
      <x:c r="I930" s="2"/>
      <x:c r="J930" s="2"/>
      <x:c r="K930" s="2"/>
      <x:c r="L930" s="2"/>
      <x:c r="M930" s="2"/>
      <x:c r="N930" s="2"/>
    </x:row>
    <x:row r="931" ht="23" customHeight="1">
      <x:c r="A931" s="2"/>
      <x:c r="B931" s="2"/>
      <x:c r="C931" s="2"/>
      <x:c r="D931" s="2"/>
      <x:c r="E931" s="2"/>
      <x:c r="F931" s="2"/>
      <x:c r="G931" s="2"/>
      <x:c r="H931" s="2"/>
      <x:c r="I931" s="2"/>
      <x:c r="J931" s="2"/>
      <x:c r="K931" s="2"/>
      <x:c r="L931" s="2"/>
      <x:c r="M931" s="2"/>
      <x:c r="N931" s="2"/>
    </x:row>
    <x:row r="932" ht="23" customHeight="1">
      <x:c r="A932" s="2"/>
      <x:c r="B932" s="2"/>
      <x:c r="C932" s="2"/>
      <x:c r="D932" s="2"/>
      <x:c r="E932" s="2"/>
      <x:c r="F932" s="2"/>
      <x:c r="G932" s="2"/>
      <x:c r="H932" s="2"/>
      <x:c r="I932" s="2"/>
      <x:c r="J932" s="2"/>
      <x:c r="K932" s="2"/>
      <x:c r="L932" s="2"/>
      <x:c r="M932" s="2"/>
      <x:c r="N932" s="2"/>
    </x:row>
    <x:row r="933" ht="23" customHeight="1">
      <x:c r="A933" s="2"/>
      <x:c r="B933" s="2"/>
      <x:c r="C933" s="2"/>
      <x:c r="D933" s="2"/>
      <x:c r="E933" s="2"/>
      <x:c r="F933" s="2"/>
      <x:c r="G933" s="2"/>
      <x:c r="H933" s="2"/>
      <x:c r="I933" s="2"/>
      <x:c r="J933" s="2"/>
      <x:c r="K933" s="2"/>
      <x:c r="L933" s="2"/>
      <x:c r="M933" s="2"/>
      <x:c r="N933" s="2"/>
    </x:row>
    <x:row r="934" ht="23" customHeight="1">
      <x:c r="A934" s="2"/>
      <x:c r="B934" s="2"/>
      <x:c r="C934" s="2"/>
      <x:c r="D934" s="2"/>
      <x:c r="E934" s="2"/>
      <x:c r="F934" s="2"/>
      <x:c r="G934" s="2"/>
      <x:c r="H934" s="2"/>
      <x:c r="I934" s="2"/>
      <x:c r="J934" s="2"/>
      <x:c r="K934" s="2"/>
      <x:c r="L934" s="2"/>
      <x:c r="M934" s="2"/>
      <x:c r="N934" s="2"/>
    </x:row>
    <x:row r="935" ht="23" customHeight="1">
      <x:c r="A935" s="2"/>
      <x:c r="B935" s="2"/>
      <x:c r="C935" s="2"/>
      <x:c r="D935" s="2"/>
      <x:c r="E935" s="2"/>
      <x:c r="F935" s="2"/>
      <x:c r="G935" s="2"/>
      <x:c r="H935" s="2"/>
      <x:c r="I935" s="2"/>
      <x:c r="J935" s="2"/>
      <x:c r="K935" s="2"/>
      <x:c r="L935" s="2"/>
      <x:c r="M935" s="2"/>
      <x:c r="N935" s="2"/>
    </x:row>
    <x:row r="936" ht="23" customHeight="1">
      <x:c r="A936" s="2"/>
      <x:c r="B936" s="2"/>
      <x:c r="C936" s="2"/>
      <x:c r="D936" s="2"/>
      <x:c r="E936" s="2"/>
      <x:c r="F936" s="2"/>
      <x:c r="G936" s="2"/>
      <x:c r="H936" s="2"/>
      <x:c r="I936" s="2"/>
      <x:c r="J936" s="2"/>
      <x:c r="K936" s="2"/>
      <x:c r="L936" s="2"/>
      <x:c r="M936" s="2"/>
      <x:c r="N936" s="2"/>
    </x:row>
    <x:row r="937" ht="23" customHeight="1">
      <x:c r="A937" s="2"/>
      <x:c r="B937" s="2"/>
      <x:c r="C937" s="2"/>
      <x:c r="D937" s="2"/>
      <x:c r="E937" s="2"/>
      <x:c r="F937" s="2"/>
      <x:c r="G937" s="2"/>
      <x:c r="H937" s="2"/>
      <x:c r="I937" s="2"/>
      <x:c r="J937" s="2"/>
      <x:c r="K937" s="2"/>
      <x:c r="L937" s="2"/>
      <x:c r="M937" s="2"/>
      <x:c r="N937" s="2"/>
    </x:row>
    <x:row r="938" ht="23" customHeight="1">
      <x:c r="A938" s="2"/>
      <x:c r="B938" s="2"/>
      <x:c r="C938" s="2"/>
      <x:c r="D938" s="2"/>
      <x:c r="E938" s="2"/>
      <x:c r="F938" s="2"/>
      <x:c r="G938" s="2"/>
      <x:c r="H938" s="2"/>
      <x:c r="I938" s="2"/>
      <x:c r="J938" s="2"/>
      <x:c r="K938" s="2"/>
      <x:c r="L938" s="2"/>
      <x:c r="M938" s="2"/>
      <x:c r="N938" s="2"/>
    </x:row>
    <x:row r="939" ht="23" customHeight="1">
      <x:c r="A939" s="2"/>
      <x:c r="B939" s="2"/>
      <x:c r="C939" s="2"/>
      <x:c r="D939" s="2"/>
      <x:c r="E939" s="2"/>
      <x:c r="F939" s="2"/>
      <x:c r="G939" s="2"/>
      <x:c r="H939" s="2"/>
      <x:c r="I939" s="2"/>
      <x:c r="J939" s="2"/>
      <x:c r="K939" s="2"/>
      <x:c r="L939" s="2"/>
      <x:c r="M939" s="2"/>
      <x:c r="N939" s="2"/>
    </x:row>
    <x:row r="940" ht="23" customHeight="1">
      <x:c r="A940" s="2"/>
      <x:c r="B940" s="2"/>
      <x:c r="C940" s="2"/>
      <x:c r="D940" s="2"/>
      <x:c r="E940" s="2"/>
      <x:c r="F940" s="2"/>
      <x:c r="G940" s="2"/>
      <x:c r="H940" s="2"/>
      <x:c r="I940" s="2"/>
      <x:c r="J940" s="2"/>
      <x:c r="K940" s="2"/>
      <x:c r="L940" s="2"/>
      <x:c r="M940" s="2"/>
      <x:c r="N940" s="2"/>
    </x:row>
    <x:row r="941" ht="23" customHeight="1">
      <x:c r="A941" s="2"/>
      <x:c r="B941" s="2"/>
      <x:c r="C941" s="2"/>
      <x:c r="D941" s="2"/>
      <x:c r="E941" s="2"/>
      <x:c r="F941" s="2"/>
      <x:c r="G941" s="2"/>
      <x:c r="H941" s="2"/>
      <x:c r="I941" s="2"/>
      <x:c r="J941" s="2"/>
      <x:c r="K941" s="2"/>
      <x:c r="L941" s="2"/>
      <x:c r="M941" s="2"/>
      <x:c r="N941" s="2"/>
    </x:row>
    <x:row r="942" ht="23" customHeight="1">
      <x:c r="A942" s="2"/>
      <x:c r="B942" s="2"/>
      <x:c r="C942" s="2"/>
      <x:c r="D942" s="2"/>
      <x:c r="E942" s="2"/>
      <x:c r="F942" s="2"/>
      <x:c r="G942" s="2"/>
      <x:c r="H942" s="2"/>
      <x:c r="I942" s="2"/>
      <x:c r="J942" s="2"/>
      <x:c r="K942" s="2"/>
      <x:c r="L942" s="2"/>
      <x:c r="M942" s="2"/>
      <x:c r="N942" s="2"/>
    </x:row>
    <x:row r="943" ht="23" customHeight="1">
      <x:c r="A943" s="2"/>
      <x:c r="B943" s="2"/>
      <x:c r="C943" s="2"/>
      <x:c r="D943" s="2"/>
      <x:c r="E943" s="2"/>
      <x:c r="F943" s="2"/>
      <x:c r="G943" s="2"/>
      <x:c r="H943" s="2"/>
      <x:c r="I943" s="2"/>
      <x:c r="J943" s="2"/>
      <x:c r="K943" s="2"/>
      <x:c r="L943" s="2"/>
      <x:c r="M943" s="2"/>
      <x:c r="N943" s="2"/>
    </x:row>
    <x:row r="944" ht="23" customHeight="1">
      <x:c r="A944" s="2"/>
      <x:c r="B944" s="2"/>
      <x:c r="C944" s="2"/>
      <x:c r="D944" s="2"/>
      <x:c r="E944" s="2"/>
      <x:c r="F944" s="2"/>
      <x:c r="G944" s="2"/>
      <x:c r="H944" s="2"/>
      <x:c r="I944" s="2"/>
      <x:c r="J944" s="2"/>
      <x:c r="K944" s="2"/>
      <x:c r="L944" s="2"/>
      <x:c r="M944" s="2"/>
      <x:c r="N944" s="2"/>
    </x:row>
    <x:row r="945" ht="23" customHeight="1">
      <x:c r="A945" s="2"/>
      <x:c r="B945" s="2"/>
      <x:c r="C945" s="2"/>
      <x:c r="D945" s="2"/>
      <x:c r="E945" s="2"/>
      <x:c r="F945" s="2"/>
      <x:c r="G945" s="2"/>
      <x:c r="H945" s="2"/>
      <x:c r="I945" s="2"/>
      <x:c r="J945" s="2"/>
      <x:c r="K945" s="2"/>
      <x:c r="L945" s="2"/>
      <x:c r="M945" s="2"/>
      <x:c r="N945" s="2"/>
    </x:row>
    <x:row r="946" ht="23" customHeight="1">
      <x:c r="A946" s="2"/>
      <x:c r="B946" s="2"/>
      <x:c r="C946" s="2"/>
      <x:c r="D946" s="2"/>
      <x:c r="E946" s="2"/>
      <x:c r="F946" s="2"/>
      <x:c r="G946" s="2"/>
      <x:c r="H946" s="2"/>
      <x:c r="I946" s="2"/>
      <x:c r="J946" s="2"/>
      <x:c r="K946" s="2"/>
      <x:c r="L946" s="2"/>
      <x:c r="M946" s="2"/>
      <x:c r="N946" s="2"/>
    </x:row>
    <x:row r="947" ht="23" customHeight="1">
      <x:c r="A947" s="2"/>
      <x:c r="B947" s="2"/>
      <x:c r="C947" s="2"/>
      <x:c r="D947" s="2"/>
      <x:c r="E947" s="2"/>
      <x:c r="F947" s="2"/>
      <x:c r="G947" s="2"/>
      <x:c r="H947" s="2"/>
      <x:c r="I947" s="2"/>
      <x:c r="J947" s="2"/>
      <x:c r="K947" s="2"/>
      <x:c r="L947" s="2"/>
      <x:c r="M947" s="2"/>
      <x:c r="N947" s="2"/>
    </x:row>
    <x:row r="948" ht="23" customHeight="1">
      <x:c r="A948" s="2"/>
      <x:c r="B948" s="2"/>
      <x:c r="C948" s="2"/>
      <x:c r="D948" s="2"/>
      <x:c r="E948" s="2"/>
      <x:c r="F948" s="2"/>
      <x:c r="G948" s="2"/>
      <x:c r="H948" s="2"/>
      <x:c r="I948" s="2"/>
      <x:c r="J948" s="2"/>
      <x:c r="K948" s="2"/>
      <x:c r="L948" s="2"/>
      <x:c r="M948" s="2"/>
      <x:c r="N948" s="2"/>
    </x:row>
    <x:row r="949" ht="23" customHeight="1">
      <x:c r="A949" s="2"/>
      <x:c r="B949" s="2"/>
      <x:c r="C949" s="2"/>
      <x:c r="D949" s="2"/>
      <x:c r="E949" s="2"/>
      <x:c r="F949" s="2"/>
      <x:c r="G949" s="2"/>
      <x:c r="H949" s="2"/>
      <x:c r="I949" s="2"/>
      <x:c r="J949" s="2"/>
      <x:c r="K949" s="2"/>
      <x:c r="L949" s="2"/>
      <x:c r="M949" s="2"/>
      <x:c r="N949" s="2"/>
    </x:row>
    <x:row r="950" ht="23" customHeight="1">
      <x:c r="A950" s="2"/>
      <x:c r="B950" s="2"/>
      <x:c r="C950" s="2"/>
      <x:c r="D950" s="2"/>
      <x:c r="E950" s="2"/>
      <x:c r="F950" s="2"/>
      <x:c r="G950" s="2"/>
      <x:c r="H950" s="2"/>
      <x:c r="I950" s="2"/>
      <x:c r="J950" s="2"/>
      <x:c r="K950" s="2"/>
      <x:c r="L950" s="2"/>
      <x:c r="M950" s="2"/>
      <x:c r="N950" s="2"/>
    </x:row>
    <x:row r="951" ht="23" customHeight="1">
      <x:c r="A951" s="2"/>
      <x:c r="B951" s="2"/>
      <x:c r="C951" s="2"/>
      <x:c r="D951" s="2"/>
      <x:c r="E951" s="2"/>
      <x:c r="F951" s="2"/>
      <x:c r="G951" s="2"/>
      <x:c r="H951" s="2"/>
      <x:c r="I951" s="2"/>
      <x:c r="J951" s="2"/>
      <x:c r="K951" s="2"/>
      <x:c r="L951" s="2"/>
      <x:c r="M951" s="2"/>
      <x:c r="N951" s="2"/>
    </x:row>
    <x:row r="952" ht="23" customHeight="1">
      <x:c r="A952" s="2"/>
      <x:c r="B952" s="2"/>
      <x:c r="C952" s="2"/>
      <x:c r="D952" s="2"/>
      <x:c r="E952" s="2"/>
      <x:c r="F952" s="2"/>
      <x:c r="G952" s="2"/>
      <x:c r="H952" s="2"/>
      <x:c r="I952" s="2"/>
      <x:c r="J952" s="2"/>
      <x:c r="K952" s="2"/>
      <x:c r="L952" s="2"/>
      <x:c r="M952" s="2"/>
      <x:c r="N952" s="2"/>
    </x:row>
    <x:row r="953" ht="23" customHeight="1">
      <x:c r="A953" s="2"/>
      <x:c r="B953" s="2"/>
      <x:c r="C953" s="2"/>
      <x:c r="D953" s="2"/>
      <x:c r="E953" s="2"/>
      <x:c r="F953" s="2"/>
      <x:c r="G953" s="2"/>
      <x:c r="H953" s="2"/>
      <x:c r="I953" s="2"/>
      <x:c r="J953" s="2"/>
      <x:c r="K953" s="2"/>
      <x:c r="L953" s="2"/>
      <x:c r="M953" s="2"/>
      <x:c r="N953" s="2"/>
    </x:row>
    <x:row r="954" ht="23" customHeight="1">
      <x:c r="A954" s="2"/>
      <x:c r="B954" s="2"/>
      <x:c r="C954" s="2"/>
      <x:c r="D954" s="2"/>
      <x:c r="E954" s="2"/>
      <x:c r="F954" s="2"/>
      <x:c r="G954" s="2"/>
      <x:c r="H954" s="2"/>
      <x:c r="I954" s="2"/>
      <x:c r="J954" s="2"/>
      <x:c r="K954" s="2"/>
      <x:c r="L954" s="2"/>
      <x:c r="M954" s="2"/>
      <x:c r="N954" s="2"/>
    </x:row>
    <x:row r="955" ht="23" customHeight="1">
      <x:c r="A955" s="2"/>
      <x:c r="B955" s="2"/>
      <x:c r="C955" s="2"/>
      <x:c r="D955" s="2"/>
      <x:c r="E955" s="2"/>
      <x:c r="F955" s="2"/>
      <x:c r="G955" s="2"/>
      <x:c r="H955" s="2"/>
      <x:c r="I955" s="2"/>
      <x:c r="J955" s="2"/>
      <x:c r="K955" s="2"/>
      <x:c r="L955" s="2"/>
      <x:c r="M955" s="2"/>
      <x:c r="N955" s="2"/>
    </x:row>
    <x:row r="956" ht="23" customHeight="1">
      <x:c r="A956" s="2"/>
      <x:c r="B956" s="2"/>
      <x:c r="C956" s="2"/>
      <x:c r="D956" s="2"/>
      <x:c r="E956" s="2"/>
      <x:c r="F956" s="2"/>
      <x:c r="G956" s="2"/>
      <x:c r="H956" s="2"/>
      <x:c r="I956" s="2"/>
      <x:c r="J956" s="2"/>
      <x:c r="K956" s="2"/>
      <x:c r="L956" s="2"/>
      <x:c r="M956" s="2"/>
      <x:c r="N956" s="2"/>
    </x:row>
    <x:row r="957" ht="23" customHeight="1">
      <x:c r="A957" s="2"/>
      <x:c r="B957" s="2"/>
      <x:c r="C957" s="2"/>
      <x:c r="D957" s="2"/>
      <x:c r="E957" s="2"/>
      <x:c r="F957" s="2"/>
      <x:c r="G957" s="2"/>
      <x:c r="H957" s="2"/>
      <x:c r="I957" s="2"/>
      <x:c r="J957" s="2"/>
      <x:c r="K957" s="2"/>
      <x:c r="L957" s="2"/>
      <x:c r="M957" s="2"/>
      <x:c r="N957" s="2"/>
    </x:row>
    <x:row r="958" ht="23" customHeight="1">
      <x:c r="A958" s="2"/>
      <x:c r="B958" s="2"/>
      <x:c r="C958" s="2"/>
      <x:c r="D958" s="2"/>
      <x:c r="E958" s="2"/>
      <x:c r="F958" s="2"/>
      <x:c r="G958" s="2"/>
      <x:c r="H958" s="2"/>
      <x:c r="I958" s="2"/>
      <x:c r="J958" s="2"/>
      <x:c r="K958" s="2"/>
      <x:c r="L958" s="2"/>
      <x:c r="M958" s="2"/>
      <x:c r="N958" s="2"/>
    </x:row>
    <x:row r="959" ht="23" customHeight="1">
      <x:c r="A959" s="2"/>
      <x:c r="B959" s="2"/>
      <x:c r="C959" s="2"/>
      <x:c r="D959" s="2"/>
      <x:c r="E959" s="2"/>
      <x:c r="F959" s="2"/>
      <x:c r="G959" s="2"/>
      <x:c r="H959" s="2"/>
      <x:c r="I959" s="2"/>
      <x:c r="J959" s="2"/>
      <x:c r="K959" s="2"/>
      <x:c r="L959" s="2"/>
      <x:c r="M959" s="2"/>
      <x:c r="N959" s="2"/>
    </x:row>
    <x:row r="960" ht="23" customHeight="1">
      <x:c r="A960" s="2"/>
      <x:c r="B960" s="2"/>
      <x:c r="C960" s="2"/>
      <x:c r="D960" s="2"/>
      <x:c r="E960" s="2"/>
      <x:c r="F960" s="2"/>
      <x:c r="G960" s="2"/>
      <x:c r="H960" s="2"/>
      <x:c r="I960" s="2"/>
      <x:c r="J960" s="2"/>
      <x:c r="K960" s="2"/>
      <x:c r="L960" s="2"/>
      <x:c r="M960" s="2"/>
      <x:c r="N960" s="2"/>
    </x:row>
    <x:row r="961" ht="23" customHeight="1">
      <x:c r="A961" s="2"/>
      <x:c r="B961" s="2"/>
      <x:c r="C961" s="2"/>
      <x:c r="D961" s="2"/>
      <x:c r="E961" s="2"/>
      <x:c r="F961" s="2"/>
      <x:c r="G961" s="2"/>
      <x:c r="H961" s="2"/>
      <x:c r="I961" s="2"/>
      <x:c r="J961" s="2"/>
      <x:c r="K961" s="2"/>
      <x:c r="L961" s="2"/>
      <x:c r="M961" s="2"/>
      <x:c r="N961" s="2"/>
    </x:row>
    <x:row r="962" ht="23" customHeight="1">
      <x:c r="A962" s="2"/>
      <x:c r="B962" s="2"/>
      <x:c r="C962" s="2"/>
      <x:c r="D962" s="2"/>
      <x:c r="E962" s="2"/>
      <x:c r="F962" s="2"/>
      <x:c r="G962" s="2"/>
      <x:c r="H962" s="2"/>
      <x:c r="I962" s="2"/>
      <x:c r="J962" s="2"/>
      <x:c r="K962" s="2"/>
      <x:c r="L962" s="2"/>
      <x:c r="M962" s="2"/>
      <x:c r="N962" s="2"/>
    </x:row>
    <x:row r="963" ht="23" customHeight="1">
      <x:c r="A963" s="2"/>
      <x:c r="B963" s="2"/>
      <x:c r="C963" s="2"/>
      <x:c r="D963" s="2"/>
      <x:c r="E963" s="2"/>
      <x:c r="F963" s="2"/>
      <x:c r="G963" s="2"/>
      <x:c r="H963" s="2"/>
      <x:c r="I963" s="2"/>
      <x:c r="J963" s="2"/>
      <x:c r="K963" s="2"/>
      <x:c r="L963" s="2"/>
      <x:c r="M963" s="2"/>
      <x:c r="N963" s="2"/>
    </x:row>
    <x:row r="964" ht="23" customHeight="1">
      <x:c r="A964" s="2"/>
      <x:c r="B964" s="2"/>
      <x:c r="C964" s="2"/>
      <x:c r="D964" s="2"/>
      <x:c r="E964" s="2"/>
      <x:c r="F964" s="2"/>
      <x:c r="G964" s="2"/>
      <x:c r="H964" s="2"/>
      <x:c r="I964" s="2"/>
      <x:c r="J964" s="2"/>
      <x:c r="K964" s="2"/>
      <x:c r="L964" s="2"/>
      <x:c r="M964" s="2"/>
      <x:c r="N964" s="2"/>
    </x:row>
    <x:row r="965" ht="23" customHeight="1">
      <x:c r="A965" s="2"/>
      <x:c r="B965" s="2"/>
      <x:c r="C965" s="2"/>
      <x:c r="D965" s="2"/>
      <x:c r="E965" s="2"/>
      <x:c r="F965" s="2"/>
      <x:c r="G965" s="2"/>
      <x:c r="H965" s="2"/>
      <x:c r="I965" s="2"/>
      <x:c r="J965" s="2"/>
      <x:c r="K965" s="2"/>
      <x:c r="L965" s="2"/>
      <x:c r="M965" s="2"/>
      <x:c r="N965" s="2"/>
    </x:row>
    <x:row r="966" ht="23" customHeight="1">
      <x:c r="A966" s="2"/>
      <x:c r="B966" s="2"/>
      <x:c r="C966" s="2"/>
      <x:c r="D966" s="2"/>
      <x:c r="E966" s="2"/>
      <x:c r="F966" s="2"/>
      <x:c r="G966" s="2"/>
      <x:c r="H966" s="2"/>
      <x:c r="I966" s="2"/>
      <x:c r="J966" s="2"/>
      <x:c r="K966" s="2"/>
      <x:c r="L966" s="2"/>
      <x:c r="M966" s="2"/>
      <x:c r="N966" s="2"/>
    </x:row>
    <x:row r="967" ht="23" customHeight="1">
      <x:c r="A967" s="2"/>
      <x:c r="B967" s="2"/>
      <x:c r="C967" s="2"/>
      <x:c r="D967" s="2"/>
      <x:c r="E967" s="2"/>
      <x:c r="F967" s="2"/>
      <x:c r="G967" s="2"/>
      <x:c r="H967" s="2"/>
      <x:c r="I967" s="2"/>
      <x:c r="J967" s="2"/>
      <x:c r="K967" s="2"/>
      <x:c r="L967" s="2"/>
      <x:c r="M967" s="2"/>
      <x:c r="N967" s="2"/>
    </x:row>
    <x:row r="968" ht="23" customHeight="1">
      <x:c r="A968" s="2"/>
      <x:c r="B968" s="2"/>
      <x:c r="C968" s="2"/>
      <x:c r="D968" s="2"/>
      <x:c r="E968" s="2"/>
      <x:c r="F968" s="2"/>
      <x:c r="G968" s="2"/>
      <x:c r="H968" s="2"/>
      <x:c r="I968" s="2"/>
      <x:c r="J968" s="2"/>
      <x:c r="K968" s="2"/>
      <x:c r="L968" s="2"/>
      <x:c r="M968" s="2"/>
      <x:c r="N968" s="2"/>
    </x:row>
    <x:row r="969" ht="23" customHeight="1">
      <x:c r="A969" s="2"/>
      <x:c r="B969" s="2"/>
      <x:c r="C969" s="2"/>
      <x:c r="D969" s="2"/>
      <x:c r="E969" s="2"/>
      <x:c r="F969" s="2"/>
      <x:c r="G969" s="2"/>
      <x:c r="H969" s="2"/>
      <x:c r="I969" s="2"/>
      <x:c r="J969" s="2"/>
      <x:c r="K969" s="2"/>
      <x:c r="L969" s="2"/>
      <x:c r="M969" s="2"/>
      <x:c r="N969" s="2"/>
    </x:row>
    <x:row r="970" ht="23" customHeight="1">
      <x:c r="A970" s="2"/>
      <x:c r="B970" s="2"/>
      <x:c r="C970" s="2"/>
      <x:c r="D970" s="2"/>
      <x:c r="E970" s="2"/>
      <x:c r="F970" s="2"/>
      <x:c r="G970" s="2"/>
      <x:c r="H970" s="2"/>
      <x:c r="I970" s="2"/>
      <x:c r="J970" s="2"/>
      <x:c r="K970" s="2"/>
      <x:c r="L970" s="2"/>
      <x:c r="M970" s="2"/>
      <x:c r="N970" s="2"/>
    </x:row>
    <x:row r="971" ht="23" customHeight="1">
      <x:c r="A971" s="2"/>
      <x:c r="B971" s="2"/>
      <x:c r="C971" s="2"/>
      <x:c r="D971" s="2"/>
      <x:c r="E971" s="2"/>
      <x:c r="F971" s="2"/>
      <x:c r="G971" s="2"/>
      <x:c r="H971" s="2"/>
      <x:c r="I971" s="2"/>
      <x:c r="J971" s="2"/>
      <x:c r="K971" s="2"/>
      <x:c r="L971" s="2"/>
      <x:c r="M971" s="2"/>
      <x:c r="N971" s="2"/>
    </x:row>
    <x:row r="972" ht="23" customHeight="1">
      <x:c r="A972" s="2"/>
      <x:c r="B972" s="2"/>
      <x:c r="C972" s="2"/>
      <x:c r="D972" s="2"/>
      <x:c r="E972" s="2"/>
      <x:c r="F972" s="2"/>
      <x:c r="G972" s="2"/>
      <x:c r="H972" s="2"/>
      <x:c r="I972" s="2"/>
      <x:c r="J972" s="2"/>
      <x:c r="K972" s="2"/>
      <x:c r="L972" s="2"/>
      <x:c r="M972" s="2"/>
      <x:c r="N972" s="2"/>
    </x:row>
    <x:row r="973" ht="23" customHeight="1">
      <x:c r="A973" s="2"/>
      <x:c r="B973" s="2"/>
      <x:c r="C973" s="2"/>
      <x:c r="D973" s="2"/>
      <x:c r="E973" s="2"/>
      <x:c r="F973" s="2"/>
      <x:c r="G973" s="2"/>
      <x:c r="H973" s="2"/>
      <x:c r="I973" s="2"/>
      <x:c r="J973" s="2"/>
      <x:c r="K973" s="2"/>
      <x:c r="L973" s="2"/>
      <x:c r="M973" s="2"/>
      <x:c r="N973" s="2"/>
    </x:row>
    <x:row r="974" ht="23" customHeight="1">
      <x:c r="A974" s="2"/>
      <x:c r="B974" s="2"/>
      <x:c r="C974" s="2"/>
      <x:c r="D974" s="2"/>
      <x:c r="E974" s="2"/>
      <x:c r="F974" s="2"/>
      <x:c r="G974" s="2"/>
      <x:c r="H974" s="2"/>
      <x:c r="I974" s="2"/>
      <x:c r="J974" s="2"/>
      <x:c r="K974" s="2"/>
      <x:c r="L974" s="2"/>
      <x:c r="M974" s="2"/>
      <x:c r="N974" s="2"/>
    </x:row>
    <x:row r="975" ht="23" customHeight="1">
      <x:c r="A975" s="2"/>
      <x:c r="B975" s="2"/>
      <x:c r="C975" s="2"/>
      <x:c r="D975" s="2"/>
      <x:c r="E975" s="2"/>
      <x:c r="F975" s="2"/>
      <x:c r="G975" s="2"/>
      <x:c r="H975" s="2"/>
      <x:c r="I975" s="2"/>
      <x:c r="J975" s="2"/>
      <x:c r="K975" s="2"/>
      <x:c r="L975" s="2"/>
      <x:c r="M975" s="2"/>
      <x:c r="N975" s="2"/>
    </x:row>
    <x:row r="976" ht="23" customHeight="1">
      <x:c r="A976" s="2"/>
      <x:c r="B976" s="2"/>
      <x:c r="C976" s="2"/>
      <x:c r="D976" s="2"/>
      <x:c r="E976" s="2"/>
      <x:c r="F976" s="2"/>
      <x:c r="G976" s="2"/>
      <x:c r="H976" s="2"/>
      <x:c r="I976" s="2"/>
      <x:c r="J976" s="2"/>
      <x:c r="K976" s="2"/>
      <x:c r="L976" s="2"/>
      <x:c r="M976" s="2"/>
      <x:c r="N976" s="2"/>
    </x:row>
    <x:row r="977" ht="23" customHeight="1">
      <x:c r="A977" s="2"/>
      <x:c r="B977" s="2"/>
      <x:c r="C977" s="2"/>
      <x:c r="D977" s="2"/>
      <x:c r="E977" s="2"/>
      <x:c r="F977" s="2"/>
      <x:c r="G977" s="2"/>
      <x:c r="H977" s="2"/>
      <x:c r="I977" s="2"/>
      <x:c r="J977" s="2"/>
      <x:c r="K977" s="2"/>
      <x:c r="L977" s="2"/>
      <x:c r="M977" s="2"/>
      <x:c r="N977" s="2"/>
    </x:row>
    <x:row r="978" ht="23" customHeight="1">
      <x:c r="A978" s="2"/>
      <x:c r="B978" s="2"/>
      <x:c r="C978" s="2"/>
      <x:c r="D978" s="2"/>
      <x:c r="E978" s="2"/>
      <x:c r="F978" s="2"/>
      <x:c r="G978" s="2"/>
      <x:c r="H978" s="2"/>
      <x:c r="I978" s="2"/>
      <x:c r="J978" s="2"/>
      <x:c r="K978" s="2"/>
      <x:c r="L978" s="2"/>
      <x:c r="M978" s="2"/>
      <x:c r="N978" s="2"/>
    </x:row>
    <x:row r="979" ht="23" customHeight="1">
      <x:c r="A979" s="2"/>
      <x:c r="B979" s="2"/>
      <x:c r="C979" s="2"/>
      <x:c r="D979" s="2"/>
      <x:c r="E979" s="2"/>
      <x:c r="F979" s="2"/>
      <x:c r="G979" s="2"/>
      <x:c r="H979" s="2"/>
      <x:c r="I979" s="2"/>
      <x:c r="J979" s="2"/>
      <x:c r="K979" s="2"/>
      <x:c r="L979" s="2"/>
      <x:c r="M979" s="2"/>
      <x:c r="N979" s="2"/>
    </x:row>
    <x:row r="980" ht="23" customHeight="1">
      <x:c r="A980" s="2"/>
      <x:c r="B980" s="2"/>
      <x:c r="C980" s="2"/>
      <x:c r="D980" s="2"/>
      <x:c r="E980" s="2"/>
      <x:c r="F980" s="2"/>
      <x:c r="G980" s="2"/>
      <x:c r="H980" s="2"/>
      <x:c r="I980" s="2"/>
      <x:c r="J980" s="2"/>
      <x:c r="K980" s="2"/>
      <x:c r="L980" s="2"/>
      <x:c r="M980" s="2"/>
      <x:c r="N980" s="2"/>
    </x:row>
    <x:row r="981" ht="23" customHeight="1">
      <x:c r="A981" s="2"/>
      <x:c r="B981" s="2"/>
      <x:c r="C981" s="2"/>
      <x:c r="D981" s="2"/>
      <x:c r="E981" s="2"/>
      <x:c r="F981" s="2"/>
      <x:c r="G981" s="2"/>
      <x:c r="H981" s="2"/>
      <x:c r="I981" s="2"/>
      <x:c r="J981" s="2"/>
      <x:c r="K981" s="2"/>
      <x:c r="L981" s="2"/>
      <x:c r="M981" s="2"/>
      <x:c r="N981" s="2"/>
    </x:row>
    <x:row r="982" ht="23" customHeight="1">
      <x:c r="A982" s="2"/>
      <x:c r="B982" s="2"/>
      <x:c r="C982" s="2"/>
      <x:c r="D982" s="2"/>
      <x:c r="E982" s="2"/>
      <x:c r="F982" s="2"/>
      <x:c r="G982" s="2"/>
      <x:c r="H982" s="2"/>
      <x:c r="I982" s="2"/>
      <x:c r="J982" s="2"/>
      <x:c r="K982" s="2"/>
      <x:c r="L982" s="2"/>
      <x:c r="M982" s="2"/>
      <x:c r="N982" s="2"/>
    </x:row>
    <x:row r="983" ht="23" customHeight="1">
      <x:c r="A983" s="2"/>
      <x:c r="B983" s="2"/>
      <x:c r="C983" s="2"/>
      <x:c r="D983" s="2"/>
      <x:c r="E983" s="2"/>
      <x:c r="F983" s="2"/>
      <x:c r="G983" s="2"/>
      <x:c r="H983" s="2"/>
      <x:c r="I983" s="2"/>
      <x:c r="J983" s="2"/>
      <x:c r="K983" s="2"/>
      <x:c r="L983" s="2"/>
      <x:c r="M983" s="2"/>
      <x:c r="N983" s="2"/>
    </x:row>
    <x:row r="984" ht="23" customHeight="1">
      <x:c r="A984" s="2"/>
      <x:c r="B984" s="2"/>
      <x:c r="C984" s="2"/>
      <x:c r="D984" s="2"/>
      <x:c r="E984" s="2"/>
      <x:c r="F984" s="2"/>
      <x:c r="G984" s="2"/>
      <x:c r="H984" s="2"/>
      <x:c r="I984" s="2"/>
      <x:c r="J984" s="2"/>
      <x:c r="K984" s="2"/>
      <x:c r="L984" s="2"/>
      <x:c r="M984" s="2"/>
      <x:c r="N984" s="2"/>
    </x:row>
    <x:row r="985" ht="23" customHeight="1">
      <x:c r="A985" s="2"/>
      <x:c r="B985" s="2"/>
      <x:c r="C985" s="2"/>
      <x:c r="D985" s="2"/>
      <x:c r="E985" s="2"/>
      <x:c r="F985" s="2"/>
      <x:c r="G985" s="2"/>
      <x:c r="H985" s="2"/>
      <x:c r="I985" s="2"/>
      <x:c r="J985" s="2"/>
      <x:c r="K985" s="2"/>
      <x:c r="L985" s="2"/>
      <x:c r="M985" s="2"/>
      <x:c r="N985" s="2"/>
    </x:row>
    <x:row r="986" ht="23" customHeight="1">
      <x:c r="A986" s="2"/>
      <x:c r="B986" s="2"/>
      <x:c r="C986" s="2"/>
      <x:c r="D986" s="2"/>
      <x:c r="E986" s="2"/>
      <x:c r="F986" s="2"/>
      <x:c r="G986" s="2"/>
      <x:c r="H986" s="2"/>
      <x:c r="I986" s="2"/>
      <x:c r="J986" s="2"/>
      <x:c r="K986" s="2"/>
      <x:c r="L986" s="2"/>
      <x:c r="M986" s="2"/>
      <x:c r="N986" s="2"/>
    </x:row>
    <x:row r="987" ht="23" customHeight="1">
      <x:c r="A987" s="2"/>
      <x:c r="B987" s="2"/>
      <x:c r="C987" s="2"/>
      <x:c r="D987" s="2"/>
      <x:c r="E987" s="2"/>
      <x:c r="F987" s="2"/>
      <x:c r="G987" s="2"/>
      <x:c r="H987" s="2"/>
      <x:c r="I987" s="2"/>
      <x:c r="J987" s="2"/>
      <x:c r="K987" s="2"/>
      <x:c r="L987" s="2"/>
      <x:c r="M987" s="2"/>
      <x:c r="N987" s="2"/>
    </x:row>
    <x:row r="988" ht="23" customHeight="1">
      <x:c r="A988" s="2"/>
      <x:c r="B988" s="2"/>
      <x:c r="C988" s="2"/>
      <x:c r="D988" s="2"/>
      <x:c r="E988" s="2"/>
      <x:c r="F988" s="2"/>
      <x:c r="G988" s="2"/>
      <x:c r="H988" s="2"/>
      <x:c r="I988" s="2"/>
      <x:c r="J988" s="2"/>
      <x:c r="K988" s="2"/>
      <x:c r="L988" s="2"/>
      <x:c r="M988" s="2"/>
      <x:c r="N988" s="2"/>
    </x:row>
    <x:row r="989" ht="23" customHeight="1">
      <x:c r="A989" s="2"/>
      <x:c r="B989" s="2"/>
      <x:c r="C989" s="2"/>
      <x:c r="D989" s="2"/>
      <x:c r="E989" s="2"/>
      <x:c r="F989" s="2"/>
      <x:c r="G989" s="2"/>
      <x:c r="H989" s="2"/>
      <x:c r="I989" s="2"/>
      <x:c r="J989" s="2"/>
      <x:c r="K989" s="2"/>
      <x:c r="L989" s="2"/>
      <x:c r="M989" s="2"/>
      <x:c r="N989" s="2"/>
    </x:row>
    <x:row r="990" ht="23" customHeight="1">
      <x:c r="A990" s="2"/>
      <x:c r="B990" s="2"/>
      <x:c r="C990" s="2"/>
      <x:c r="D990" s="2"/>
      <x:c r="E990" s="2"/>
      <x:c r="F990" s="2"/>
      <x:c r="G990" s="2"/>
      <x:c r="H990" s="2"/>
      <x:c r="I990" s="2"/>
      <x:c r="J990" s="2"/>
      <x:c r="K990" s="2"/>
      <x:c r="L990" s="2"/>
      <x:c r="M990" s="2"/>
      <x:c r="N990" s="2"/>
    </x:row>
    <x:row r="991" ht="23" customHeight="1">
      <x:c r="A991" s="2"/>
      <x:c r="B991" s="2"/>
      <x:c r="C991" s="2"/>
      <x:c r="D991" s="2"/>
      <x:c r="E991" s="2"/>
      <x:c r="F991" s="2"/>
      <x:c r="G991" s="2"/>
      <x:c r="H991" s="2"/>
      <x:c r="I991" s="2"/>
      <x:c r="J991" s="2"/>
      <x:c r="K991" s="2"/>
      <x:c r="L991" s="2"/>
      <x:c r="M991" s="2"/>
      <x:c r="N991" s="2"/>
    </x:row>
    <x:row r="992" ht="23" customHeight="1">
      <x:c r="A992" s="2"/>
      <x:c r="B992" s="2"/>
      <x:c r="C992" s="2"/>
      <x:c r="D992" s="2"/>
      <x:c r="E992" s="2"/>
      <x:c r="F992" s="2"/>
      <x:c r="G992" s="2"/>
      <x:c r="H992" s="2"/>
      <x:c r="I992" s="2"/>
      <x:c r="J992" s="2"/>
      <x:c r="K992" s="2"/>
      <x:c r="L992" s="2"/>
      <x:c r="M992" s="2"/>
      <x:c r="N992" s="2"/>
    </x:row>
    <x:row r="993" ht="23" customHeight="1">
      <x:c r="A993" s="2"/>
      <x:c r="B993" s="2"/>
      <x:c r="C993" s="2"/>
      <x:c r="D993" s="2"/>
      <x:c r="E993" s="2"/>
      <x:c r="F993" s="2"/>
      <x:c r="G993" s="2"/>
      <x:c r="H993" s="2"/>
      <x:c r="I993" s="2"/>
      <x:c r="J993" s="2"/>
      <x:c r="K993" s="2"/>
      <x:c r="L993" s="2"/>
      <x:c r="M993" s="2"/>
      <x:c r="N993" s="2"/>
    </x:row>
    <x:row r="994" ht="23" customHeight="1">
      <x:c r="A994" s="2"/>
      <x:c r="B994" s="2"/>
      <x:c r="C994" s="2"/>
      <x:c r="D994" s="2"/>
      <x:c r="E994" s="2"/>
      <x:c r="F994" s="2"/>
      <x:c r="G994" s="2"/>
      <x:c r="H994" s="2"/>
      <x:c r="I994" s="2"/>
      <x:c r="J994" s="2"/>
      <x:c r="K994" s="2"/>
      <x:c r="L994" s="2"/>
      <x:c r="M994" s="2"/>
      <x:c r="N994" s="2"/>
    </x:row>
    <x:row r="995" ht="23" customHeight="1">
      <x:c r="A995" s="2"/>
      <x:c r="B995" s="2"/>
      <x:c r="C995" s="2"/>
      <x:c r="D995" s="2"/>
      <x:c r="E995" s="2"/>
      <x:c r="F995" s="2"/>
      <x:c r="G995" s="2"/>
      <x:c r="H995" s="2"/>
      <x:c r="I995" s="2"/>
      <x:c r="J995" s="2"/>
      <x:c r="K995" s="2"/>
      <x:c r="L995" s="2"/>
      <x:c r="M995" s="2"/>
      <x:c r="N995" s="2"/>
    </x:row>
    <x:row r="996" ht="23" customHeight="1">
      <x:c r="A996" s="2"/>
      <x:c r="B996" s="2"/>
      <x:c r="C996" s="2"/>
      <x:c r="D996" s="2"/>
      <x:c r="E996" s="2"/>
      <x:c r="F996" s="2"/>
      <x:c r="G996" s="2"/>
      <x:c r="H996" s="2"/>
      <x:c r="I996" s="2"/>
      <x:c r="J996" s="2"/>
      <x:c r="K996" s="2"/>
      <x:c r="L996" s="2"/>
      <x:c r="M996" s="2"/>
      <x:c r="N996" s="2"/>
    </x:row>
    <x:row r="997" ht="23" customHeight="1">
      <x:c r="A997" s="2"/>
      <x:c r="B997" s="2"/>
      <x:c r="C997" s="2"/>
      <x:c r="D997" s="2"/>
      <x:c r="E997" s="2"/>
      <x:c r="F997" s="2"/>
      <x:c r="G997" s="2"/>
      <x:c r="H997" s="2"/>
      <x:c r="I997" s="2"/>
      <x:c r="J997" s="2"/>
      <x:c r="K997" s="2"/>
      <x:c r="L997" s="2"/>
      <x:c r="M997" s="2"/>
      <x:c r="N997" s="2"/>
    </x:row>
    <x:row r="998" ht="23" customHeight="1">
      <x:c r="A998" s="2"/>
      <x:c r="B998" s="2"/>
      <x:c r="C998" s="2"/>
      <x:c r="D998" s="2"/>
      <x:c r="E998" s="2"/>
      <x:c r="F998" s="2"/>
      <x:c r="G998" s="2"/>
      <x:c r="H998" s="2"/>
      <x:c r="I998" s="2"/>
      <x:c r="J998" s="2"/>
      <x:c r="K998" s="2"/>
      <x:c r="L998" s="2"/>
      <x:c r="M998" s="2"/>
      <x:c r="N998" s="2"/>
    </x:row>
    <x:row r="999" ht="23" customHeight="1">
      <x:c r="A999" s="2"/>
      <x:c r="B999" s="2"/>
      <x:c r="C999" s="2"/>
      <x:c r="D999" s="2"/>
      <x:c r="E999" s="2"/>
      <x:c r="F999" s="2"/>
      <x:c r="G999" s="2"/>
      <x:c r="H999" s="2"/>
      <x:c r="I999" s="2"/>
      <x:c r="J999" s="2"/>
      <x:c r="K999" s="2"/>
      <x:c r="L999" s="2"/>
      <x:c r="M999" s="2"/>
      <x:c r="N999" s="2"/>
    </x:row>
    <x:row r="1000" ht="23" customHeight="1">
      <x:c r="A1000" s="2"/>
      <x:c r="B1000" s="2"/>
      <x:c r="C1000" s="2"/>
      <x:c r="D1000" s="2"/>
      <x:c r="E1000" s="2"/>
      <x:c r="F1000" s="2"/>
      <x:c r="G1000" s="2"/>
      <x:c r="H1000" s="2"/>
      <x:c r="I1000" s="2"/>
      <x:c r="J1000" s="2"/>
      <x:c r="K1000" s="2"/>
      <x:c r="L1000" s="2"/>
      <x:c r="M1000" s="2"/>
      <x:c r="N1000" s="2"/>
    </x:row>
    <x:row r="1001" ht="23" customHeight="1">
      <x:c r="A1001" s="2"/>
      <x:c r="B1001" s="2"/>
      <x:c r="C1001" s="2"/>
      <x:c r="D1001" s="2"/>
      <x:c r="E1001" s="2"/>
      <x:c r="F1001" s="2"/>
      <x:c r="G1001" s="2"/>
      <x:c r="H1001" s="2"/>
      <x:c r="I1001" s="2"/>
      <x:c r="J1001" s="2"/>
      <x:c r="K1001" s="2"/>
      <x:c r="L1001" s="2"/>
      <x:c r="M1001" s="2"/>
      <x:c r="N1001" s="2"/>
    </x:row>
    <x:row r="1002" ht="23" customHeight="1">
      <x:c r="A1002" s="2"/>
      <x:c r="B1002" s="2"/>
      <x:c r="C1002" s="2"/>
      <x:c r="D1002" s="2"/>
      <x:c r="E1002" s="2"/>
      <x:c r="F1002" s="2"/>
      <x:c r="G1002" s="2"/>
      <x:c r="H1002" s="2"/>
      <x:c r="I1002" s="2"/>
      <x:c r="J1002" s="2"/>
      <x:c r="K1002" s="2"/>
      <x:c r="L1002" s="2"/>
      <x:c r="M1002" s="2"/>
      <x:c r="N1002" s="2"/>
    </x:row>
    <x:row r="1003" ht="23" customHeight="1">
      <x:c r="A1003" s="2"/>
      <x:c r="B1003" s="2"/>
      <x:c r="C1003" s="2"/>
      <x:c r="D1003" s="2"/>
      <x:c r="E1003" s="2"/>
      <x:c r="F1003" s="2"/>
      <x:c r="G1003" s="2"/>
      <x:c r="H1003" s="2"/>
      <x:c r="I1003" s="2"/>
      <x:c r="J1003" s="2"/>
      <x:c r="K1003" s="2"/>
      <x:c r="L1003" s="2"/>
      <x:c r="M1003" s="2"/>
      <x:c r="N1003" s="2"/>
    </x:row>
    <x:row r="1004" ht="23" customHeight="1">
      <x:c r="A1004" s="2"/>
      <x:c r="B1004" s="2"/>
      <x:c r="C1004" s="2"/>
      <x:c r="D1004" s="2"/>
      <x:c r="E1004" s="2"/>
      <x:c r="F1004" s="2"/>
      <x:c r="G1004" s="2"/>
      <x:c r="H1004" s="2"/>
      <x:c r="I1004" s="2"/>
      <x:c r="J1004" s="2"/>
      <x:c r="K1004" s="2"/>
      <x:c r="L1004" s="2"/>
      <x:c r="M1004" s="2"/>
      <x:c r="N1004" s="2"/>
    </x:row>
    <x:row r="1005" ht="23" customHeight="1">
      <x:c r="A1005" s="2"/>
      <x:c r="B1005" s="2"/>
      <x:c r="C1005" s="2"/>
      <x:c r="D1005" s="2"/>
      <x:c r="E1005" s="2"/>
      <x:c r="F1005" s="2"/>
      <x:c r="G1005" s="2"/>
      <x:c r="H1005" s="2"/>
      <x:c r="I1005" s="2"/>
      <x:c r="J1005" s="2"/>
      <x:c r="K1005" s="2"/>
      <x:c r="L1005" s="2"/>
      <x:c r="M1005" s="2"/>
      <x:c r="N1005" s="2"/>
    </x:row>
    <x:row r="1006" ht="23" customHeight="1">
      <x:c r="A1006" s="2"/>
      <x:c r="B1006" s="2"/>
      <x:c r="C1006" s="2"/>
      <x:c r="D1006" s="2"/>
      <x:c r="E1006" s="2"/>
      <x:c r="F1006" s="2"/>
      <x:c r="G1006" s="2"/>
      <x:c r="H1006" s="2"/>
      <x:c r="I1006" s="2"/>
      <x:c r="J1006" s="2"/>
      <x:c r="K1006" s="2"/>
      <x:c r="L1006" s="2"/>
      <x:c r="M1006" s="2"/>
      <x:c r="N1006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31" hidden="0" customWidth="1"/>
    <x:col min="2" max="2" width="15" hidden="0" customWidth="1"/>
    <x:col min="3" max="3" width="28" hidden="0" customWidth="1"/>
    <x:col min="4" max="4" width="44" hidden="0" customWidth="1"/>
    <x:col min="5" max="5" width="15" hidden="0" customWidth="1"/>
    <x:col min="6" max="6" width="13" hidden="0" customWidth="1"/>
    <x:col min="7" max="7" width="13" hidden="0" customWidth="1"/>
    <x:col min="8" max="8" width="13" hidden="0" customWidth="1"/>
    <x:col min="9" max="9" width="17" hidden="0" customWidth="1"/>
    <x:col min="10" max="10" width="17" hidden="0" customWidth="1"/>
    <x:col min="11" max="11" width="17" hidden="0" customWidth="1"/>
    <x:col min="12" max="12" width="23" hidden="0" customWidth="1"/>
    <x:col min="13" max="13" width="13" hidden="0" customWidth="1"/>
    <x:col min="14" max="14" width="42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3" customHeight="1">
      <x:c r="A2" s="3" t="str">
        <x:v>서울마우스 입고대장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3" customHeight="1">
      <x:c r="A3" s="4" t="str">
        <x:v>서버 저장자료의 사본입니다. 엑셀 수정은 서버에 반영되지 않습니다.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38" customHeight="1">
      <x:c r="A6" s="8" t="str">
        <x:v>접수번호</x:v>
      </x:c>
      <x:c r="B6" s="8" t="str">
        <x:v>입고일</x:v>
      </x:c>
      <x:c r="C6" s="8" t="str">
        <x:v>입고처 / 상호</x:v>
      </x:c>
      <x:c r="D6" s="8" t="str">
        <x:v>주소 / 메모</x:v>
      </x:c>
      <x:c r="E6" s="8" t="str">
        <x:v>모델</x:v>
      </x:c>
      <x:c r="F6" s="8" t="str">
        <x:v>입고 수량</x:v>
      </x:c>
      <x:c r="G6" s="8" t="str">
        <x:v>출고 수량</x:v>
      </x:c>
      <x:c r="H6" s="8" t="str">
        <x:v>미출고</x:v>
      </x:c>
      <x:c r="I6" s="8" t="str">
        <x:v>청구액</x:v>
      </x:c>
      <x:c r="J6" s="8" t="str">
        <x:v>입금액</x:v>
      </x:c>
      <x:c r="K6" s="8" t="str">
        <x:v>차액</x:v>
      </x:c>
      <x:c r="L6" s="8" t="str">
        <x:v>정산 상태</x:v>
      </x:c>
      <x:c r="M6" s="8" t="str">
        <x:v>입고 상태</x:v>
      </x:c>
      <x:c r="N6" s="8" t="str">
        <x:v>입고 ID</x:v>
      </x:c>
    </x:row>
    <x:row r="7" ht="23" customHeight="1">
      <x:c r="A7" s="9"/>
      <x:c r="B7" s="10"/>
      <x:c r="C7" s="9"/>
      <x:c r="D7" s="9"/>
      <x:c r="E7" s="9"/>
      <x:c r="F7" s="11"/>
      <x:c r="G7" s="12" t="str">
        <x:f>IF(A7="","",SUMIFS('출고대장'!$D$7:$D$1006,'출고대장'!$A$7:$A$1006,A7))</x:f>
      </x:c>
      <x:c r="H7" s="12" t="str">
        <x:f>IF(A7="","",F7-G7)</x:f>
      </x:c>
      <x:c r="I7" s="12" t="str">
        <x:f>IF(A7="","",SUMIFS('출고대장'!$K$7:$K$1006,'출고대장'!$A$7:$A$1006,A7))</x:f>
      </x:c>
      <x:c r="J7" s="12" t="str">
        <x:f>IF(A7="","",SUMIFS('입금대장'!$C$7:$C$1006,'입금대장'!$A$7:$A$1006,A7,'입금대장'!$E$7:$E$1006,"정상"))</x:f>
      </x:c>
      <x:c r="K7" s="12" t="str">
        <x:f>IF(A7="","",I7-J7)</x:f>
      </x:c>
      <x:c r="L7" s="13" t="str">
        <x:f>IF(A7="","",IF(K7&lt;0,"선입금·초과입금",IF(I7=0,"청구 전",IF(K7=0,"정산 완료",IF(J7=0,"미입금","부분 입금")))))</x:f>
      </x:c>
      <x:c r="M7" s="9"/>
      <x:c r="N7" s="9"/>
    </x:row>
    <x:row r="8" ht="23" customHeight="1">
      <x:c r="A8" s="9"/>
      <x:c r="B8" s="10"/>
      <x:c r="C8" s="9"/>
      <x:c r="D8" s="9"/>
      <x:c r="E8" s="9"/>
      <x:c r="F8" s="11"/>
      <x:c r="G8" s="12" t="str">
        <x:f>IF(A8="","",SUMIFS('출고대장'!$D$7:$D$1006,'출고대장'!$A$7:$A$1006,A8))</x:f>
      </x:c>
      <x:c r="H8" s="12" t="str">
        <x:f>IF(A8="","",F8-G8)</x:f>
      </x:c>
      <x:c r="I8" s="12" t="str">
        <x:f>IF(A8="","",SUMIFS('출고대장'!$K$7:$K$1006,'출고대장'!$A$7:$A$1006,A8))</x:f>
      </x:c>
      <x:c r="J8" s="12" t="str">
        <x:f>IF(A8="","",SUMIFS('입금대장'!$C$7:$C$1006,'입금대장'!$A$7:$A$1006,A8,'입금대장'!$E$7:$E$1006,"정상"))</x:f>
      </x:c>
      <x:c r="K8" s="12" t="str">
        <x:f>IF(A8="","",I8-J8)</x:f>
      </x:c>
      <x:c r="L8" s="13" t="str">
        <x:f>IF(A8="","",IF(K8&lt;0,"선입금·초과입금",IF(I8=0,"청구 전",IF(K8=0,"정산 완료",IF(J8=0,"미입금","부분 입금")))))</x:f>
      </x:c>
      <x:c r="M8" s="9"/>
      <x:c r="N8" s="9"/>
    </x:row>
    <x:row r="9" ht="23" customHeight="1">
      <x:c r="A9" s="9"/>
      <x:c r="B9" s="10"/>
      <x:c r="C9" s="9"/>
      <x:c r="D9" s="9"/>
      <x:c r="E9" s="9"/>
      <x:c r="F9" s="11"/>
      <x:c r="G9" s="12" t="str">
        <x:f>IF(A9="","",SUMIFS('출고대장'!$D$7:$D$1006,'출고대장'!$A$7:$A$1006,A9))</x:f>
      </x:c>
      <x:c r="H9" s="12" t="str">
        <x:f>IF(A9="","",F9-G9)</x:f>
      </x:c>
      <x:c r="I9" s="12" t="str">
        <x:f>IF(A9="","",SUMIFS('출고대장'!$K$7:$K$1006,'출고대장'!$A$7:$A$1006,A9))</x:f>
      </x:c>
      <x:c r="J9" s="12" t="str">
        <x:f>IF(A9="","",SUMIFS('입금대장'!$C$7:$C$1006,'입금대장'!$A$7:$A$1006,A9,'입금대장'!$E$7:$E$1006,"정상"))</x:f>
      </x:c>
      <x:c r="K9" s="12" t="str">
        <x:f>IF(A9="","",I9-J9)</x:f>
      </x:c>
      <x:c r="L9" s="13" t="str">
        <x:f>IF(A9="","",IF(K9&lt;0,"선입금·초과입금",IF(I9=0,"청구 전",IF(K9=0,"정산 완료",IF(J9=0,"미입금","부분 입금")))))</x:f>
      </x:c>
      <x:c r="M9" s="9"/>
      <x:c r="N9" s="9"/>
    </x:row>
    <x:row r="10" ht="23" customHeight="1">
      <x:c r="A10" s="9"/>
      <x:c r="B10" s="10"/>
      <x:c r="C10" s="9"/>
      <x:c r="D10" s="9"/>
      <x:c r="E10" s="9"/>
      <x:c r="F10" s="11"/>
      <x:c r="G10" s="12" t="str">
        <x:f>IF(A10="","",SUMIFS('출고대장'!$D$7:$D$1006,'출고대장'!$A$7:$A$1006,A10))</x:f>
      </x:c>
      <x:c r="H10" s="12" t="str">
        <x:f>IF(A10="","",F10-G10)</x:f>
      </x:c>
      <x:c r="I10" s="12" t="str">
        <x:f>IF(A10="","",SUMIFS('출고대장'!$K$7:$K$1006,'출고대장'!$A$7:$A$1006,A10))</x:f>
      </x:c>
      <x:c r="J10" s="12" t="str">
        <x:f>IF(A10="","",SUMIFS('입금대장'!$C$7:$C$1006,'입금대장'!$A$7:$A$1006,A10,'입금대장'!$E$7:$E$1006,"정상"))</x:f>
      </x:c>
      <x:c r="K10" s="12" t="str">
        <x:f>IF(A10="","",I10-J10)</x:f>
      </x:c>
      <x:c r="L10" s="13" t="str">
        <x:f>IF(A10="","",IF(K10&lt;0,"선입금·초과입금",IF(I10=0,"청구 전",IF(K10=0,"정산 완료",IF(J10=0,"미입금","부분 입금")))))</x:f>
      </x:c>
      <x:c r="M10" s="9"/>
      <x:c r="N10" s="9"/>
    </x:row>
    <x:row r="11" ht="23" customHeight="1">
      <x:c r="A11" s="9"/>
      <x:c r="B11" s="10"/>
      <x:c r="C11" s="9"/>
      <x:c r="D11" s="9"/>
      <x:c r="E11" s="9"/>
      <x:c r="F11" s="11"/>
      <x:c r="G11" s="12" t="str">
        <x:f>IF(A11="","",SUMIFS('출고대장'!$D$7:$D$1006,'출고대장'!$A$7:$A$1006,A11))</x:f>
      </x:c>
      <x:c r="H11" s="12" t="str">
        <x:f>IF(A11="","",F11-G11)</x:f>
      </x:c>
      <x:c r="I11" s="12" t="str">
        <x:f>IF(A11="","",SUMIFS('출고대장'!$K$7:$K$1006,'출고대장'!$A$7:$A$1006,A11))</x:f>
      </x:c>
      <x:c r="J11" s="12" t="str">
        <x:f>IF(A11="","",SUMIFS('입금대장'!$C$7:$C$1006,'입금대장'!$A$7:$A$1006,A11,'입금대장'!$E$7:$E$1006,"정상"))</x:f>
      </x:c>
      <x:c r="K11" s="12" t="str">
        <x:f>IF(A11="","",I11-J11)</x:f>
      </x:c>
      <x:c r="L11" s="13" t="str">
        <x:f>IF(A11="","",IF(K11&lt;0,"선입금·초과입금",IF(I11=0,"청구 전",IF(K11=0,"정산 완료",IF(J11=0,"미입금","부분 입금")))))</x:f>
      </x:c>
      <x:c r="M11" s="9"/>
      <x:c r="N11" s="9"/>
    </x:row>
    <x:row r="12" ht="23" customHeight="1">
      <x:c r="A12" s="9"/>
      <x:c r="B12" s="10"/>
      <x:c r="C12" s="9"/>
      <x:c r="D12" s="9"/>
      <x:c r="E12" s="9"/>
      <x:c r="F12" s="11"/>
      <x:c r="G12" s="12" t="str">
        <x:f>IF(A12="","",SUMIFS('출고대장'!$D$7:$D$1006,'출고대장'!$A$7:$A$1006,A12))</x:f>
      </x:c>
      <x:c r="H12" s="12" t="str">
        <x:f>IF(A12="","",F12-G12)</x:f>
      </x:c>
      <x:c r="I12" s="12" t="str">
        <x:f>IF(A12="","",SUMIFS('출고대장'!$K$7:$K$1006,'출고대장'!$A$7:$A$1006,A12))</x:f>
      </x:c>
      <x:c r="J12" s="12" t="str">
        <x:f>IF(A12="","",SUMIFS('입금대장'!$C$7:$C$1006,'입금대장'!$A$7:$A$1006,A12,'입금대장'!$E$7:$E$1006,"정상"))</x:f>
      </x:c>
      <x:c r="K12" s="12" t="str">
        <x:f>IF(A12="","",I12-J12)</x:f>
      </x:c>
      <x:c r="L12" s="13" t="str">
        <x:f>IF(A12="","",IF(K12&lt;0,"선입금·초과입금",IF(I12=0,"청구 전",IF(K12=0,"정산 완료",IF(J12=0,"미입금","부분 입금")))))</x:f>
      </x:c>
      <x:c r="M12" s="9"/>
      <x:c r="N12" s="9"/>
    </x:row>
    <x:row r="13" ht="23" customHeight="1">
      <x:c r="A13" s="9"/>
      <x:c r="B13" s="10"/>
      <x:c r="C13" s="9"/>
      <x:c r="D13" s="9"/>
      <x:c r="E13" s="9"/>
      <x:c r="F13" s="11"/>
      <x:c r="G13" s="12" t="str">
        <x:f>IF(A13="","",SUMIFS('출고대장'!$D$7:$D$1006,'출고대장'!$A$7:$A$1006,A13))</x:f>
      </x:c>
      <x:c r="H13" s="12" t="str">
        <x:f>IF(A13="","",F13-G13)</x:f>
      </x:c>
      <x:c r="I13" s="12" t="str">
        <x:f>IF(A13="","",SUMIFS('출고대장'!$K$7:$K$1006,'출고대장'!$A$7:$A$1006,A13))</x:f>
      </x:c>
      <x:c r="J13" s="12" t="str">
        <x:f>IF(A13="","",SUMIFS('입금대장'!$C$7:$C$1006,'입금대장'!$A$7:$A$1006,A13,'입금대장'!$E$7:$E$1006,"정상"))</x:f>
      </x:c>
      <x:c r="K13" s="12" t="str">
        <x:f>IF(A13="","",I13-J13)</x:f>
      </x:c>
      <x:c r="L13" s="13" t="str">
        <x:f>IF(A13="","",IF(K13&lt;0,"선입금·초과입금",IF(I13=0,"청구 전",IF(K13=0,"정산 완료",IF(J13=0,"미입금","부분 입금")))))</x:f>
      </x:c>
      <x:c r="M13" s="9"/>
      <x:c r="N13" s="9"/>
    </x:row>
    <x:row r="14" ht="23" customHeight="1">
      <x:c r="A14" s="9"/>
      <x:c r="B14" s="10"/>
      <x:c r="C14" s="9"/>
      <x:c r="D14" s="9"/>
      <x:c r="E14" s="9"/>
      <x:c r="F14" s="11"/>
      <x:c r="G14" s="12" t="str">
        <x:f>IF(A14="","",SUMIFS('출고대장'!$D$7:$D$1006,'출고대장'!$A$7:$A$1006,A14))</x:f>
      </x:c>
      <x:c r="H14" s="12" t="str">
        <x:f>IF(A14="","",F14-G14)</x:f>
      </x:c>
      <x:c r="I14" s="12" t="str">
        <x:f>IF(A14="","",SUMIFS('출고대장'!$K$7:$K$1006,'출고대장'!$A$7:$A$1006,A14))</x:f>
      </x:c>
      <x:c r="J14" s="12" t="str">
        <x:f>IF(A14="","",SUMIFS('입금대장'!$C$7:$C$1006,'입금대장'!$A$7:$A$1006,A14,'입금대장'!$E$7:$E$1006,"정상"))</x:f>
      </x:c>
      <x:c r="K14" s="12" t="str">
        <x:f>IF(A14="","",I14-J14)</x:f>
      </x:c>
      <x:c r="L14" s="13" t="str">
        <x:f>IF(A14="","",IF(K14&lt;0,"선입금·초과입금",IF(I14=0,"청구 전",IF(K14=0,"정산 완료",IF(J14=0,"미입금","부분 입금")))))</x:f>
      </x:c>
      <x:c r="M14" s="9"/>
      <x:c r="N14" s="9"/>
    </x:row>
    <x:row r="15" ht="23" customHeight="1">
      <x:c r="A15" s="9"/>
      <x:c r="B15" s="10"/>
      <x:c r="C15" s="9"/>
      <x:c r="D15" s="9"/>
      <x:c r="E15" s="9"/>
      <x:c r="F15" s="11"/>
      <x:c r="G15" s="12" t="str">
        <x:f>IF(A15="","",SUMIFS('출고대장'!$D$7:$D$1006,'출고대장'!$A$7:$A$1006,A15))</x:f>
      </x:c>
      <x:c r="H15" s="12" t="str">
        <x:f>IF(A15="","",F15-G15)</x:f>
      </x:c>
      <x:c r="I15" s="12" t="str">
        <x:f>IF(A15="","",SUMIFS('출고대장'!$K$7:$K$1006,'출고대장'!$A$7:$A$1006,A15))</x:f>
      </x:c>
      <x:c r="J15" s="12" t="str">
        <x:f>IF(A15="","",SUMIFS('입금대장'!$C$7:$C$1006,'입금대장'!$A$7:$A$1006,A15,'입금대장'!$E$7:$E$1006,"정상"))</x:f>
      </x:c>
      <x:c r="K15" s="12" t="str">
        <x:f>IF(A15="","",I15-J15)</x:f>
      </x:c>
      <x:c r="L15" s="13" t="str">
        <x:f>IF(A15="","",IF(K15&lt;0,"선입금·초과입금",IF(I15=0,"청구 전",IF(K15=0,"정산 완료",IF(J15=0,"미입금","부분 입금")))))</x:f>
      </x:c>
      <x:c r="M15" s="9"/>
      <x:c r="N15" s="9"/>
    </x:row>
    <x:row r="16" ht="23" customHeight="1">
      <x:c r="A16" s="9"/>
      <x:c r="B16" s="10"/>
      <x:c r="C16" s="9"/>
      <x:c r="D16" s="9"/>
      <x:c r="E16" s="9"/>
      <x:c r="F16" s="11"/>
      <x:c r="G16" s="12" t="str">
        <x:f>IF(A16="","",SUMIFS('출고대장'!$D$7:$D$1006,'출고대장'!$A$7:$A$1006,A16))</x:f>
      </x:c>
      <x:c r="H16" s="12" t="str">
        <x:f>IF(A16="","",F16-G16)</x:f>
      </x:c>
      <x:c r="I16" s="12" t="str">
        <x:f>IF(A16="","",SUMIFS('출고대장'!$K$7:$K$1006,'출고대장'!$A$7:$A$1006,A16))</x:f>
      </x:c>
      <x:c r="J16" s="12" t="str">
        <x:f>IF(A16="","",SUMIFS('입금대장'!$C$7:$C$1006,'입금대장'!$A$7:$A$1006,A16,'입금대장'!$E$7:$E$1006,"정상"))</x:f>
      </x:c>
      <x:c r="K16" s="12" t="str">
        <x:f>IF(A16="","",I16-J16)</x:f>
      </x:c>
      <x:c r="L16" s="13" t="str">
        <x:f>IF(A16="","",IF(K16&lt;0,"선입금·초과입금",IF(I16=0,"청구 전",IF(K16=0,"정산 완료",IF(J16=0,"미입금","부분 입금")))))</x:f>
      </x:c>
      <x:c r="M16" s="9"/>
      <x:c r="N16" s="9"/>
    </x:row>
    <x:row r="17" ht="23" customHeight="1">
      <x:c r="A17" s="9"/>
      <x:c r="B17" s="10"/>
      <x:c r="C17" s="9"/>
      <x:c r="D17" s="9"/>
      <x:c r="E17" s="9"/>
      <x:c r="F17" s="11"/>
      <x:c r="G17" s="12" t="str">
        <x:f>IF(A17="","",SUMIFS('출고대장'!$D$7:$D$1006,'출고대장'!$A$7:$A$1006,A17))</x:f>
      </x:c>
      <x:c r="H17" s="12" t="str">
        <x:f>IF(A17="","",F17-G17)</x:f>
      </x:c>
      <x:c r="I17" s="12" t="str">
        <x:f>IF(A17="","",SUMIFS('출고대장'!$K$7:$K$1006,'출고대장'!$A$7:$A$1006,A17))</x:f>
      </x:c>
      <x:c r="J17" s="12" t="str">
        <x:f>IF(A17="","",SUMIFS('입금대장'!$C$7:$C$1006,'입금대장'!$A$7:$A$1006,A17,'입금대장'!$E$7:$E$1006,"정상"))</x:f>
      </x:c>
      <x:c r="K17" s="12" t="str">
        <x:f>IF(A17="","",I17-J17)</x:f>
      </x:c>
      <x:c r="L17" s="13" t="str">
        <x:f>IF(A17="","",IF(K17&lt;0,"선입금·초과입금",IF(I17=0,"청구 전",IF(K17=0,"정산 완료",IF(J17=0,"미입금","부분 입금")))))</x:f>
      </x:c>
      <x:c r="M17" s="9"/>
      <x:c r="N17" s="9"/>
    </x:row>
    <x:row r="18" ht="23" customHeight="1">
      <x:c r="A18" s="9"/>
      <x:c r="B18" s="10"/>
      <x:c r="C18" s="9"/>
      <x:c r="D18" s="9"/>
      <x:c r="E18" s="9"/>
      <x:c r="F18" s="11"/>
      <x:c r="G18" s="12" t="str">
        <x:f>IF(A18="","",SUMIFS('출고대장'!$D$7:$D$1006,'출고대장'!$A$7:$A$1006,A18))</x:f>
      </x:c>
      <x:c r="H18" s="12" t="str">
        <x:f>IF(A18="","",F18-G18)</x:f>
      </x:c>
      <x:c r="I18" s="12" t="str">
        <x:f>IF(A18="","",SUMIFS('출고대장'!$K$7:$K$1006,'출고대장'!$A$7:$A$1006,A18))</x:f>
      </x:c>
      <x:c r="J18" s="12" t="str">
        <x:f>IF(A18="","",SUMIFS('입금대장'!$C$7:$C$1006,'입금대장'!$A$7:$A$1006,A18,'입금대장'!$E$7:$E$1006,"정상"))</x:f>
      </x:c>
      <x:c r="K18" s="12" t="str">
        <x:f>IF(A18="","",I18-J18)</x:f>
      </x:c>
      <x:c r="L18" s="13" t="str">
        <x:f>IF(A18="","",IF(K18&lt;0,"선입금·초과입금",IF(I18=0,"청구 전",IF(K18=0,"정산 완료",IF(J18=0,"미입금","부분 입금")))))</x:f>
      </x:c>
      <x:c r="M18" s="9"/>
      <x:c r="N18" s="9"/>
    </x:row>
    <x:row r="19" ht="23" customHeight="1">
      <x:c r="A19" s="9"/>
      <x:c r="B19" s="10"/>
      <x:c r="C19" s="9"/>
      <x:c r="D19" s="9"/>
      <x:c r="E19" s="9"/>
      <x:c r="F19" s="11"/>
      <x:c r="G19" s="12" t="str">
        <x:f>IF(A19="","",SUMIFS('출고대장'!$D$7:$D$1006,'출고대장'!$A$7:$A$1006,A19))</x:f>
      </x:c>
      <x:c r="H19" s="12" t="str">
        <x:f>IF(A19="","",F19-G19)</x:f>
      </x:c>
      <x:c r="I19" s="12" t="str">
        <x:f>IF(A19="","",SUMIFS('출고대장'!$K$7:$K$1006,'출고대장'!$A$7:$A$1006,A19))</x:f>
      </x:c>
      <x:c r="J19" s="12" t="str">
        <x:f>IF(A19="","",SUMIFS('입금대장'!$C$7:$C$1006,'입금대장'!$A$7:$A$1006,A19,'입금대장'!$E$7:$E$1006,"정상"))</x:f>
      </x:c>
      <x:c r="K19" s="12" t="str">
        <x:f>IF(A19="","",I19-J19)</x:f>
      </x:c>
      <x:c r="L19" s="13" t="str">
        <x:f>IF(A19="","",IF(K19&lt;0,"선입금·초과입금",IF(I19=0,"청구 전",IF(K19=0,"정산 완료",IF(J19=0,"미입금","부분 입금")))))</x:f>
      </x:c>
      <x:c r="M19" s="9"/>
      <x:c r="N19" s="9"/>
    </x:row>
    <x:row r="20" ht="23" customHeight="1">
      <x:c r="A20" s="9"/>
      <x:c r="B20" s="10"/>
      <x:c r="C20" s="9"/>
      <x:c r="D20" s="9"/>
      <x:c r="E20" s="9"/>
      <x:c r="F20" s="11"/>
      <x:c r="G20" s="12" t="str">
        <x:f>IF(A20="","",SUMIFS('출고대장'!$D$7:$D$1006,'출고대장'!$A$7:$A$1006,A20))</x:f>
      </x:c>
      <x:c r="H20" s="12" t="str">
        <x:f>IF(A20="","",F20-G20)</x:f>
      </x:c>
      <x:c r="I20" s="12" t="str">
        <x:f>IF(A20="","",SUMIFS('출고대장'!$K$7:$K$1006,'출고대장'!$A$7:$A$1006,A20))</x:f>
      </x:c>
      <x:c r="J20" s="12" t="str">
        <x:f>IF(A20="","",SUMIFS('입금대장'!$C$7:$C$1006,'입금대장'!$A$7:$A$1006,A20,'입금대장'!$E$7:$E$1006,"정상"))</x:f>
      </x:c>
      <x:c r="K20" s="12" t="str">
        <x:f>IF(A20="","",I20-J20)</x:f>
      </x:c>
      <x:c r="L20" s="13" t="str">
        <x:f>IF(A20="","",IF(K20&lt;0,"선입금·초과입금",IF(I20=0,"청구 전",IF(K20=0,"정산 완료",IF(J20=0,"미입금","부분 입금")))))</x:f>
      </x:c>
      <x:c r="M20" s="9"/>
      <x:c r="N20" s="9"/>
    </x:row>
    <x:row r="21" ht="23" customHeight="1">
      <x:c r="A21" s="9"/>
      <x:c r="B21" s="10"/>
      <x:c r="C21" s="9"/>
      <x:c r="D21" s="9"/>
      <x:c r="E21" s="9"/>
      <x:c r="F21" s="11"/>
      <x:c r="G21" s="12" t="str">
        <x:f>IF(A21="","",SUMIFS('출고대장'!$D$7:$D$1006,'출고대장'!$A$7:$A$1006,A21))</x:f>
      </x:c>
      <x:c r="H21" s="12" t="str">
        <x:f>IF(A21="","",F21-G21)</x:f>
      </x:c>
      <x:c r="I21" s="12" t="str">
        <x:f>IF(A21="","",SUMIFS('출고대장'!$K$7:$K$1006,'출고대장'!$A$7:$A$1006,A21))</x:f>
      </x:c>
      <x:c r="J21" s="12" t="str">
        <x:f>IF(A21="","",SUMIFS('입금대장'!$C$7:$C$1006,'입금대장'!$A$7:$A$1006,A21,'입금대장'!$E$7:$E$1006,"정상"))</x:f>
      </x:c>
      <x:c r="K21" s="12" t="str">
        <x:f>IF(A21="","",I21-J21)</x:f>
      </x:c>
      <x:c r="L21" s="13" t="str">
        <x:f>IF(A21="","",IF(K21&lt;0,"선입금·초과입금",IF(I21=0,"청구 전",IF(K21=0,"정산 완료",IF(J21=0,"미입금","부분 입금")))))</x:f>
      </x:c>
      <x:c r="M21" s="9"/>
      <x:c r="N21" s="9"/>
    </x:row>
    <x:row r="22" ht="23" customHeight="1">
      <x:c r="A22" s="9"/>
      <x:c r="B22" s="10"/>
      <x:c r="C22" s="9"/>
      <x:c r="D22" s="9"/>
      <x:c r="E22" s="9"/>
      <x:c r="F22" s="11"/>
      <x:c r="G22" s="12" t="str">
        <x:f>IF(A22="","",SUMIFS('출고대장'!$D$7:$D$1006,'출고대장'!$A$7:$A$1006,A22))</x:f>
      </x:c>
      <x:c r="H22" s="12" t="str">
        <x:f>IF(A22="","",F22-G22)</x:f>
      </x:c>
      <x:c r="I22" s="12" t="str">
        <x:f>IF(A22="","",SUMIFS('출고대장'!$K$7:$K$1006,'출고대장'!$A$7:$A$1006,A22))</x:f>
      </x:c>
      <x:c r="J22" s="12" t="str">
        <x:f>IF(A22="","",SUMIFS('입금대장'!$C$7:$C$1006,'입금대장'!$A$7:$A$1006,A22,'입금대장'!$E$7:$E$1006,"정상"))</x:f>
      </x:c>
      <x:c r="K22" s="12" t="str">
        <x:f>IF(A22="","",I22-J22)</x:f>
      </x:c>
      <x:c r="L22" s="13" t="str">
        <x:f>IF(A22="","",IF(K22&lt;0,"선입금·초과입금",IF(I22=0,"청구 전",IF(K22=0,"정산 완료",IF(J22=0,"미입금","부분 입금")))))</x:f>
      </x:c>
      <x:c r="M22" s="9"/>
      <x:c r="N22" s="9"/>
    </x:row>
    <x:row r="23" ht="23" customHeight="1">
      <x:c r="A23" s="9"/>
      <x:c r="B23" s="10"/>
      <x:c r="C23" s="9"/>
      <x:c r="D23" s="9"/>
      <x:c r="E23" s="9"/>
      <x:c r="F23" s="11"/>
      <x:c r="G23" s="12" t="str">
        <x:f>IF(A23="","",SUMIFS('출고대장'!$D$7:$D$1006,'출고대장'!$A$7:$A$1006,A23))</x:f>
      </x:c>
      <x:c r="H23" s="12" t="str">
        <x:f>IF(A23="","",F23-G23)</x:f>
      </x:c>
      <x:c r="I23" s="12" t="str">
        <x:f>IF(A23="","",SUMIFS('출고대장'!$K$7:$K$1006,'출고대장'!$A$7:$A$1006,A23))</x:f>
      </x:c>
      <x:c r="J23" s="12" t="str">
        <x:f>IF(A23="","",SUMIFS('입금대장'!$C$7:$C$1006,'입금대장'!$A$7:$A$1006,A23,'입금대장'!$E$7:$E$1006,"정상"))</x:f>
      </x:c>
      <x:c r="K23" s="12" t="str">
        <x:f>IF(A23="","",I23-J23)</x:f>
      </x:c>
      <x:c r="L23" s="13" t="str">
        <x:f>IF(A23="","",IF(K23&lt;0,"선입금·초과입금",IF(I23=0,"청구 전",IF(K23=0,"정산 완료",IF(J23=0,"미입금","부분 입금")))))</x:f>
      </x:c>
      <x:c r="M23" s="9"/>
      <x:c r="N23" s="9"/>
    </x:row>
    <x:row r="24" ht="23" customHeight="1">
      <x:c r="A24" s="9"/>
      <x:c r="B24" s="10"/>
      <x:c r="C24" s="9"/>
      <x:c r="D24" s="9"/>
      <x:c r="E24" s="9"/>
      <x:c r="F24" s="11"/>
      <x:c r="G24" s="12" t="str">
        <x:f>IF(A24="","",SUMIFS('출고대장'!$D$7:$D$1006,'출고대장'!$A$7:$A$1006,A24))</x:f>
      </x:c>
      <x:c r="H24" s="12" t="str">
        <x:f>IF(A24="","",F24-G24)</x:f>
      </x:c>
      <x:c r="I24" s="12" t="str">
        <x:f>IF(A24="","",SUMIFS('출고대장'!$K$7:$K$1006,'출고대장'!$A$7:$A$1006,A24))</x:f>
      </x:c>
      <x:c r="J24" s="12" t="str">
        <x:f>IF(A24="","",SUMIFS('입금대장'!$C$7:$C$1006,'입금대장'!$A$7:$A$1006,A24,'입금대장'!$E$7:$E$1006,"정상"))</x:f>
      </x:c>
      <x:c r="K24" s="12" t="str">
        <x:f>IF(A24="","",I24-J24)</x:f>
      </x:c>
      <x:c r="L24" s="13" t="str">
        <x:f>IF(A24="","",IF(K24&lt;0,"선입금·초과입금",IF(I24=0,"청구 전",IF(K24=0,"정산 완료",IF(J24=0,"미입금","부분 입금")))))</x:f>
      </x:c>
      <x:c r="M24" s="9"/>
      <x:c r="N24" s="9"/>
    </x:row>
    <x:row r="25" ht="23" customHeight="1">
      <x:c r="A25" s="9"/>
      <x:c r="B25" s="10"/>
      <x:c r="C25" s="9"/>
      <x:c r="D25" s="9"/>
      <x:c r="E25" s="9"/>
      <x:c r="F25" s="11"/>
      <x:c r="G25" s="12" t="str">
        <x:f>IF(A25="","",SUMIFS('출고대장'!$D$7:$D$1006,'출고대장'!$A$7:$A$1006,A25))</x:f>
      </x:c>
      <x:c r="H25" s="12" t="str">
        <x:f>IF(A25="","",F25-G25)</x:f>
      </x:c>
      <x:c r="I25" s="12" t="str">
        <x:f>IF(A25="","",SUMIFS('출고대장'!$K$7:$K$1006,'출고대장'!$A$7:$A$1006,A25))</x:f>
      </x:c>
      <x:c r="J25" s="12" t="str">
        <x:f>IF(A25="","",SUMIFS('입금대장'!$C$7:$C$1006,'입금대장'!$A$7:$A$1006,A25,'입금대장'!$E$7:$E$1006,"정상"))</x:f>
      </x:c>
      <x:c r="K25" s="12" t="str">
        <x:f>IF(A25="","",I25-J25)</x:f>
      </x:c>
      <x:c r="L25" s="13" t="str">
        <x:f>IF(A25="","",IF(K25&lt;0,"선입금·초과입금",IF(I25=0,"청구 전",IF(K25=0,"정산 완료",IF(J25=0,"미입금","부분 입금")))))</x:f>
      </x:c>
      <x:c r="M25" s="9"/>
      <x:c r="N25" s="9"/>
    </x:row>
    <x:row r="26" ht="23" customHeight="1">
      <x:c r="A26" s="9"/>
      <x:c r="B26" s="10"/>
      <x:c r="C26" s="9"/>
      <x:c r="D26" s="9"/>
      <x:c r="E26" s="9"/>
      <x:c r="F26" s="11"/>
      <x:c r="G26" s="12" t="str">
        <x:f>IF(A26="","",SUMIFS('출고대장'!$D$7:$D$1006,'출고대장'!$A$7:$A$1006,A26))</x:f>
      </x:c>
      <x:c r="H26" s="12" t="str">
        <x:f>IF(A26="","",F26-G26)</x:f>
      </x:c>
      <x:c r="I26" s="12" t="str">
        <x:f>IF(A26="","",SUMIFS('출고대장'!$K$7:$K$1006,'출고대장'!$A$7:$A$1006,A26))</x:f>
      </x:c>
      <x:c r="J26" s="12" t="str">
        <x:f>IF(A26="","",SUMIFS('입금대장'!$C$7:$C$1006,'입금대장'!$A$7:$A$1006,A26,'입금대장'!$E$7:$E$1006,"정상"))</x:f>
      </x:c>
      <x:c r="K26" s="12" t="str">
        <x:f>IF(A26="","",I26-J26)</x:f>
      </x:c>
      <x:c r="L26" s="13" t="str">
        <x:f>IF(A26="","",IF(K26&lt;0,"선입금·초과입금",IF(I26=0,"청구 전",IF(K26=0,"정산 완료",IF(J26=0,"미입금","부분 입금")))))</x:f>
      </x:c>
      <x:c r="M26" s="9"/>
      <x:c r="N26" s="9"/>
    </x:row>
    <x:row r="27" ht="23" customHeight="1">
      <x:c r="A27" s="9"/>
      <x:c r="B27" s="10"/>
      <x:c r="C27" s="9"/>
      <x:c r="D27" s="9"/>
      <x:c r="E27" s="9"/>
      <x:c r="F27" s="11"/>
      <x:c r="G27" s="12" t="str">
        <x:f>IF(A27="","",SUMIFS('출고대장'!$D$7:$D$1006,'출고대장'!$A$7:$A$1006,A27))</x:f>
      </x:c>
      <x:c r="H27" s="12" t="str">
        <x:f>IF(A27="","",F27-G27)</x:f>
      </x:c>
      <x:c r="I27" s="12" t="str">
        <x:f>IF(A27="","",SUMIFS('출고대장'!$K$7:$K$1006,'출고대장'!$A$7:$A$1006,A27))</x:f>
      </x:c>
      <x:c r="J27" s="12" t="str">
        <x:f>IF(A27="","",SUMIFS('입금대장'!$C$7:$C$1006,'입금대장'!$A$7:$A$1006,A27,'입금대장'!$E$7:$E$1006,"정상"))</x:f>
      </x:c>
      <x:c r="K27" s="12" t="str">
        <x:f>IF(A27="","",I27-J27)</x:f>
      </x:c>
      <x:c r="L27" s="13" t="str">
        <x:f>IF(A27="","",IF(K27&lt;0,"선입금·초과입금",IF(I27=0,"청구 전",IF(K27=0,"정산 완료",IF(J27=0,"미입금","부분 입금")))))</x:f>
      </x:c>
      <x:c r="M27" s="9"/>
      <x:c r="N27" s="9"/>
    </x:row>
    <x:row r="28" ht="23" customHeight="1">
      <x:c r="A28" s="9"/>
      <x:c r="B28" s="10"/>
      <x:c r="C28" s="9"/>
      <x:c r="D28" s="9"/>
      <x:c r="E28" s="9"/>
      <x:c r="F28" s="11"/>
      <x:c r="G28" s="12" t="str">
        <x:f>IF(A28="","",SUMIFS('출고대장'!$D$7:$D$1006,'출고대장'!$A$7:$A$1006,A28))</x:f>
      </x:c>
      <x:c r="H28" s="12" t="str">
        <x:f>IF(A28="","",F28-G28)</x:f>
      </x:c>
      <x:c r="I28" s="12" t="str">
        <x:f>IF(A28="","",SUMIFS('출고대장'!$K$7:$K$1006,'출고대장'!$A$7:$A$1006,A28))</x:f>
      </x:c>
      <x:c r="J28" s="12" t="str">
        <x:f>IF(A28="","",SUMIFS('입금대장'!$C$7:$C$1006,'입금대장'!$A$7:$A$1006,A28,'입금대장'!$E$7:$E$1006,"정상"))</x:f>
      </x:c>
      <x:c r="K28" s="12" t="str">
        <x:f>IF(A28="","",I28-J28)</x:f>
      </x:c>
      <x:c r="L28" s="13" t="str">
        <x:f>IF(A28="","",IF(K28&lt;0,"선입금·초과입금",IF(I28=0,"청구 전",IF(K28=0,"정산 완료",IF(J28=0,"미입금","부분 입금")))))</x:f>
      </x:c>
      <x:c r="M28" s="9"/>
      <x:c r="N28" s="9"/>
    </x:row>
    <x:row r="29" ht="23" customHeight="1">
      <x:c r="A29" s="9"/>
      <x:c r="B29" s="10"/>
      <x:c r="C29" s="9"/>
      <x:c r="D29" s="9"/>
      <x:c r="E29" s="9"/>
      <x:c r="F29" s="11"/>
      <x:c r="G29" s="12" t="str">
        <x:f>IF(A29="","",SUMIFS('출고대장'!$D$7:$D$1006,'출고대장'!$A$7:$A$1006,A29))</x:f>
      </x:c>
      <x:c r="H29" s="12" t="str">
        <x:f>IF(A29="","",F29-G29)</x:f>
      </x:c>
      <x:c r="I29" s="12" t="str">
        <x:f>IF(A29="","",SUMIFS('출고대장'!$K$7:$K$1006,'출고대장'!$A$7:$A$1006,A29))</x:f>
      </x:c>
      <x:c r="J29" s="12" t="str">
        <x:f>IF(A29="","",SUMIFS('입금대장'!$C$7:$C$1006,'입금대장'!$A$7:$A$1006,A29,'입금대장'!$E$7:$E$1006,"정상"))</x:f>
      </x:c>
      <x:c r="K29" s="12" t="str">
        <x:f>IF(A29="","",I29-J29)</x:f>
      </x:c>
      <x:c r="L29" s="13" t="str">
        <x:f>IF(A29="","",IF(K29&lt;0,"선입금·초과입금",IF(I29=0,"청구 전",IF(K29=0,"정산 완료",IF(J29=0,"미입금","부분 입금")))))</x:f>
      </x:c>
      <x:c r="M29" s="9"/>
      <x:c r="N29" s="9"/>
    </x:row>
    <x:row r="30" ht="23" customHeight="1">
      <x:c r="A30" s="9"/>
      <x:c r="B30" s="10"/>
      <x:c r="C30" s="9"/>
      <x:c r="D30" s="9"/>
      <x:c r="E30" s="9"/>
      <x:c r="F30" s="11"/>
      <x:c r="G30" s="12" t="str">
        <x:f>IF(A30="","",SUMIFS('출고대장'!$D$7:$D$1006,'출고대장'!$A$7:$A$1006,A30))</x:f>
      </x:c>
      <x:c r="H30" s="12" t="str">
        <x:f>IF(A30="","",F30-G30)</x:f>
      </x:c>
      <x:c r="I30" s="12" t="str">
        <x:f>IF(A30="","",SUMIFS('출고대장'!$K$7:$K$1006,'출고대장'!$A$7:$A$1006,A30))</x:f>
      </x:c>
      <x:c r="J30" s="12" t="str">
        <x:f>IF(A30="","",SUMIFS('입금대장'!$C$7:$C$1006,'입금대장'!$A$7:$A$1006,A30,'입금대장'!$E$7:$E$1006,"정상"))</x:f>
      </x:c>
      <x:c r="K30" s="12" t="str">
        <x:f>IF(A30="","",I30-J30)</x:f>
      </x:c>
      <x:c r="L30" s="13" t="str">
        <x:f>IF(A30="","",IF(K30&lt;0,"선입금·초과입금",IF(I30=0,"청구 전",IF(K30=0,"정산 완료",IF(J30=0,"미입금","부분 입금")))))</x:f>
      </x:c>
      <x:c r="M30" s="9"/>
      <x:c r="N30" s="9"/>
    </x:row>
    <x:row r="31" ht="23" customHeight="1">
      <x:c r="A31" s="9"/>
      <x:c r="B31" s="10"/>
      <x:c r="C31" s="9"/>
      <x:c r="D31" s="9"/>
      <x:c r="E31" s="9"/>
      <x:c r="F31" s="11"/>
      <x:c r="G31" s="12" t="str">
        <x:f>IF(A31="","",SUMIFS('출고대장'!$D$7:$D$1006,'출고대장'!$A$7:$A$1006,A31))</x:f>
      </x:c>
      <x:c r="H31" s="12" t="str">
        <x:f>IF(A31="","",F31-G31)</x:f>
      </x:c>
      <x:c r="I31" s="12" t="str">
        <x:f>IF(A31="","",SUMIFS('출고대장'!$K$7:$K$1006,'출고대장'!$A$7:$A$1006,A31))</x:f>
      </x:c>
      <x:c r="J31" s="12" t="str">
        <x:f>IF(A31="","",SUMIFS('입금대장'!$C$7:$C$1006,'입금대장'!$A$7:$A$1006,A31,'입금대장'!$E$7:$E$1006,"정상"))</x:f>
      </x:c>
      <x:c r="K31" s="12" t="str">
        <x:f>IF(A31="","",I31-J31)</x:f>
      </x:c>
      <x:c r="L31" s="13" t="str">
        <x:f>IF(A31="","",IF(K31&lt;0,"선입금·초과입금",IF(I31=0,"청구 전",IF(K31=0,"정산 완료",IF(J31=0,"미입금","부분 입금")))))</x:f>
      </x:c>
      <x:c r="M31" s="9"/>
      <x:c r="N31" s="9"/>
    </x:row>
    <x:row r="32" ht="23" customHeight="1">
      <x:c r="A32" s="9"/>
      <x:c r="B32" s="10"/>
      <x:c r="C32" s="9"/>
      <x:c r="D32" s="9"/>
      <x:c r="E32" s="9"/>
      <x:c r="F32" s="11"/>
      <x:c r="G32" s="12" t="str">
        <x:f>IF(A32="","",SUMIFS('출고대장'!$D$7:$D$1006,'출고대장'!$A$7:$A$1006,A32))</x:f>
      </x:c>
      <x:c r="H32" s="12" t="str">
        <x:f>IF(A32="","",F32-G32)</x:f>
      </x:c>
      <x:c r="I32" s="12" t="str">
        <x:f>IF(A32="","",SUMIFS('출고대장'!$K$7:$K$1006,'출고대장'!$A$7:$A$1006,A32))</x:f>
      </x:c>
      <x:c r="J32" s="12" t="str">
        <x:f>IF(A32="","",SUMIFS('입금대장'!$C$7:$C$1006,'입금대장'!$A$7:$A$1006,A32,'입금대장'!$E$7:$E$1006,"정상"))</x:f>
      </x:c>
      <x:c r="K32" s="12" t="str">
        <x:f>IF(A32="","",I32-J32)</x:f>
      </x:c>
      <x:c r="L32" s="13" t="str">
        <x:f>IF(A32="","",IF(K32&lt;0,"선입금·초과입금",IF(I32=0,"청구 전",IF(K32=0,"정산 완료",IF(J32=0,"미입금","부분 입금")))))</x:f>
      </x:c>
      <x:c r="M32" s="9"/>
      <x:c r="N32" s="9"/>
    </x:row>
    <x:row r="33" ht="23" customHeight="1">
      <x:c r="A33" s="9"/>
      <x:c r="B33" s="10"/>
      <x:c r="C33" s="9"/>
      <x:c r="D33" s="9"/>
      <x:c r="E33" s="9"/>
      <x:c r="F33" s="11"/>
      <x:c r="G33" s="12" t="str">
        <x:f>IF(A33="","",SUMIFS('출고대장'!$D$7:$D$1006,'출고대장'!$A$7:$A$1006,A33))</x:f>
      </x:c>
      <x:c r="H33" s="12" t="str">
        <x:f>IF(A33="","",F33-G33)</x:f>
      </x:c>
      <x:c r="I33" s="12" t="str">
        <x:f>IF(A33="","",SUMIFS('출고대장'!$K$7:$K$1006,'출고대장'!$A$7:$A$1006,A33))</x:f>
      </x:c>
      <x:c r="J33" s="12" t="str">
        <x:f>IF(A33="","",SUMIFS('입금대장'!$C$7:$C$1006,'입금대장'!$A$7:$A$1006,A33,'입금대장'!$E$7:$E$1006,"정상"))</x:f>
      </x:c>
      <x:c r="K33" s="12" t="str">
        <x:f>IF(A33="","",I33-J33)</x:f>
      </x:c>
      <x:c r="L33" s="13" t="str">
        <x:f>IF(A33="","",IF(K33&lt;0,"선입금·초과입금",IF(I33=0,"청구 전",IF(K33=0,"정산 완료",IF(J33=0,"미입금","부분 입금")))))</x:f>
      </x:c>
      <x:c r="M33" s="9"/>
      <x:c r="N33" s="9"/>
    </x:row>
    <x:row r="34" ht="23" customHeight="1">
      <x:c r="A34" s="9"/>
      <x:c r="B34" s="10"/>
      <x:c r="C34" s="9"/>
      <x:c r="D34" s="9"/>
      <x:c r="E34" s="9"/>
      <x:c r="F34" s="11"/>
      <x:c r="G34" s="12" t="str">
        <x:f>IF(A34="","",SUMIFS('출고대장'!$D$7:$D$1006,'출고대장'!$A$7:$A$1006,A34))</x:f>
      </x:c>
      <x:c r="H34" s="12" t="str">
        <x:f>IF(A34="","",F34-G34)</x:f>
      </x:c>
      <x:c r="I34" s="12" t="str">
        <x:f>IF(A34="","",SUMIFS('출고대장'!$K$7:$K$1006,'출고대장'!$A$7:$A$1006,A34))</x:f>
      </x:c>
      <x:c r="J34" s="12" t="str">
        <x:f>IF(A34="","",SUMIFS('입금대장'!$C$7:$C$1006,'입금대장'!$A$7:$A$1006,A34,'입금대장'!$E$7:$E$1006,"정상"))</x:f>
      </x:c>
      <x:c r="K34" s="12" t="str">
        <x:f>IF(A34="","",I34-J34)</x:f>
      </x:c>
      <x:c r="L34" s="13" t="str">
        <x:f>IF(A34="","",IF(K34&lt;0,"선입금·초과입금",IF(I34=0,"청구 전",IF(K34=0,"정산 완료",IF(J34=0,"미입금","부분 입금")))))</x:f>
      </x:c>
      <x:c r="M34" s="9"/>
      <x:c r="N34" s="9"/>
    </x:row>
    <x:row r="35" ht="23" customHeight="1">
      <x:c r="A35" s="9"/>
      <x:c r="B35" s="10"/>
      <x:c r="C35" s="9"/>
      <x:c r="D35" s="9"/>
      <x:c r="E35" s="9"/>
      <x:c r="F35" s="11"/>
      <x:c r="G35" s="12" t="str">
        <x:f>IF(A35="","",SUMIFS('출고대장'!$D$7:$D$1006,'출고대장'!$A$7:$A$1006,A35))</x:f>
      </x:c>
      <x:c r="H35" s="12" t="str">
        <x:f>IF(A35="","",F35-G35)</x:f>
      </x:c>
      <x:c r="I35" s="12" t="str">
        <x:f>IF(A35="","",SUMIFS('출고대장'!$K$7:$K$1006,'출고대장'!$A$7:$A$1006,A35))</x:f>
      </x:c>
      <x:c r="J35" s="12" t="str">
        <x:f>IF(A35="","",SUMIFS('입금대장'!$C$7:$C$1006,'입금대장'!$A$7:$A$1006,A35,'입금대장'!$E$7:$E$1006,"정상"))</x:f>
      </x:c>
      <x:c r="K35" s="12" t="str">
        <x:f>IF(A35="","",I35-J35)</x:f>
      </x:c>
      <x:c r="L35" s="13" t="str">
        <x:f>IF(A35="","",IF(K35&lt;0,"선입금·초과입금",IF(I35=0,"청구 전",IF(K35=0,"정산 완료",IF(J35=0,"미입금","부분 입금")))))</x:f>
      </x:c>
      <x:c r="M35" s="9"/>
      <x:c r="N35" s="9"/>
    </x:row>
    <x:row r="36" ht="23" customHeight="1">
      <x:c r="A36" s="9"/>
      <x:c r="B36" s="10"/>
      <x:c r="C36" s="9"/>
      <x:c r="D36" s="9"/>
      <x:c r="E36" s="9"/>
      <x:c r="F36" s="11"/>
      <x:c r="G36" s="12" t="str">
        <x:f>IF(A36="","",SUMIFS('출고대장'!$D$7:$D$1006,'출고대장'!$A$7:$A$1006,A36))</x:f>
      </x:c>
      <x:c r="H36" s="12" t="str">
        <x:f>IF(A36="","",F36-G36)</x:f>
      </x:c>
      <x:c r="I36" s="12" t="str">
        <x:f>IF(A36="","",SUMIFS('출고대장'!$K$7:$K$1006,'출고대장'!$A$7:$A$1006,A36))</x:f>
      </x:c>
      <x:c r="J36" s="12" t="str">
        <x:f>IF(A36="","",SUMIFS('입금대장'!$C$7:$C$1006,'입금대장'!$A$7:$A$1006,A36,'입금대장'!$E$7:$E$1006,"정상"))</x:f>
      </x:c>
      <x:c r="K36" s="12" t="str">
        <x:f>IF(A36="","",I36-J36)</x:f>
      </x:c>
      <x:c r="L36" s="13" t="str">
        <x:f>IF(A36="","",IF(K36&lt;0,"선입금·초과입금",IF(I36=0,"청구 전",IF(K36=0,"정산 완료",IF(J36=0,"미입금","부분 입금")))))</x:f>
      </x:c>
      <x:c r="M36" s="9"/>
      <x:c r="N36" s="9"/>
    </x:row>
    <x:row r="37" ht="23" customHeight="1">
      <x:c r="A37" s="9"/>
      <x:c r="B37" s="10"/>
      <x:c r="C37" s="9"/>
      <x:c r="D37" s="9"/>
      <x:c r="E37" s="9"/>
      <x:c r="F37" s="11"/>
      <x:c r="G37" s="12" t="str">
        <x:f>IF(A37="","",SUMIFS('출고대장'!$D$7:$D$1006,'출고대장'!$A$7:$A$1006,A37))</x:f>
      </x:c>
      <x:c r="H37" s="12" t="str">
        <x:f>IF(A37="","",F37-G37)</x:f>
      </x:c>
      <x:c r="I37" s="12" t="str">
        <x:f>IF(A37="","",SUMIFS('출고대장'!$K$7:$K$1006,'출고대장'!$A$7:$A$1006,A37))</x:f>
      </x:c>
      <x:c r="J37" s="12" t="str">
        <x:f>IF(A37="","",SUMIFS('입금대장'!$C$7:$C$1006,'입금대장'!$A$7:$A$1006,A37,'입금대장'!$E$7:$E$1006,"정상"))</x:f>
      </x:c>
      <x:c r="K37" s="12" t="str">
        <x:f>IF(A37="","",I37-J37)</x:f>
      </x:c>
      <x:c r="L37" s="13" t="str">
        <x:f>IF(A37="","",IF(K37&lt;0,"선입금·초과입금",IF(I37=0,"청구 전",IF(K37=0,"정산 완료",IF(J37=0,"미입금","부분 입금")))))</x:f>
      </x:c>
      <x:c r="M37" s="9"/>
      <x:c r="N37" s="9"/>
    </x:row>
    <x:row r="38" ht="23" customHeight="1">
      <x:c r="A38" s="9"/>
      <x:c r="B38" s="10"/>
      <x:c r="C38" s="9"/>
      <x:c r="D38" s="9"/>
      <x:c r="E38" s="9"/>
      <x:c r="F38" s="11"/>
      <x:c r="G38" s="12" t="str">
        <x:f>IF(A38="","",SUMIFS('출고대장'!$D$7:$D$1006,'출고대장'!$A$7:$A$1006,A38))</x:f>
      </x:c>
      <x:c r="H38" s="12" t="str">
        <x:f>IF(A38="","",F38-G38)</x:f>
      </x:c>
      <x:c r="I38" s="12" t="str">
        <x:f>IF(A38="","",SUMIFS('출고대장'!$K$7:$K$1006,'출고대장'!$A$7:$A$1006,A38))</x:f>
      </x:c>
      <x:c r="J38" s="12" t="str">
        <x:f>IF(A38="","",SUMIFS('입금대장'!$C$7:$C$1006,'입금대장'!$A$7:$A$1006,A38,'입금대장'!$E$7:$E$1006,"정상"))</x:f>
      </x:c>
      <x:c r="K38" s="12" t="str">
        <x:f>IF(A38="","",I38-J38)</x:f>
      </x:c>
      <x:c r="L38" s="13" t="str">
        <x:f>IF(A38="","",IF(K38&lt;0,"선입금·초과입금",IF(I38=0,"청구 전",IF(K38=0,"정산 완료",IF(J38=0,"미입금","부분 입금")))))</x:f>
      </x:c>
      <x:c r="M38" s="9"/>
      <x:c r="N38" s="9"/>
    </x:row>
    <x:row r="39" ht="23" customHeight="1">
      <x:c r="A39" s="9"/>
      <x:c r="B39" s="10"/>
      <x:c r="C39" s="9"/>
      <x:c r="D39" s="9"/>
      <x:c r="E39" s="9"/>
      <x:c r="F39" s="11"/>
      <x:c r="G39" s="12" t="str">
        <x:f>IF(A39="","",SUMIFS('출고대장'!$D$7:$D$1006,'출고대장'!$A$7:$A$1006,A39))</x:f>
      </x:c>
      <x:c r="H39" s="12" t="str">
        <x:f>IF(A39="","",F39-G39)</x:f>
      </x:c>
      <x:c r="I39" s="12" t="str">
        <x:f>IF(A39="","",SUMIFS('출고대장'!$K$7:$K$1006,'출고대장'!$A$7:$A$1006,A39))</x:f>
      </x:c>
      <x:c r="J39" s="12" t="str">
        <x:f>IF(A39="","",SUMIFS('입금대장'!$C$7:$C$1006,'입금대장'!$A$7:$A$1006,A39,'입금대장'!$E$7:$E$1006,"정상"))</x:f>
      </x:c>
      <x:c r="K39" s="12" t="str">
        <x:f>IF(A39="","",I39-J39)</x:f>
      </x:c>
      <x:c r="L39" s="13" t="str">
        <x:f>IF(A39="","",IF(K39&lt;0,"선입금·초과입금",IF(I39=0,"청구 전",IF(K39=0,"정산 완료",IF(J39=0,"미입금","부분 입금")))))</x:f>
      </x:c>
      <x:c r="M39" s="9"/>
      <x:c r="N39" s="9"/>
    </x:row>
    <x:row r="40" ht="23" customHeight="1">
      <x:c r="A40" s="9"/>
      <x:c r="B40" s="10"/>
      <x:c r="C40" s="9"/>
      <x:c r="D40" s="9"/>
      <x:c r="E40" s="9"/>
      <x:c r="F40" s="11"/>
      <x:c r="G40" s="12" t="str">
        <x:f>IF(A40="","",SUMIFS('출고대장'!$D$7:$D$1006,'출고대장'!$A$7:$A$1006,A40))</x:f>
      </x:c>
      <x:c r="H40" s="12" t="str">
        <x:f>IF(A40="","",F40-G40)</x:f>
      </x:c>
      <x:c r="I40" s="12" t="str">
        <x:f>IF(A40="","",SUMIFS('출고대장'!$K$7:$K$1006,'출고대장'!$A$7:$A$1006,A40))</x:f>
      </x:c>
      <x:c r="J40" s="12" t="str">
        <x:f>IF(A40="","",SUMIFS('입금대장'!$C$7:$C$1006,'입금대장'!$A$7:$A$1006,A40,'입금대장'!$E$7:$E$1006,"정상"))</x:f>
      </x:c>
      <x:c r="K40" s="12" t="str">
        <x:f>IF(A40="","",I40-J40)</x:f>
      </x:c>
      <x:c r="L40" s="13" t="str">
        <x:f>IF(A40="","",IF(K40&lt;0,"선입금·초과입금",IF(I40=0,"청구 전",IF(K40=0,"정산 완료",IF(J40=0,"미입금","부분 입금")))))</x:f>
      </x:c>
      <x:c r="M40" s="9"/>
      <x:c r="N40" s="9"/>
    </x:row>
    <x:row r="41" ht="23" customHeight="1">
      <x:c r="A41" s="9"/>
      <x:c r="B41" s="10"/>
      <x:c r="C41" s="9"/>
      <x:c r="D41" s="9"/>
      <x:c r="E41" s="9"/>
      <x:c r="F41" s="11"/>
      <x:c r="G41" s="12" t="str">
        <x:f>IF(A41="","",SUMIFS('출고대장'!$D$7:$D$1006,'출고대장'!$A$7:$A$1006,A41))</x:f>
      </x:c>
      <x:c r="H41" s="12" t="str">
        <x:f>IF(A41="","",F41-G41)</x:f>
      </x:c>
      <x:c r="I41" s="12" t="str">
        <x:f>IF(A41="","",SUMIFS('출고대장'!$K$7:$K$1006,'출고대장'!$A$7:$A$1006,A41))</x:f>
      </x:c>
      <x:c r="J41" s="12" t="str">
        <x:f>IF(A41="","",SUMIFS('입금대장'!$C$7:$C$1006,'입금대장'!$A$7:$A$1006,A41,'입금대장'!$E$7:$E$1006,"정상"))</x:f>
      </x:c>
      <x:c r="K41" s="12" t="str">
        <x:f>IF(A41="","",I41-J41)</x:f>
      </x:c>
      <x:c r="L41" s="13" t="str">
        <x:f>IF(A41="","",IF(K41&lt;0,"선입금·초과입금",IF(I41=0,"청구 전",IF(K41=0,"정산 완료",IF(J41=0,"미입금","부분 입금")))))</x:f>
      </x:c>
      <x:c r="M41" s="9"/>
      <x:c r="N41" s="9"/>
    </x:row>
    <x:row r="42" ht="23" customHeight="1">
      <x:c r="A42" s="9"/>
      <x:c r="B42" s="10"/>
      <x:c r="C42" s="9"/>
      <x:c r="D42" s="9"/>
      <x:c r="E42" s="9"/>
      <x:c r="F42" s="11"/>
      <x:c r="G42" s="12" t="str">
        <x:f>IF(A42="","",SUMIFS('출고대장'!$D$7:$D$1006,'출고대장'!$A$7:$A$1006,A42))</x:f>
      </x:c>
      <x:c r="H42" s="12" t="str">
        <x:f>IF(A42="","",F42-G42)</x:f>
      </x:c>
      <x:c r="I42" s="12" t="str">
        <x:f>IF(A42="","",SUMIFS('출고대장'!$K$7:$K$1006,'출고대장'!$A$7:$A$1006,A42))</x:f>
      </x:c>
      <x:c r="J42" s="12" t="str">
        <x:f>IF(A42="","",SUMIFS('입금대장'!$C$7:$C$1006,'입금대장'!$A$7:$A$1006,A42,'입금대장'!$E$7:$E$1006,"정상"))</x:f>
      </x:c>
      <x:c r="K42" s="12" t="str">
        <x:f>IF(A42="","",I42-J42)</x:f>
      </x:c>
      <x:c r="L42" s="13" t="str">
        <x:f>IF(A42="","",IF(K42&lt;0,"선입금·초과입금",IF(I42=0,"청구 전",IF(K42=0,"정산 완료",IF(J42=0,"미입금","부분 입금")))))</x:f>
      </x:c>
      <x:c r="M42" s="9"/>
      <x:c r="N42" s="9"/>
    </x:row>
    <x:row r="43" ht="23" customHeight="1">
      <x:c r="A43" s="9"/>
      <x:c r="B43" s="10"/>
      <x:c r="C43" s="9"/>
      <x:c r="D43" s="9"/>
      <x:c r="E43" s="9"/>
      <x:c r="F43" s="11"/>
      <x:c r="G43" s="12" t="str">
        <x:f>IF(A43="","",SUMIFS('출고대장'!$D$7:$D$1006,'출고대장'!$A$7:$A$1006,A43))</x:f>
      </x:c>
      <x:c r="H43" s="12" t="str">
        <x:f>IF(A43="","",F43-G43)</x:f>
      </x:c>
      <x:c r="I43" s="12" t="str">
        <x:f>IF(A43="","",SUMIFS('출고대장'!$K$7:$K$1006,'출고대장'!$A$7:$A$1006,A43))</x:f>
      </x:c>
      <x:c r="J43" s="12" t="str">
        <x:f>IF(A43="","",SUMIFS('입금대장'!$C$7:$C$1006,'입금대장'!$A$7:$A$1006,A43,'입금대장'!$E$7:$E$1006,"정상"))</x:f>
      </x:c>
      <x:c r="K43" s="12" t="str">
        <x:f>IF(A43="","",I43-J43)</x:f>
      </x:c>
      <x:c r="L43" s="13" t="str">
        <x:f>IF(A43="","",IF(K43&lt;0,"선입금·초과입금",IF(I43=0,"청구 전",IF(K43=0,"정산 완료",IF(J43=0,"미입금","부분 입금")))))</x:f>
      </x:c>
      <x:c r="M43" s="9"/>
      <x:c r="N43" s="9"/>
    </x:row>
    <x:row r="44" ht="23" customHeight="1">
      <x:c r="A44" s="9"/>
      <x:c r="B44" s="10"/>
      <x:c r="C44" s="9"/>
      <x:c r="D44" s="9"/>
      <x:c r="E44" s="9"/>
      <x:c r="F44" s="11"/>
      <x:c r="G44" s="12" t="str">
        <x:f>IF(A44="","",SUMIFS('출고대장'!$D$7:$D$1006,'출고대장'!$A$7:$A$1006,A44))</x:f>
      </x:c>
      <x:c r="H44" s="12" t="str">
        <x:f>IF(A44="","",F44-G44)</x:f>
      </x:c>
      <x:c r="I44" s="12" t="str">
        <x:f>IF(A44="","",SUMIFS('출고대장'!$K$7:$K$1006,'출고대장'!$A$7:$A$1006,A44))</x:f>
      </x:c>
      <x:c r="J44" s="12" t="str">
        <x:f>IF(A44="","",SUMIFS('입금대장'!$C$7:$C$1006,'입금대장'!$A$7:$A$1006,A44,'입금대장'!$E$7:$E$1006,"정상"))</x:f>
      </x:c>
      <x:c r="K44" s="12" t="str">
        <x:f>IF(A44="","",I44-J44)</x:f>
      </x:c>
      <x:c r="L44" s="13" t="str">
        <x:f>IF(A44="","",IF(K44&lt;0,"선입금·초과입금",IF(I44=0,"청구 전",IF(K44=0,"정산 완료",IF(J44=0,"미입금","부분 입금")))))</x:f>
      </x:c>
      <x:c r="M44" s="9"/>
      <x:c r="N44" s="9"/>
    </x:row>
    <x:row r="45" ht="23" customHeight="1">
      <x:c r="A45" s="9"/>
      <x:c r="B45" s="10"/>
      <x:c r="C45" s="9"/>
      <x:c r="D45" s="9"/>
      <x:c r="E45" s="9"/>
      <x:c r="F45" s="11"/>
      <x:c r="G45" s="12" t="str">
        <x:f>IF(A45="","",SUMIFS('출고대장'!$D$7:$D$1006,'출고대장'!$A$7:$A$1006,A45))</x:f>
      </x:c>
      <x:c r="H45" s="12" t="str">
        <x:f>IF(A45="","",F45-G45)</x:f>
      </x:c>
      <x:c r="I45" s="12" t="str">
        <x:f>IF(A45="","",SUMIFS('출고대장'!$K$7:$K$1006,'출고대장'!$A$7:$A$1006,A45))</x:f>
      </x:c>
      <x:c r="J45" s="12" t="str">
        <x:f>IF(A45="","",SUMIFS('입금대장'!$C$7:$C$1006,'입금대장'!$A$7:$A$1006,A45,'입금대장'!$E$7:$E$1006,"정상"))</x:f>
      </x:c>
      <x:c r="K45" s="12" t="str">
        <x:f>IF(A45="","",I45-J45)</x:f>
      </x:c>
      <x:c r="L45" s="13" t="str">
        <x:f>IF(A45="","",IF(K45&lt;0,"선입금·초과입금",IF(I45=0,"청구 전",IF(K45=0,"정산 완료",IF(J45=0,"미입금","부분 입금")))))</x:f>
      </x:c>
      <x:c r="M45" s="9"/>
      <x:c r="N45" s="9"/>
    </x:row>
    <x:row r="46" ht="23" customHeight="1">
      <x:c r="A46" s="9"/>
      <x:c r="B46" s="10"/>
      <x:c r="C46" s="9"/>
      <x:c r="D46" s="9"/>
      <x:c r="E46" s="9"/>
      <x:c r="F46" s="11"/>
      <x:c r="G46" s="12" t="str">
        <x:f>IF(A46="","",SUMIFS('출고대장'!$D$7:$D$1006,'출고대장'!$A$7:$A$1006,A46))</x:f>
      </x:c>
      <x:c r="H46" s="12" t="str">
        <x:f>IF(A46="","",F46-G46)</x:f>
      </x:c>
      <x:c r="I46" s="12" t="str">
        <x:f>IF(A46="","",SUMIFS('출고대장'!$K$7:$K$1006,'출고대장'!$A$7:$A$1006,A46))</x:f>
      </x:c>
      <x:c r="J46" s="12" t="str">
        <x:f>IF(A46="","",SUMIFS('입금대장'!$C$7:$C$1006,'입금대장'!$A$7:$A$1006,A46,'입금대장'!$E$7:$E$1006,"정상"))</x:f>
      </x:c>
      <x:c r="K46" s="12" t="str">
        <x:f>IF(A46="","",I46-J46)</x:f>
      </x:c>
      <x:c r="L46" s="13" t="str">
        <x:f>IF(A46="","",IF(K46&lt;0,"선입금·초과입금",IF(I46=0,"청구 전",IF(K46=0,"정산 완료",IF(J46=0,"미입금","부분 입금")))))</x:f>
      </x:c>
      <x:c r="M46" s="9"/>
      <x:c r="N46" s="9"/>
    </x:row>
    <x:row r="47" ht="23" customHeight="1">
      <x:c r="A47" s="9"/>
      <x:c r="B47" s="10"/>
      <x:c r="C47" s="9"/>
      <x:c r="D47" s="9"/>
      <x:c r="E47" s="9"/>
      <x:c r="F47" s="11"/>
      <x:c r="G47" s="12" t="str">
        <x:f>IF(A47="","",SUMIFS('출고대장'!$D$7:$D$1006,'출고대장'!$A$7:$A$1006,A47))</x:f>
      </x:c>
      <x:c r="H47" s="12" t="str">
        <x:f>IF(A47="","",F47-G47)</x:f>
      </x:c>
      <x:c r="I47" s="12" t="str">
        <x:f>IF(A47="","",SUMIFS('출고대장'!$K$7:$K$1006,'출고대장'!$A$7:$A$1006,A47))</x:f>
      </x:c>
      <x:c r="J47" s="12" t="str">
        <x:f>IF(A47="","",SUMIFS('입금대장'!$C$7:$C$1006,'입금대장'!$A$7:$A$1006,A47,'입금대장'!$E$7:$E$1006,"정상"))</x:f>
      </x:c>
      <x:c r="K47" s="12" t="str">
        <x:f>IF(A47="","",I47-J47)</x:f>
      </x:c>
      <x:c r="L47" s="13" t="str">
        <x:f>IF(A47="","",IF(K47&lt;0,"선입금·초과입금",IF(I47=0,"청구 전",IF(K47=0,"정산 완료",IF(J47=0,"미입금","부분 입금")))))</x:f>
      </x:c>
      <x:c r="M47" s="9"/>
      <x:c r="N47" s="9"/>
    </x:row>
    <x:row r="48" ht="23" customHeight="1">
      <x:c r="A48" s="9"/>
      <x:c r="B48" s="10"/>
      <x:c r="C48" s="9"/>
      <x:c r="D48" s="9"/>
      <x:c r="E48" s="9"/>
      <x:c r="F48" s="11"/>
      <x:c r="G48" s="12" t="str">
        <x:f>IF(A48="","",SUMIFS('출고대장'!$D$7:$D$1006,'출고대장'!$A$7:$A$1006,A48))</x:f>
      </x:c>
      <x:c r="H48" s="12" t="str">
        <x:f>IF(A48="","",F48-G48)</x:f>
      </x:c>
      <x:c r="I48" s="12" t="str">
        <x:f>IF(A48="","",SUMIFS('출고대장'!$K$7:$K$1006,'출고대장'!$A$7:$A$1006,A48))</x:f>
      </x:c>
      <x:c r="J48" s="12" t="str">
        <x:f>IF(A48="","",SUMIFS('입금대장'!$C$7:$C$1006,'입금대장'!$A$7:$A$1006,A48,'입금대장'!$E$7:$E$1006,"정상"))</x:f>
      </x:c>
      <x:c r="K48" s="12" t="str">
        <x:f>IF(A48="","",I48-J48)</x:f>
      </x:c>
      <x:c r="L48" s="13" t="str">
        <x:f>IF(A48="","",IF(K48&lt;0,"선입금·초과입금",IF(I48=0,"청구 전",IF(K48=0,"정산 완료",IF(J48=0,"미입금","부분 입금")))))</x:f>
      </x:c>
      <x:c r="M48" s="9"/>
      <x:c r="N48" s="9"/>
    </x:row>
    <x:row r="49" ht="23" customHeight="1">
      <x:c r="A49" s="9"/>
      <x:c r="B49" s="10"/>
      <x:c r="C49" s="9"/>
      <x:c r="D49" s="9"/>
      <x:c r="E49" s="9"/>
      <x:c r="F49" s="11"/>
      <x:c r="G49" s="12" t="str">
        <x:f>IF(A49="","",SUMIFS('출고대장'!$D$7:$D$1006,'출고대장'!$A$7:$A$1006,A49))</x:f>
      </x:c>
      <x:c r="H49" s="12" t="str">
        <x:f>IF(A49="","",F49-G49)</x:f>
      </x:c>
      <x:c r="I49" s="12" t="str">
        <x:f>IF(A49="","",SUMIFS('출고대장'!$K$7:$K$1006,'출고대장'!$A$7:$A$1006,A49))</x:f>
      </x:c>
      <x:c r="J49" s="12" t="str">
        <x:f>IF(A49="","",SUMIFS('입금대장'!$C$7:$C$1006,'입금대장'!$A$7:$A$1006,A49,'입금대장'!$E$7:$E$1006,"정상"))</x:f>
      </x:c>
      <x:c r="K49" s="12" t="str">
        <x:f>IF(A49="","",I49-J49)</x:f>
      </x:c>
      <x:c r="L49" s="13" t="str">
        <x:f>IF(A49="","",IF(K49&lt;0,"선입금·초과입금",IF(I49=0,"청구 전",IF(K49=0,"정산 완료",IF(J49=0,"미입금","부분 입금")))))</x:f>
      </x:c>
      <x:c r="M49" s="9"/>
      <x:c r="N49" s="9"/>
    </x:row>
    <x:row r="50" ht="23" customHeight="1">
      <x:c r="A50" s="9"/>
      <x:c r="B50" s="10"/>
      <x:c r="C50" s="9"/>
      <x:c r="D50" s="9"/>
      <x:c r="E50" s="9"/>
      <x:c r="F50" s="11"/>
      <x:c r="G50" s="12" t="str">
        <x:f>IF(A50="","",SUMIFS('출고대장'!$D$7:$D$1006,'출고대장'!$A$7:$A$1006,A50))</x:f>
      </x:c>
      <x:c r="H50" s="12" t="str">
        <x:f>IF(A50="","",F50-G50)</x:f>
      </x:c>
      <x:c r="I50" s="12" t="str">
        <x:f>IF(A50="","",SUMIFS('출고대장'!$K$7:$K$1006,'출고대장'!$A$7:$A$1006,A50))</x:f>
      </x:c>
      <x:c r="J50" s="12" t="str">
        <x:f>IF(A50="","",SUMIFS('입금대장'!$C$7:$C$1006,'입금대장'!$A$7:$A$1006,A50,'입금대장'!$E$7:$E$1006,"정상"))</x:f>
      </x:c>
      <x:c r="K50" s="12" t="str">
        <x:f>IF(A50="","",I50-J50)</x:f>
      </x:c>
      <x:c r="L50" s="13" t="str">
        <x:f>IF(A50="","",IF(K50&lt;0,"선입금·초과입금",IF(I50=0,"청구 전",IF(K50=0,"정산 완료",IF(J50=0,"미입금","부분 입금")))))</x:f>
      </x:c>
      <x:c r="M50" s="9"/>
      <x:c r="N50" s="9"/>
    </x:row>
    <x:row r="51" ht="23" customHeight="1">
      <x:c r="A51" s="9"/>
      <x:c r="B51" s="10"/>
      <x:c r="C51" s="9"/>
      <x:c r="D51" s="9"/>
      <x:c r="E51" s="9"/>
      <x:c r="F51" s="11"/>
      <x:c r="G51" s="12" t="str">
        <x:f>IF(A51="","",SUMIFS('출고대장'!$D$7:$D$1006,'출고대장'!$A$7:$A$1006,A51))</x:f>
      </x:c>
      <x:c r="H51" s="12" t="str">
        <x:f>IF(A51="","",F51-G51)</x:f>
      </x:c>
      <x:c r="I51" s="12" t="str">
        <x:f>IF(A51="","",SUMIFS('출고대장'!$K$7:$K$1006,'출고대장'!$A$7:$A$1006,A51))</x:f>
      </x:c>
      <x:c r="J51" s="12" t="str">
        <x:f>IF(A51="","",SUMIFS('입금대장'!$C$7:$C$1006,'입금대장'!$A$7:$A$1006,A51,'입금대장'!$E$7:$E$1006,"정상"))</x:f>
      </x:c>
      <x:c r="K51" s="12" t="str">
        <x:f>IF(A51="","",I51-J51)</x:f>
      </x:c>
      <x:c r="L51" s="13" t="str">
        <x:f>IF(A51="","",IF(K51&lt;0,"선입금·초과입금",IF(I51=0,"청구 전",IF(K51=0,"정산 완료",IF(J51=0,"미입금","부분 입금")))))</x:f>
      </x:c>
      <x:c r="M51" s="9"/>
      <x:c r="N51" s="9"/>
    </x:row>
    <x:row r="52" ht="23" customHeight="1">
      <x:c r="A52" s="9"/>
      <x:c r="B52" s="10"/>
      <x:c r="C52" s="9"/>
      <x:c r="D52" s="9"/>
      <x:c r="E52" s="9"/>
      <x:c r="F52" s="11"/>
      <x:c r="G52" s="12" t="str">
        <x:f>IF(A52="","",SUMIFS('출고대장'!$D$7:$D$1006,'출고대장'!$A$7:$A$1006,A52))</x:f>
      </x:c>
      <x:c r="H52" s="12" t="str">
        <x:f>IF(A52="","",F52-G52)</x:f>
      </x:c>
      <x:c r="I52" s="12" t="str">
        <x:f>IF(A52="","",SUMIFS('출고대장'!$K$7:$K$1006,'출고대장'!$A$7:$A$1006,A52))</x:f>
      </x:c>
      <x:c r="J52" s="12" t="str">
        <x:f>IF(A52="","",SUMIFS('입금대장'!$C$7:$C$1006,'입금대장'!$A$7:$A$1006,A52,'입금대장'!$E$7:$E$1006,"정상"))</x:f>
      </x:c>
      <x:c r="K52" s="12" t="str">
        <x:f>IF(A52="","",I52-J52)</x:f>
      </x:c>
      <x:c r="L52" s="13" t="str">
        <x:f>IF(A52="","",IF(K52&lt;0,"선입금·초과입금",IF(I52=0,"청구 전",IF(K52=0,"정산 완료",IF(J52=0,"미입금","부분 입금")))))</x:f>
      </x:c>
      <x:c r="M52" s="9"/>
      <x:c r="N52" s="9"/>
    </x:row>
    <x:row r="53" ht="23" customHeight="1">
      <x:c r="A53" s="9"/>
      <x:c r="B53" s="10"/>
      <x:c r="C53" s="9"/>
      <x:c r="D53" s="9"/>
      <x:c r="E53" s="9"/>
      <x:c r="F53" s="11"/>
      <x:c r="G53" s="12" t="str">
        <x:f>IF(A53="","",SUMIFS('출고대장'!$D$7:$D$1006,'출고대장'!$A$7:$A$1006,A53))</x:f>
      </x:c>
      <x:c r="H53" s="12" t="str">
        <x:f>IF(A53="","",F53-G53)</x:f>
      </x:c>
      <x:c r="I53" s="12" t="str">
        <x:f>IF(A53="","",SUMIFS('출고대장'!$K$7:$K$1006,'출고대장'!$A$7:$A$1006,A53))</x:f>
      </x:c>
      <x:c r="J53" s="12" t="str">
        <x:f>IF(A53="","",SUMIFS('입금대장'!$C$7:$C$1006,'입금대장'!$A$7:$A$1006,A53,'입금대장'!$E$7:$E$1006,"정상"))</x:f>
      </x:c>
      <x:c r="K53" s="12" t="str">
        <x:f>IF(A53="","",I53-J53)</x:f>
      </x:c>
      <x:c r="L53" s="13" t="str">
        <x:f>IF(A53="","",IF(K53&lt;0,"선입금·초과입금",IF(I53=0,"청구 전",IF(K53=0,"정산 완료",IF(J53=0,"미입금","부분 입금")))))</x:f>
      </x:c>
      <x:c r="M53" s="9"/>
      <x:c r="N53" s="9"/>
    </x:row>
    <x:row r="54" ht="23" customHeight="1">
      <x:c r="A54" s="9"/>
      <x:c r="B54" s="10"/>
      <x:c r="C54" s="9"/>
      <x:c r="D54" s="9"/>
      <x:c r="E54" s="9"/>
      <x:c r="F54" s="11"/>
      <x:c r="G54" s="12" t="str">
        <x:f>IF(A54="","",SUMIFS('출고대장'!$D$7:$D$1006,'출고대장'!$A$7:$A$1006,A54))</x:f>
      </x:c>
      <x:c r="H54" s="12" t="str">
        <x:f>IF(A54="","",F54-G54)</x:f>
      </x:c>
      <x:c r="I54" s="12" t="str">
        <x:f>IF(A54="","",SUMIFS('출고대장'!$K$7:$K$1006,'출고대장'!$A$7:$A$1006,A54))</x:f>
      </x:c>
      <x:c r="J54" s="12" t="str">
        <x:f>IF(A54="","",SUMIFS('입금대장'!$C$7:$C$1006,'입금대장'!$A$7:$A$1006,A54,'입금대장'!$E$7:$E$1006,"정상"))</x:f>
      </x:c>
      <x:c r="K54" s="12" t="str">
        <x:f>IF(A54="","",I54-J54)</x:f>
      </x:c>
      <x:c r="L54" s="13" t="str">
        <x:f>IF(A54="","",IF(K54&lt;0,"선입금·초과입금",IF(I54=0,"청구 전",IF(K54=0,"정산 완료",IF(J54=0,"미입금","부분 입금")))))</x:f>
      </x:c>
      <x:c r="M54" s="9"/>
      <x:c r="N54" s="9"/>
    </x:row>
    <x:row r="55" ht="23" customHeight="1">
      <x:c r="A55" s="9"/>
      <x:c r="B55" s="10"/>
      <x:c r="C55" s="9"/>
      <x:c r="D55" s="9"/>
      <x:c r="E55" s="9"/>
      <x:c r="F55" s="11"/>
      <x:c r="G55" s="12" t="str">
        <x:f>IF(A55="","",SUMIFS('출고대장'!$D$7:$D$1006,'출고대장'!$A$7:$A$1006,A55))</x:f>
      </x:c>
      <x:c r="H55" s="12" t="str">
        <x:f>IF(A55="","",F55-G55)</x:f>
      </x:c>
      <x:c r="I55" s="12" t="str">
        <x:f>IF(A55="","",SUMIFS('출고대장'!$K$7:$K$1006,'출고대장'!$A$7:$A$1006,A55))</x:f>
      </x:c>
      <x:c r="J55" s="12" t="str">
        <x:f>IF(A55="","",SUMIFS('입금대장'!$C$7:$C$1006,'입금대장'!$A$7:$A$1006,A55,'입금대장'!$E$7:$E$1006,"정상"))</x:f>
      </x:c>
      <x:c r="K55" s="12" t="str">
        <x:f>IF(A55="","",I55-J55)</x:f>
      </x:c>
      <x:c r="L55" s="13" t="str">
        <x:f>IF(A55="","",IF(K55&lt;0,"선입금·초과입금",IF(I55=0,"청구 전",IF(K55=0,"정산 완료",IF(J55=0,"미입금","부분 입금")))))</x:f>
      </x:c>
      <x:c r="M55" s="9"/>
      <x:c r="N55" s="9"/>
    </x:row>
    <x:row r="56" ht="23" customHeight="1">
      <x:c r="A56" s="9"/>
      <x:c r="B56" s="10"/>
      <x:c r="C56" s="9"/>
      <x:c r="D56" s="9"/>
      <x:c r="E56" s="9"/>
      <x:c r="F56" s="11"/>
      <x:c r="G56" s="12" t="str">
        <x:f>IF(A56="","",SUMIFS('출고대장'!$D$7:$D$1006,'출고대장'!$A$7:$A$1006,A56))</x:f>
      </x:c>
      <x:c r="H56" s="12" t="str">
        <x:f>IF(A56="","",F56-G56)</x:f>
      </x:c>
      <x:c r="I56" s="12" t="str">
        <x:f>IF(A56="","",SUMIFS('출고대장'!$K$7:$K$1006,'출고대장'!$A$7:$A$1006,A56))</x:f>
      </x:c>
      <x:c r="J56" s="12" t="str">
        <x:f>IF(A56="","",SUMIFS('입금대장'!$C$7:$C$1006,'입금대장'!$A$7:$A$1006,A56,'입금대장'!$E$7:$E$1006,"정상"))</x:f>
      </x:c>
      <x:c r="K56" s="12" t="str">
        <x:f>IF(A56="","",I56-J56)</x:f>
      </x:c>
      <x:c r="L56" s="13" t="str">
        <x:f>IF(A56="","",IF(K56&lt;0,"선입금·초과입금",IF(I56=0,"청구 전",IF(K56=0,"정산 완료",IF(J56=0,"미입금","부분 입금")))))</x:f>
      </x:c>
      <x:c r="M56" s="9"/>
      <x:c r="N56" s="9"/>
    </x:row>
    <x:row r="57" ht="23" customHeight="1">
      <x:c r="A57" s="9"/>
      <x:c r="B57" s="10"/>
      <x:c r="C57" s="9"/>
      <x:c r="D57" s="9"/>
      <x:c r="E57" s="9"/>
      <x:c r="F57" s="11"/>
      <x:c r="G57" s="12" t="str">
        <x:f>IF(A57="","",SUMIFS('출고대장'!$D$7:$D$1006,'출고대장'!$A$7:$A$1006,A57))</x:f>
      </x:c>
      <x:c r="H57" s="12" t="str">
        <x:f>IF(A57="","",F57-G57)</x:f>
      </x:c>
      <x:c r="I57" s="12" t="str">
        <x:f>IF(A57="","",SUMIFS('출고대장'!$K$7:$K$1006,'출고대장'!$A$7:$A$1006,A57))</x:f>
      </x:c>
      <x:c r="J57" s="12" t="str">
        <x:f>IF(A57="","",SUMIFS('입금대장'!$C$7:$C$1006,'입금대장'!$A$7:$A$1006,A57,'입금대장'!$E$7:$E$1006,"정상"))</x:f>
      </x:c>
      <x:c r="K57" s="12" t="str">
        <x:f>IF(A57="","",I57-J57)</x:f>
      </x:c>
      <x:c r="L57" s="13" t="str">
        <x:f>IF(A57="","",IF(K57&lt;0,"선입금·초과입금",IF(I57=0,"청구 전",IF(K57=0,"정산 완료",IF(J57=0,"미입금","부분 입금")))))</x:f>
      </x:c>
      <x:c r="M57" s="9"/>
      <x:c r="N57" s="9"/>
    </x:row>
    <x:row r="58" ht="23" customHeight="1">
      <x:c r="A58" s="9"/>
      <x:c r="B58" s="10"/>
      <x:c r="C58" s="9"/>
      <x:c r="D58" s="9"/>
      <x:c r="E58" s="9"/>
      <x:c r="F58" s="11"/>
      <x:c r="G58" s="12" t="str">
        <x:f>IF(A58="","",SUMIFS('출고대장'!$D$7:$D$1006,'출고대장'!$A$7:$A$1006,A58))</x:f>
      </x:c>
      <x:c r="H58" s="12" t="str">
        <x:f>IF(A58="","",F58-G58)</x:f>
      </x:c>
      <x:c r="I58" s="12" t="str">
        <x:f>IF(A58="","",SUMIFS('출고대장'!$K$7:$K$1006,'출고대장'!$A$7:$A$1006,A58))</x:f>
      </x:c>
      <x:c r="J58" s="12" t="str">
        <x:f>IF(A58="","",SUMIFS('입금대장'!$C$7:$C$1006,'입금대장'!$A$7:$A$1006,A58,'입금대장'!$E$7:$E$1006,"정상"))</x:f>
      </x:c>
      <x:c r="K58" s="12" t="str">
        <x:f>IF(A58="","",I58-J58)</x:f>
      </x:c>
      <x:c r="L58" s="13" t="str">
        <x:f>IF(A58="","",IF(K58&lt;0,"선입금·초과입금",IF(I58=0,"청구 전",IF(K58=0,"정산 완료",IF(J58=0,"미입금","부분 입금")))))</x:f>
      </x:c>
      <x:c r="M58" s="9"/>
      <x:c r="N58" s="9"/>
    </x:row>
    <x:row r="59" ht="23" customHeight="1">
      <x:c r="A59" s="9"/>
      <x:c r="B59" s="10"/>
      <x:c r="C59" s="9"/>
      <x:c r="D59" s="9"/>
      <x:c r="E59" s="9"/>
      <x:c r="F59" s="11"/>
      <x:c r="G59" s="12" t="str">
        <x:f>IF(A59="","",SUMIFS('출고대장'!$D$7:$D$1006,'출고대장'!$A$7:$A$1006,A59))</x:f>
      </x:c>
      <x:c r="H59" s="12" t="str">
        <x:f>IF(A59="","",F59-G59)</x:f>
      </x:c>
      <x:c r="I59" s="12" t="str">
        <x:f>IF(A59="","",SUMIFS('출고대장'!$K$7:$K$1006,'출고대장'!$A$7:$A$1006,A59))</x:f>
      </x:c>
      <x:c r="J59" s="12" t="str">
        <x:f>IF(A59="","",SUMIFS('입금대장'!$C$7:$C$1006,'입금대장'!$A$7:$A$1006,A59,'입금대장'!$E$7:$E$1006,"정상"))</x:f>
      </x:c>
      <x:c r="K59" s="12" t="str">
        <x:f>IF(A59="","",I59-J59)</x:f>
      </x:c>
      <x:c r="L59" s="13" t="str">
        <x:f>IF(A59="","",IF(K59&lt;0,"선입금·초과입금",IF(I59=0,"청구 전",IF(K59=0,"정산 완료",IF(J59=0,"미입금","부분 입금")))))</x:f>
      </x:c>
      <x:c r="M59" s="9"/>
      <x:c r="N59" s="9"/>
    </x:row>
    <x:row r="60" ht="23" customHeight="1">
      <x:c r="A60" s="9"/>
      <x:c r="B60" s="10"/>
      <x:c r="C60" s="9"/>
      <x:c r="D60" s="9"/>
      <x:c r="E60" s="9"/>
      <x:c r="F60" s="11"/>
      <x:c r="G60" s="12" t="str">
        <x:f>IF(A60="","",SUMIFS('출고대장'!$D$7:$D$1006,'출고대장'!$A$7:$A$1006,A60))</x:f>
      </x:c>
      <x:c r="H60" s="12" t="str">
        <x:f>IF(A60="","",F60-G60)</x:f>
      </x:c>
      <x:c r="I60" s="12" t="str">
        <x:f>IF(A60="","",SUMIFS('출고대장'!$K$7:$K$1006,'출고대장'!$A$7:$A$1006,A60))</x:f>
      </x:c>
      <x:c r="J60" s="12" t="str">
        <x:f>IF(A60="","",SUMIFS('입금대장'!$C$7:$C$1006,'입금대장'!$A$7:$A$1006,A60,'입금대장'!$E$7:$E$1006,"정상"))</x:f>
      </x:c>
      <x:c r="K60" s="12" t="str">
        <x:f>IF(A60="","",I60-J60)</x:f>
      </x:c>
      <x:c r="L60" s="13" t="str">
        <x:f>IF(A60="","",IF(K60&lt;0,"선입금·초과입금",IF(I60=0,"청구 전",IF(K60=0,"정산 완료",IF(J60=0,"미입금","부분 입금")))))</x:f>
      </x:c>
      <x:c r="M60" s="9"/>
      <x:c r="N60" s="9"/>
    </x:row>
    <x:row r="61" ht="23" customHeight="1">
      <x:c r="A61" s="9"/>
      <x:c r="B61" s="10"/>
      <x:c r="C61" s="9"/>
      <x:c r="D61" s="9"/>
      <x:c r="E61" s="9"/>
      <x:c r="F61" s="11"/>
      <x:c r="G61" s="12" t="str">
        <x:f>IF(A61="","",SUMIFS('출고대장'!$D$7:$D$1006,'출고대장'!$A$7:$A$1006,A61))</x:f>
      </x:c>
      <x:c r="H61" s="12" t="str">
        <x:f>IF(A61="","",F61-G61)</x:f>
      </x:c>
      <x:c r="I61" s="12" t="str">
        <x:f>IF(A61="","",SUMIFS('출고대장'!$K$7:$K$1006,'출고대장'!$A$7:$A$1006,A61))</x:f>
      </x:c>
      <x:c r="J61" s="12" t="str">
        <x:f>IF(A61="","",SUMIFS('입금대장'!$C$7:$C$1006,'입금대장'!$A$7:$A$1006,A61,'입금대장'!$E$7:$E$1006,"정상"))</x:f>
      </x:c>
      <x:c r="K61" s="12" t="str">
        <x:f>IF(A61="","",I61-J61)</x:f>
      </x:c>
      <x:c r="L61" s="13" t="str">
        <x:f>IF(A61="","",IF(K61&lt;0,"선입금·초과입금",IF(I61=0,"청구 전",IF(K61=0,"정산 완료",IF(J61=0,"미입금","부분 입금")))))</x:f>
      </x:c>
      <x:c r="M61" s="9"/>
      <x:c r="N61" s="9"/>
    </x:row>
    <x:row r="62" ht="23" customHeight="1">
      <x:c r="A62" s="9"/>
      <x:c r="B62" s="10"/>
      <x:c r="C62" s="9"/>
      <x:c r="D62" s="9"/>
      <x:c r="E62" s="9"/>
      <x:c r="F62" s="11"/>
      <x:c r="G62" s="12" t="str">
        <x:f>IF(A62="","",SUMIFS('출고대장'!$D$7:$D$1006,'출고대장'!$A$7:$A$1006,A62))</x:f>
      </x:c>
      <x:c r="H62" s="12" t="str">
        <x:f>IF(A62="","",F62-G62)</x:f>
      </x:c>
      <x:c r="I62" s="12" t="str">
        <x:f>IF(A62="","",SUMIFS('출고대장'!$K$7:$K$1006,'출고대장'!$A$7:$A$1006,A62))</x:f>
      </x:c>
      <x:c r="J62" s="12" t="str">
        <x:f>IF(A62="","",SUMIFS('입금대장'!$C$7:$C$1006,'입금대장'!$A$7:$A$1006,A62,'입금대장'!$E$7:$E$1006,"정상"))</x:f>
      </x:c>
      <x:c r="K62" s="12" t="str">
        <x:f>IF(A62="","",I62-J62)</x:f>
      </x:c>
      <x:c r="L62" s="13" t="str">
        <x:f>IF(A62="","",IF(K62&lt;0,"선입금·초과입금",IF(I62=0,"청구 전",IF(K62=0,"정산 완료",IF(J62=0,"미입금","부분 입금")))))</x:f>
      </x:c>
      <x:c r="M62" s="9"/>
      <x:c r="N62" s="9"/>
    </x:row>
    <x:row r="63" ht="23" customHeight="1">
      <x:c r="A63" s="9"/>
      <x:c r="B63" s="10"/>
      <x:c r="C63" s="9"/>
      <x:c r="D63" s="9"/>
      <x:c r="E63" s="9"/>
      <x:c r="F63" s="11"/>
      <x:c r="G63" s="12" t="str">
        <x:f>IF(A63="","",SUMIFS('출고대장'!$D$7:$D$1006,'출고대장'!$A$7:$A$1006,A63))</x:f>
      </x:c>
      <x:c r="H63" s="12" t="str">
        <x:f>IF(A63="","",F63-G63)</x:f>
      </x:c>
      <x:c r="I63" s="12" t="str">
        <x:f>IF(A63="","",SUMIFS('출고대장'!$K$7:$K$1006,'출고대장'!$A$7:$A$1006,A63))</x:f>
      </x:c>
      <x:c r="J63" s="12" t="str">
        <x:f>IF(A63="","",SUMIFS('입금대장'!$C$7:$C$1006,'입금대장'!$A$7:$A$1006,A63,'입금대장'!$E$7:$E$1006,"정상"))</x:f>
      </x:c>
      <x:c r="K63" s="12" t="str">
        <x:f>IF(A63="","",I63-J63)</x:f>
      </x:c>
      <x:c r="L63" s="13" t="str">
        <x:f>IF(A63="","",IF(K63&lt;0,"선입금·초과입금",IF(I63=0,"청구 전",IF(K63=0,"정산 완료",IF(J63=0,"미입금","부분 입금")))))</x:f>
      </x:c>
      <x:c r="M63" s="9"/>
      <x:c r="N63" s="9"/>
    </x:row>
    <x:row r="64" ht="23" customHeight="1">
      <x:c r="A64" s="9"/>
      <x:c r="B64" s="10"/>
      <x:c r="C64" s="9"/>
      <x:c r="D64" s="9"/>
      <x:c r="E64" s="9"/>
      <x:c r="F64" s="11"/>
      <x:c r="G64" s="12" t="str">
        <x:f>IF(A64="","",SUMIFS('출고대장'!$D$7:$D$1006,'출고대장'!$A$7:$A$1006,A64))</x:f>
      </x:c>
      <x:c r="H64" s="12" t="str">
        <x:f>IF(A64="","",F64-G64)</x:f>
      </x:c>
      <x:c r="I64" s="12" t="str">
        <x:f>IF(A64="","",SUMIFS('출고대장'!$K$7:$K$1006,'출고대장'!$A$7:$A$1006,A64))</x:f>
      </x:c>
      <x:c r="J64" s="12" t="str">
        <x:f>IF(A64="","",SUMIFS('입금대장'!$C$7:$C$1006,'입금대장'!$A$7:$A$1006,A64,'입금대장'!$E$7:$E$1006,"정상"))</x:f>
      </x:c>
      <x:c r="K64" s="12" t="str">
        <x:f>IF(A64="","",I64-J64)</x:f>
      </x:c>
      <x:c r="L64" s="13" t="str">
        <x:f>IF(A64="","",IF(K64&lt;0,"선입금·초과입금",IF(I64=0,"청구 전",IF(K64=0,"정산 완료",IF(J64=0,"미입금","부분 입금")))))</x:f>
      </x:c>
      <x:c r="M64" s="9"/>
      <x:c r="N64" s="9"/>
    </x:row>
    <x:row r="65" ht="23" customHeight="1">
      <x:c r="A65" s="9"/>
      <x:c r="B65" s="10"/>
      <x:c r="C65" s="9"/>
      <x:c r="D65" s="9"/>
      <x:c r="E65" s="9"/>
      <x:c r="F65" s="11"/>
      <x:c r="G65" s="12" t="str">
        <x:f>IF(A65="","",SUMIFS('출고대장'!$D$7:$D$1006,'출고대장'!$A$7:$A$1006,A65))</x:f>
      </x:c>
      <x:c r="H65" s="12" t="str">
        <x:f>IF(A65="","",F65-G65)</x:f>
      </x:c>
      <x:c r="I65" s="12" t="str">
        <x:f>IF(A65="","",SUMIFS('출고대장'!$K$7:$K$1006,'출고대장'!$A$7:$A$1006,A65))</x:f>
      </x:c>
      <x:c r="J65" s="12" t="str">
        <x:f>IF(A65="","",SUMIFS('입금대장'!$C$7:$C$1006,'입금대장'!$A$7:$A$1006,A65,'입금대장'!$E$7:$E$1006,"정상"))</x:f>
      </x:c>
      <x:c r="K65" s="12" t="str">
        <x:f>IF(A65="","",I65-J65)</x:f>
      </x:c>
      <x:c r="L65" s="13" t="str">
        <x:f>IF(A65="","",IF(K65&lt;0,"선입금·초과입금",IF(I65=0,"청구 전",IF(K65=0,"정산 완료",IF(J65=0,"미입금","부분 입금")))))</x:f>
      </x:c>
      <x:c r="M65" s="9"/>
      <x:c r="N65" s="9"/>
    </x:row>
    <x:row r="66" ht="23" customHeight="1">
      <x:c r="A66" s="9"/>
      <x:c r="B66" s="10"/>
      <x:c r="C66" s="9"/>
      <x:c r="D66" s="9"/>
      <x:c r="E66" s="9"/>
      <x:c r="F66" s="11"/>
      <x:c r="G66" s="12" t="str">
        <x:f>IF(A66="","",SUMIFS('출고대장'!$D$7:$D$1006,'출고대장'!$A$7:$A$1006,A66))</x:f>
      </x:c>
      <x:c r="H66" s="12" t="str">
        <x:f>IF(A66="","",F66-G66)</x:f>
      </x:c>
      <x:c r="I66" s="12" t="str">
        <x:f>IF(A66="","",SUMIFS('출고대장'!$K$7:$K$1006,'출고대장'!$A$7:$A$1006,A66))</x:f>
      </x:c>
      <x:c r="J66" s="12" t="str">
        <x:f>IF(A66="","",SUMIFS('입금대장'!$C$7:$C$1006,'입금대장'!$A$7:$A$1006,A66,'입금대장'!$E$7:$E$1006,"정상"))</x:f>
      </x:c>
      <x:c r="K66" s="12" t="str">
        <x:f>IF(A66="","",I66-J66)</x:f>
      </x:c>
      <x:c r="L66" s="13" t="str">
        <x:f>IF(A66="","",IF(K66&lt;0,"선입금·초과입금",IF(I66=0,"청구 전",IF(K66=0,"정산 완료",IF(J66=0,"미입금","부분 입금")))))</x:f>
      </x:c>
      <x:c r="M66" s="9"/>
      <x:c r="N66" s="9"/>
    </x:row>
    <x:row r="67" ht="23" customHeight="1">
      <x:c r="A67" s="9"/>
      <x:c r="B67" s="10"/>
      <x:c r="C67" s="9"/>
      <x:c r="D67" s="9"/>
      <x:c r="E67" s="9"/>
      <x:c r="F67" s="11"/>
      <x:c r="G67" s="12" t="str">
        <x:f>IF(A67="","",SUMIFS('출고대장'!$D$7:$D$1006,'출고대장'!$A$7:$A$1006,A67))</x:f>
      </x:c>
      <x:c r="H67" s="12" t="str">
        <x:f>IF(A67="","",F67-G67)</x:f>
      </x:c>
      <x:c r="I67" s="12" t="str">
        <x:f>IF(A67="","",SUMIFS('출고대장'!$K$7:$K$1006,'출고대장'!$A$7:$A$1006,A67))</x:f>
      </x:c>
      <x:c r="J67" s="12" t="str">
        <x:f>IF(A67="","",SUMIFS('입금대장'!$C$7:$C$1006,'입금대장'!$A$7:$A$1006,A67,'입금대장'!$E$7:$E$1006,"정상"))</x:f>
      </x:c>
      <x:c r="K67" s="12" t="str">
        <x:f>IF(A67="","",I67-J67)</x:f>
      </x:c>
      <x:c r="L67" s="13" t="str">
        <x:f>IF(A67="","",IF(K67&lt;0,"선입금·초과입금",IF(I67=0,"청구 전",IF(K67=0,"정산 완료",IF(J67=0,"미입금","부분 입금")))))</x:f>
      </x:c>
      <x:c r="M67" s="9"/>
      <x:c r="N67" s="9"/>
    </x:row>
    <x:row r="68" ht="23" customHeight="1">
      <x:c r="A68" s="9"/>
      <x:c r="B68" s="10"/>
      <x:c r="C68" s="9"/>
      <x:c r="D68" s="9"/>
      <x:c r="E68" s="9"/>
      <x:c r="F68" s="11"/>
      <x:c r="G68" s="12" t="str">
        <x:f>IF(A68="","",SUMIFS('출고대장'!$D$7:$D$1006,'출고대장'!$A$7:$A$1006,A68))</x:f>
      </x:c>
      <x:c r="H68" s="12" t="str">
        <x:f>IF(A68="","",F68-G68)</x:f>
      </x:c>
      <x:c r="I68" s="12" t="str">
        <x:f>IF(A68="","",SUMIFS('출고대장'!$K$7:$K$1006,'출고대장'!$A$7:$A$1006,A68))</x:f>
      </x:c>
      <x:c r="J68" s="12" t="str">
        <x:f>IF(A68="","",SUMIFS('입금대장'!$C$7:$C$1006,'입금대장'!$A$7:$A$1006,A68,'입금대장'!$E$7:$E$1006,"정상"))</x:f>
      </x:c>
      <x:c r="K68" s="12" t="str">
        <x:f>IF(A68="","",I68-J68)</x:f>
      </x:c>
      <x:c r="L68" s="13" t="str">
        <x:f>IF(A68="","",IF(K68&lt;0,"선입금·초과입금",IF(I68=0,"청구 전",IF(K68=0,"정산 완료",IF(J68=0,"미입금","부분 입금")))))</x:f>
      </x:c>
      <x:c r="M68" s="9"/>
      <x:c r="N68" s="9"/>
    </x:row>
    <x:row r="69" ht="23" customHeight="1">
      <x:c r="A69" s="9"/>
      <x:c r="B69" s="10"/>
      <x:c r="C69" s="9"/>
      <x:c r="D69" s="9"/>
      <x:c r="E69" s="9"/>
      <x:c r="F69" s="11"/>
      <x:c r="G69" s="12" t="str">
        <x:f>IF(A69="","",SUMIFS('출고대장'!$D$7:$D$1006,'출고대장'!$A$7:$A$1006,A69))</x:f>
      </x:c>
      <x:c r="H69" s="12" t="str">
        <x:f>IF(A69="","",F69-G69)</x:f>
      </x:c>
      <x:c r="I69" s="12" t="str">
        <x:f>IF(A69="","",SUMIFS('출고대장'!$K$7:$K$1006,'출고대장'!$A$7:$A$1006,A69))</x:f>
      </x:c>
      <x:c r="J69" s="12" t="str">
        <x:f>IF(A69="","",SUMIFS('입금대장'!$C$7:$C$1006,'입금대장'!$A$7:$A$1006,A69,'입금대장'!$E$7:$E$1006,"정상"))</x:f>
      </x:c>
      <x:c r="K69" s="12" t="str">
        <x:f>IF(A69="","",I69-J69)</x:f>
      </x:c>
      <x:c r="L69" s="13" t="str">
        <x:f>IF(A69="","",IF(K69&lt;0,"선입금·초과입금",IF(I69=0,"청구 전",IF(K69=0,"정산 완료",IF(J69=0,"미입금","부분 입금")))))</x:f>
      </x:c>
      <x:c r="M69" s="9"/>
      <x:c r="N69" s="9"/>
    </x:row>
    <x:row r="70" ht="23" customHeight="1">
      <x:c r="A70" s="9"/>
      <x:c r="B70" s="10"/>
      <x:c r="C70" s="9"/>
      <x:c r="D70" s="9"/>
      <x:c r="E70" s="9"/>
      <x:c r="F70" s="11"/>
      <x:c r="G70" s="12" t="str">
        <x:f>IF(A70="","",SUMIFS('출고대장'!$D$7:$D$1006,'출고대장'!$A$7:$A$1006,A70))</x:f>
      </x:c>
      <x:c r="H70" s="12" t="str">
        <x:f>IF(A70="","",F70-G70)</x:f>
      </x:c>
      <x:c r="I70" s="12" t="str">
        <x:f>IF(A70="","",SUMIFS('출고대장'!$K$7:$K$1006,'출고대장'!$A$7:$A$1006,A70))</x:f>
      </x:c>
      <x:c r="J70" s="12" t="str">
        <x:f>IF(A70="","",SUMIFS('입금대장'!$C$7:$C$1006,'입금대장'!$A$7:$A$1006,A70,'입금대장'!$E$7:$E$1006,"정상"))</x:f>
      </x:c>
      <x:c r="K70" s="12" t="str">
        <x:f>IF(A70="","",I70-J70)</x:f>
      </x:c>
      <x:c r="L70" s="13" t="str">
        <x:f>IF(A70="","",IF(K70&lt;0,"선입금·초과입금",IF(I70=0,"청구 전",IF(K70=0,"정산 완료",IF(J70=0,"미입금","부분 입금")))))</x:f>
      </x:c>
      <x:c r="M70" s="9"/>
      <x:c r="N70" s="9"/>
    </x:row>
    <x:row r="71" ht="23" customHeight="1">
      <x:c r="A71" s="9"/>
      <x:c r="B71" s="10"/>
      <x:c r="C71" s="9"/>
      <x:c r="D71" s="9"/>
      <x:c r="E71" s="9"/>
      <x:c r="F71" s="11"/>
      <x:c r="G71" s="12" t="str">
        <x:f>IF(A71="","",SUMIFS('출고대장'!$D$7:$D$1006,'출고대장'!$A$7:$A$1006,A71))</x:f>
      </x:c>
      <x:c r="H71" s="12" t="str">
        <x:f>IF(A71="","",F71-G71)</x:f>
      </x:c>
      <x:c r="I71" s="12" t="str">
        <x:f>IF(A71="","",SUMIFS('출고대장'!$K$7:$K$1006,'출고대장'!$A$7:$A$1006,A71))</x:f>
      </x:c>
      <x:c r="J71" s="12" t="str">
        <x:f>IF(A71="","",SUMIFS('입금대장'!$C$7:$C$1006,'입금대장'!$A$7:$A$1006,A71,'입금대장'!$E$7:$E$1006,"정상"))</x:f>
      </x:c>
      <x:c r="K71" s="12" t="str">
        <x:f>IF(A71="","",I71-J71)</x:f>
      </x:c>
      <x:c r="L71" s="13" t="str">
        <x:f>IF(A71="","",IF(K71&lt;0,"선입금·초과입금",IF(I71=0,"청구 전",IF(K71=0,"정산 완료",IF(J71=0,"미입금","부분 입금")))))</x:f>
      </x:c>
      <x:c r="M71" s="9"/>
      <x:c r="N71" s="9"/>
    </x:row>
    <x:row r="72" ht="23" customHeight="1">
      <x:c r="A72" s="9"/>
      <x:c r="B72" s="10"/>
      <x:c r="C72" s="9"/>
      <x:c r="D72" s="9"/>
      <x:c r="E72" s="9"/>
      <x:c r="F72" s="11"/>
      <x:c r="G72" s="12" t="str">
        <x:f>IF(A72="","",SUMIFS('출고대장'!$D$7:$D$1006,'출고대장'!$A$7:$A$1006,A72))</x:f>
      </x:c>
      <x:c r="H72" s="12" t="str">
        <x:f>IF(A72="","",F72-G72)</x:f>
      </x:c>
      <x:c r="I72" s="12" t="str">
        <x:f>IF(A72="","",SUMIFS('출고대장'!$K$7:$K$1006,'출고대장'!$A$7:$A$1006,A72))</x:f>
      </x:c>
      <x:c r="J72" s="12" t="str">
        <x:f>IF(A72="","",SUMIFS('입금대장'!$C$7:$C$1006,'입금대장'!$A$7:$A$1006,A72,'입금대장'!$E$7:$E$1006,"정상"))</x:f>
      </x:c>
      <x:c r="K72" s="12" t="str">
        <x:f>IF(A72="","",I72-J72)</x:f>
      </x:c>
      <x:c r="L72" s="13" t="str">
        <x:f>IF(A72="","",IF(K72&lt;0,"선입금·초과입금",IF(I72=0,"청구 전",IF(K72=0,"정산 완료",IF(J72=0,"미입금","부분 입금")))))</x:f>
      </x:c>
      <x:c r="M72" s="9"/>
      <x:c r="N72" s="9"/>
    </x:row>
    <x:row r="73" ht="23" customHeight="1">
      <x:c r="A73" s="9"/>
      <x:c r="B73" s="10"/>
      <x:c r="C73" s="9"/>
      <x:c r="D73" s="9"/>
      <x:c r="E73" s="9"/>
      <x:c r="F73" s="11"/>
      <x:c r="G73" s="12" t="str">
        <x:f>IF(A73="","",SUMIFS('출고대장'!$D$7:$D$1006,'출고대장'!$A$7:$A$1006,A73))</x:f>
      </x:c>
      <x:c r="H73" s="12" t="str">
        <x:f>IF(A73="","",F73-G73)</x:f>
      </x:c>
      <x:c r="I73" s="12" t="str">
        <x:f>IF(A73="","",SUMIFS('출고대장'!$K$7:$K$1006,'출고대장'!$A$7:$A$1006,A73))</x:f>
      </x:c>
      <x:c r="J73" s="12" t="str">
        <x:f>IF(A73="","",SUMIFS('입금대장'!$C$7:$C$1006,'입금대장'!$A$7:$A$1006,A73,'입금대장'!$E$7:$E$1006,"정상"))</x:f>
      </x:c>
      <x:c r="K73" s="12" t="str">
        <x:f>IF(A73="","",I73-J73)</x:f>
      </x:c>
      <x:c r="L73" s="13" t="str">
        <x:f>IF(A73="","",IF(K73&lt;0,"선입금·초과입금",IF(I73=0,"청구 전",IF(K73=0,"정산 완료",IF(J73=0,"미입금","부분 입금")))))</x:f>
      </x:c>
      <x:c r="M73" s="9"/>
      <x:c r="N73" s="9"/>
    </x:row>
    <x:row r="74" ht="23" customHeight="1">
      <x:c r="A74" s="9"/>
      <x:c r="B74" s="10"/>
      <x:c r="C74" s="9"/>
      <x:c r="D74" s="9"/>
      <x:c r="E74" s="9"/>
      <x:c r="F74" s="11"/>
      <x:c r="G74" s="12" t="str">
        <x:f>IF(A74="","",SUMIFS('출고대장'!$D$7:$D$1006,'출고대장'!$A$7:$A$1006,A74))</x:f>
      </x:c>
      <x:c r="H74" s="12" t="str">
        <x:f>IF(A74="","",F74-G74)</x:f>
      </x:c>
      <x:c r="I74" s="12" t="str">
        <x:f>IF(A74="","",SUMIFS('출고대장'!$K$7:$K$1006,'출고대장'!$A$7:$A$1006,A74))</x:f>
      </x:c>
      <x:c r="J74" s="12" t="str">
        <x:f>IF(A74="","",SUMIFS('입금대장'!$C$7:$C$1006,'입금대장'!$A$7:$A$1006,A74,'입금대장'!$E$7:$E$1006,"정상"))</x:f>
      </x:c>
      <x:c r="K74" s="12" t="str">
        <x:f>IF(A74="","",I74-J74)</x:f>
      </x:c>
      <x:c r="L74" s="13" t="str">
        <x:f>IF(A74="","",IF(K74&lt;0,"선입금·초과입금",IF(I74=0,"청구 전",IF(K74=0,"정산 완료",IF(J74=0,"미입금","부분 입금")))))</x:f>
      </x:c>
      <x:c r="M74" s="9"/>
      <x:c r="N74" s="9"/>
    </x:row>
    <x:row r="75" ht="23" customHeight="1">
      <x:c r="A75" s="9"/>
      <x:c r="B75" s="10"/>
      <x:c r="C75" s="9"/>
      <x:c r="D75" s="9"/>
      <x:c r="E75" s="9"/>
      <x:c r="F75" s="11"/>
      <x:c r="G75" s="12" t="str">
        <x:f>IF(A75="","",SUMIFS('출고대장'!$D$7:$D$1006,'출고대장'!$A$7:$A$1006,A75))</x:f>
      </x:c>
      <x:c r="H75" s="12" t="str">
        <x:f>IF(A75="","",F75-G75)</x:f>
      </x:c>
      <x:c r="I75" s="12" t="str">
        <x:f>IF(A75="","",SUMIFS('출고대장'!$K$7:$K$1006,'출고대장'!$A$7:$A$1006,A75))</x:f>
      </x:c>
      <x:c r="J75" s="12" t="str">
        <x:f>IF(A75="","",SUMIFS('입금대장'!$C$7:$C$1006,'입금대장'!$A$7:$A$1006,A75,'입금대장'!$E$7:$E$1006,"정상"))</x:f>
      </x:c>
      <x:c r="K75" s="12" t="str">
        <x:f>IF(A75="","",I75-J75)</x:f>
      </x:c>
      <x:c r="L75" s="13" t="str">
        <x:f>IF(A75="","",IF(K75&lt;0,"선입금·초과입금",IF(I75=0,"청구 전",IF(K75=0,"정산 완료",IF(J75=0,"미입금","부분 입금")))))</x:f>
      </x:c>
      <x:c r="M75" s="9"/>
      <x:c r="N75" s="9"/>
    </x:row>
    <x:row r="76" ht="23" customHeight="1">
      <x:c r="A76" s="9"/>
      <x:c r="B76" s="10"/>
      <x:c r="C76" s="9"/>
      <x:c r="D76" s="9"/>
      <x:c r="E76" s="9"/>
      <x:c r="F76" s="11"/>
      <x:c r="G76" s="12" t="str">
        <x:f>IF(A76="","",SUMIFS('출고대장'!$D$7:$D$1006,'출고대장'!$A$7:$A$1006,A76))</x:f>
      </x:c>
      <x:c r="H76" s="12" t="str">
        <x:f>IF(A76="","",F76-G76)</x:f>
      </x:c>
      <x:c r="I76" s="12" t="str">
        <x:f>IF(A76="","",SUMIFS('출고대장'!$K$7:$K$1006,'출고대장'!$A$7:$A$1006,A76))</x:f>
      </x:c>
      <x:c r="J76" s="12" t="str">
        <x:f>IF(A76="","",SUMIFS('입금대장'!$C$7:$C$1006,'입금대장'!$A$7:$A$1006,A76,'입금대장'!$E$7:$E$1006,"정상"))</x:f>
      </x:c>
      <x:c r="K76" s="12" t="str">
        <x:f>IF(A76="","",I76-J76)</x:f>
      </x:c>
      <x:c r="L76" s="13" t="str">
        <x:f>IF(A76="","",IF(K76&lt;0,"선입금·초과입금",IF(I76=0,"청구 전",IF(K76=0,"정산 완료",IF(J76=0,"미입금","부분 입금")))))</x:f>
      </x:c>
      <x:c r="M76" s="9"/>
      <x:c r="N76" s="9"/>
    </x:row>
    <x:row r="77" ht="23" customHeight="1">
      <x:c r="A77" s="9"/>
      <x:c r="B77" s="10"/>
      <x:c r="C77" s="9"/>
      <x:c r="D77" s="9"/>
      <x:c r="E77" s="9"/>
      <x:c r="F77" s="11"/>
      <x:c r="G77" s="12" t="str">
        <x:f>IF(A77="","",SUMIFS('출고대장'!$D$7:$D$1006,'출고대장'!$A$7:$A$1006,A77))</x:f>
      </x:c>
      <x:c r="H77" s="12" t="str">
        <x:f>IF(A77="","",F77-G77)</x:f>
      </x:c>
      <x:c r="I77" s="12" t="str">
        <x:f>IF(A77="","",SUMIFS('출고대장'!$K$7:$K$1006,'출고대장'!$A$7:$A$1006,A77))</x:f>
      </x:c>
      <x:c r="J77" s="12" t="str">
        <x:f>IF(A77="","",SUMIFS('입금대장'!$C$7:$C$1006,'입금대장'!$A$7:$A$1006,A77,'입금대장'!$E$7:$E$1006,"정상"))</x:f>
      </x:c>
      <x:c r="K77" s="12" t="str">
        <x:f>IF(A77="","",I77-J77)</x:f>
      </x:c>
      <x:c r="L77" s="13" t="str">
        <x:f>IF(A77="","",IF(K77&lt;0,"선입금·초과입금",IF(I77=0,"청구 전",IF(K77=0,"정산 완료",IF(J77=0,"미입금","부분 입금")))))</x:f>
      </x:c>
      <x:c r="M77" s="9"/>
      <x:c r="N77" s="9"/>
    </x:row>
    <x:row r="78" ht="23" customHeight="1">
      <x:c r="A78" s="9"/>
      <x:c r="B78" s="10"/>
      <x:c r="C78" s="9"/>
      <x:c r="D78" s="9"/>
      <x:c r="E78" s="9"/>
      <x:c r="F78" s="11"/>
      <x:c r="G78" s="12" t="str">
        <x:f>IF(A78="","",SUMIFS('출고대장'!$D$7:$D$1006,'출고대장'!$A$7:$A$1006,A78))</x:f>
      </x:c>
      <x:c r="H78" s="12" t="str">
        <x:f>IF(A78="","",F78-G78)</x:f>
      </x:c>
      <x:c r="I78" s="12" t="str">
        <x:f>IF(A78="","",SUMIFS('출고대장'!$K$7:$K$1006,'출고대장'!$A$7:$A$1006,A78))</x:f>
      </x:c>
      <x:c r="J78" s="12" t="str">
        <x:f>IF(A78="","",SUMIFS('입금대장'!$C$7:$C$1006,'입금대장'!$A$7:$A$1006,A78,'입금대장'!$E$7:$E$1006,"정상"))</x:f>
      </x:c>
      <x:c r="K78" s="12" t="str">
        <x:f>IF(A78="","",I78-J78)</x:f>
      </x:c>
      <x:c r="L78" s="13" t="str">
        <x:f>IF(A78="","",IF(K78&lt;0,"선입금·초과입금",IF(I78=0,"청구 전",IF(K78=0,"정산 완료",IF(J78=0,"미입금","부분 입금")))))</x:f>
      </x:c>
      <x:c r="M78" s="9"/>
      <x:c r="N78" s="9"/>
    </x:row>
    <x:row r="79" ht="23" customHeight="1">
      <x:c r="A79" s="9"/>
      <x:c r="B79" s="10"/>
      <x:c r="C79" s="9"/>
      <x:c r="D79" s="9"/>
      <x:c r="E79" s="9"/>
      <x:c r="F79" s="11"/>
      <x:c r="G79" s="12" t="str">
        <x:f>IF(A79="","",SUMIFS('출고대장'!$D$7:$D$1006,'출고대장'!$A$7:$A$1006,A79))</x:f>
      </x:c>
      <x:c r="H79" s="12" t="str">
        <x:f>IF(A79="","",F79-G79)</x:f>
      </x:c>
      <x:c r="I79" s="12" t="str">
        <x:f>IF(A79="","",SUMIFS('출고대장'!$K$7:$K$1006,'출고대장'!$A$7:$A$1006,A79))</x:f>
      </x:c>
      <x:c r="J79" s="12" t="str">
        <x:f>IF(A79="","",SUMIFS('입금대장'!$C$7:$C$1006,'입금대장'!$A$7:$A$1006,A79,'입금대장'!$E$7:$E$1006,"정상"))</x:f>
      </x:c>
      <x:c r="K79" s="12" t="str">
        <x:f>IF(A79="","",I79-J79)</x:f>
      </x:c>
      <x:c r="L79" s="13" t="str">
        <x:f>IF(A79="","",IF(K79&lt;0,"선입금·초과입금",IF(I79=0,"청구 전",IF(K79=0,"정산 완료",IF(J79=0,"미입금","부분 입금")))))</x:f>
      </x:c>
      <x:c r="M79" s="9"/>
      <x:c r="N79" s="9"/>
    </x:row>
    <x:row r="80" ht="23" customHeight="1">
      <x:c r="A80" s="9"/>
      <x:c r="B80" s="10"/>
      <x:c r="C80" s="9"/>
      <x:c r="D80" s="9"/>
      <x:c r="E80" s="9"/>
      <x:c r="F80" s="11"/>
      <x:c r="G80" s="12" t="str">
        <x:f>IF(A80="","",SUMIFS('출고대장'!$D$7:$D$1006,'출고대장'!$A$7:$A$1006,A80))</x:f>
      </x:c>
      <x:c r="H80" s="12" t="str">
        <x:f>IF(A80="","",F80-G80)</x:f>
      </x:c>
      <x:c r="I80" s="12" t="str">
        <x:f>IF(A80="","",SUMIFS('출고대장'!$K$7:$K$1006,'출고대장'!$A$7:$A$1006,A80))</x:f>
      </x:c>
      <x:c r="J80" s="12" t="str">
        <x:f>IF(A80="","",SUMIFS('입금대장'!$C$7:$C$1006,'입금대장'!$A$7:$A$1006,A80,'입금대장'!$E$7:$E$1006,"정상"))</x:f>
      </x:c>
      <x:c r="K80" s="12" t="str">
        <x:f>IF(A80="","",I80-J80)</x:f>
      </x:c>
      <x:c r="L80" s="13" t="str">
        <x:f>IF(A80="","",IF(K80&lt;0,"선입금·초과입금",IF(I80=0,"청구 전",IF(K80=0,"정산 완료",IF(J80=0,"미입금","부분 입금")))))</x:f>
      </x:c>
      <x:c r="M80" s="9"/>
      <x:c r="N80" s="9"/>
    </x:row>
    <x:row r="81" ht="23" customHeight="1">
      <x:c r="A81" s="9"/>
      <x:c r="B81" s="10"/>
      <x:c r="C81" s="9"/>
      <x:c r="D81" s="9"/>
      <x:c r="E81" s="9"/>
      <x:c r="F81" s="11"/>
      <x:c r="G81" s="12" t="str">
        <x:f>IF(A81="","",SUMIFS('출고대장'!$D$7:$D$1006,'출고대장'!$A$7:$A$1006,A81))</x:f>
      </x:c>
      <x:c r="H81" s="12" t="str">
        <x:f>IF(A81="","",F81-G81)</x:f>
      </x:c>
      <x:c r="I81" s="12" t="str">
        <x:f>IF(A81="","",SUMIFS('출고대장'!$K$7:$K$1006,'출고대장'!$A$7:$A$1006,A81))</x:f>
      </x:c>
      <x:c r="J81" s="12" t="str">
        <x:f>IF(A81="","",SUMIFS('입금대장'!$C$7:$C$1006,'입금대장'!$A$7:$A$1006,A81,'입금대장'!$E$7:$E$1006,"정상"))</x:f>
      </x:c>
      <x:c r="K81" s="12" t="str">
        <x:f>IF(A81="","",I81-J81)</x:f>
      </x:c>
      <x:c r="L81" s="13" t="str">
        <x:f>IF(A81="","",IF(K81&lt;0,"선입금·초과입금",IF(I81=0,"청구 전",IF(K81=0,"정산 완료",IF(J81=0,"미입금","부분 입금")))))</x:f>
      </x:c>
      <x:c r="M81" s="9"/>
      <x:c r="N81" s="9"/>
    </x:row>
    <x:row r="82" ht="23" customHeight="1">
      <x:c r="A82" s="9"/>
      <x:c r="B82" s="10"/>
      <x:c r="C82" s="9"/>
      <x:c r="D82" s="9"/>
      <x:c r="E82" s="9"/>
      <x:c r="F82" s="11"/>
      <x:c r="G82" s="12" t="str">
        <x:f>IF(A82="","",SUMIFS('출고대장'!$D$7:$D$1006,'출고대장'!$A$7:$A$1006,A82))</x:f>
      </x:c>
      <x:c r="H82" s="12" t="str">
        <x:f>IF(A82="","",F82-G82)</x:f>
      </x:c>
      <x:c r="I82" s="12" t="str">
        <x:f>IF(A82="","",SUMIFS('출고대장'!$K$7:$K$1006,'출고대장'!$A$7:$A$1006,A82))</x:f>
      </x:c>
      <x:c r="J82" s="12" t="str">
        <x:f>IF(A82="","",SUMIFS('입금대장'!$C$7:$C$1006,'입금대장'!$A$7:$A$1006,A82,'입금대장'!$E$7:$E$1006,"정상"))</x:f>
      </x:c>
      <x:c r="K82" s="12" t="str">
        <x:f>IF(A82="","",I82-J82)</x:f>
      </x:c>
      <x:c r="L82" s="13" t="str">
        <x:f>IF(A82="","",IF(K82&lt;0,"선입금·초과입금",IF(I82=0,"청구 전",IF(K82=0,"정산 완료",IF(J82=0,"미입금","부분 입금")))))</x:f>
      </x:c>
      <x:c r="M82" s="9"/>
      <x:c r="N82" s="9"/>
    </x:row>
    <x:row r="83" ht="23" customHeight="1">
      <x:c r="A83" s="9"/>
      <x:c r="B83" s="10"/>
      <x:c r="C83" s="9"/>
      <x:c r="D83" s="9"/>
      <x:c r="E83" s="9"/>
      <x:c r="F83" s="11"/>
      <x:c r="G83" s="12" t="str">
        <x:f>IF(A83="","",SUMIFS('출고대장'!$D$7:$D$1006,'출고대장'!$A$7:$A$1006,A83))</x:f>
      </x:c>
      <x:c r="H83" s="12" t="str">
        <x:f>IF(A83="","",F83-G83)</x:f>
      </x:c>
      <x:c r="I83" s="12" t="str">
        <x:f>IF(A83="","",SUMIFS('출고대장'!$K$7:$K$1006,'출고대장'!$A$7:$A$1006,A83))</x:f>
      </x:c>
      <x:c r="J83" s="12" t="str">
        <x:f>IF(A83="","",SUMIFS('입금대장'!$C$7:$C$1006,'입금대장'!$A$7:$A$1006,A83,'입금대장'!$E$7:$E$1006,"정상"))</x:f>
      </x:c>
      <x:c r="K83" s="12" t="str">
        <x:f>IF(A83="","",I83-J83)</x:f>
      </x:c>
      <x:c r="L83" s="13" t="str">
        <x:f>IF(A83="","",IF(K83&lt;0,"선입금·초과입금",IF(I83=0,"청구 전",IF(K83=0,"정산 완료",IF(J83=0,"미입금","부분 입금")))))</x:f>
      </x:c>
      <x:c r="M83" s="9"/>
      <x:c r="N83" s="9"/>
    </x:row>
    <x:row r="84" ht="23" customHeight="1">
      <x:c r="A84" s="9"/>
      <x:c r="B84" s="10"/>
      <x:c r="C84" s="9"/>
      <x:c r="D84" s="9"/>
      <x:c r="E84" s="9"/>
      <x:c r="F84" s="11"/>
      <x:c r="G84" s="12" t="str">
        <x:f>IF(A84="","",SUMIFS('출고대장'!$D$7:$D$1006,'출고대장'!$A$7:$A$1006,A84))</x:f>
      </x:c>
      <x:c r="H84" s="12" t="str">
        <x:f>IF(A84="","",F84-G84)</x:f>
      </x:c>
      <x:c r="I84" s="12" t="str">
        <x:f>IF(A84="","",SUMIFS('출고대장'!$K$7:$K$1006,'출고대장'!$A$7:$A$1006,A84))</x:f>
      </x:c>
      <x:c r="J84" s="12" t="str">
        <x:f>IF(A84="","",SUMIFS('입금대장'!$C$7:$C$1006,'입금대장'!$A$7:$A$1006,A84,'입금대장'!$E$7:$E$1006,"정상"))</x:f>
      </x:c>
      <x:c r="K84" s="12" t="str">
        <x:f>IF(A84="","",I84-J84)</x:f>
      </x:c>
      <x:c r="L84" s="13" t="str">
        <x:f>IF(A84="","",IF(K84&lt;0,"선입금·초과입금",IF(I84=0,"청구 전",IF(K84=0,"정산 완료",IF(J84=0,"미입금","부분 입금")))))</x:f>
      </x:c>
      <x:c r="M84" s="9"/>
      <x:c r="N84" s="9"/>
    </x:row>
    <x:row r="85" ht="23" customHeight="1">
      <x:c r="A85" s="9"/>
      <x:c r="B85" s="10"/>
      <x:c r="C85" s="9"/>
      <x:c r="D85" s="9"/>
      <x:c r="E85" s="9"/>
      <x:c r="F85" s="11"/>
      <x:c r="G85" s="12" t="str">
        <x:f>IF(A85="","",SUMIFS('출고대장'!$D$7:$D$1006,'출고대장'!$A$7:$A$1006,A85))</x:f>
      </x:c>
      <x:c r="H85" s="12" t="str">
        <x:f>IF(A85="","",F85-G85)</x:f>
      </x:c>
      <x:c r="I85" s="12" t="str">
        <x:f>IF(A85="","",SUMIFS('출고대장'!$K$7:$K$1006,'출고대장'!$A$7:$A$1006,A85))</x:f>
      </x:c>
      <x:c r="J85" s="12" t="str">
        <x:f>IF(A85="","",SUMIFS('입금대장'!$C$7:$C$1006,'입금대장'!$A$7:$A$1006,A85,'입금대장'!$E$7:$E$1006,"정상"))</x:f>
      </x:c>
      <x:c r="K85" s="12" t="str">
        <x:f>IF(A85="","",I85-J85)</x:f>
      </x:c>
      <x:c r="L85" s="13" t="str">
        <x:f>IF(A85="","",IF(K85&lt;0,"선입금·초과입금",IF(I85=0,"청구 전",IF(K85=0,"정산 완료",IF(J85=0,"미입금","부분 입금")))))</x:f>
      </x:c>
      <x:c r="M85" s="9"/>
      <x:c r="N85" s="9"/>
    </x:row>
    <x:row r="86" ht="23" customHeight="1">
      <x:c r="A86" s="9"/>
      <x:c r="B86" s="10"/>
      <x:c r="C86" s="9"/>
      <x:c r="D86" s="9"/>
      <x:c r="E86" s="9"/>
      <x:c r="F86" s="11"/>
      <x:c r="G86" s="12" t="str">
        <x:f>IF(A86="","",SUMIFS('출고대장'!$D$7:$D$1006,'출고대장'!$A$7:$A$1006,A86))</x:f>
      </x:c>
      <x:c r="H86" s="12" t="str">
        <x:f>IF(A86="","",F86-G86)</x:f>
      </x:c>
      <x:c r="I86" s="12" t="str">
        <x:f>IF(A86="","",SUMIFS('출고대장'!$K$7:$K$1006,'출고대장'!$A$7:$A$1006,A86))</x:f>
      </x:c>
      <x:c r="J86" s="12" t="str">
        <x:f>IF(A86="","",SUMIFS('입금대장'!$C$7:$C$1006,'입금대장'!$A$7:$A$1006,A86,'입금대장'!$E$7:$E$1006,"정상"))</x:f>
      </x:c>
      <x:c r="K86" s="12" t="str">
        <x:f>IF(A86="","",I86-J86)</x:f>
      </x:c>
      <x:c r="L86" s="13" t="str">
        <x:f>IF(A86="","",IF(K86&lt;0,"선입금·초과입금",IF(I86=0,"청구 전",IF(K86=0,"정산 완료",IF(J86=0,"미입금","부분 입금")))))</x:f>
      </x:c>
      <x:c r="M86" s="9"/>
      <x:c r="N86" s="9"/>
    </x:row>
    <x:row r="87" ht="23" customHeight="1">
      <x:c r="A87" s="9"/>
      <x:c r="B87" s="10"/>
      <x:c r="C87" s="9"/>
      <x:c r="D87" s="9"/>
      <x:c r="E87" s="9"/>
      <x:c r="F87" s="11"/>
      <x:c r="G87" s="12" t="str">
        <x:f>IF(A87="","",SUMIFS('출고대장'!$D$7:$D$1006,'출고대장'!$A$7:$A$1006,A87))</x:f>
      </x:c>
      <x:c r="H87" s="12" t="str">
        <x:f>IF(A87="","",F87-G87)</x:f>
      </x:c>
      <x:c r="I87" s="12" t="str">
        <x:f>IF(A87="","",SUMIFS('출고대장'!$K$7:$K$1006,'출고대장'!$A$7:$A$1006,A87))</x:f>
      </x:c>
      <x:c r="J87" s="12" t="str">
        <x:f>IF(A87="","",SUMIFS('입금대장'!$C$7:$C$1006,'입금대장'!$A$7:$A$1006,A87,'입금대장'!$E$7:$E$1006,"정상"))</x:f>
      </x:c>
      <x:c r="K87" s="12" t="str">
        <x:f>IF(A87="","",I87-J87)</x:f>
      </x:c>
      <x:c r="L87" s="13" t="str">
        <x:f>IF(A87="","",IF(K87&lt;0,"선입금·초과입금",IF(I87=0,"청구 전",IF(K87=0,"정산 완료",IF(J87=0,"미입금","부분 입금")))))</x:f>
      </x:c>
      <x:c r="M87" s="9"/>
      <x:c r="N87" s="9"/>
    </x:row>
    <x:row r="88" ht="23" customHeight="1">
      <x:c r="A88" s="9"/>
      <x:c r="B88" s="10"/>
      <x:c r="C88" s="9"/>
      <x:c r="D88" s="9"/>
      <x:c r="E88" s="9"/>
      <x:c r="F88" s="11"/>
      <x:c r="G88" s="12" t="str">
        <x:f>IF(A88="","",SUMIFS('출고대장'!$D$7:$D$1006,'출고대장'!$A$7:$A$1006,A88))</x:f>
      </x:c>
      <x:c r="H88" s="12" t="str">
        <x:f>IF(A88="","",F88-G88)</x:f>
      </x:c>
      <x:c r="I88" s="12" t="str">
        <x:f>IF(A88="","",SUMIFS('출고대장'!$K$7:$K$1006,'출고대장'!$A$7:$A$1006,A88))</x:f>
      </x:c>
      <x:c r="J88" s="12" t="str">
        <x:f>IF(A88="","",SUMIFS('입금대장'!$C$7:$C$1006,'입금대장'!$A$7:$A$1006,A88,'입금대장'!$E$7:$E$1006,"정상"))</x:f>
      </x:c>
      <x:c r="K88" s="12" t="str">
        <x:f>IF(A88="","",I88-J88)</x:f>
      </x:c>
      <x:c r="L88" s="13" t="str">
        <x:f>IF(A88="","",IF(K88&lt;0,"선입금·초과입금",IF(I88=0,"청구 전",IF(K88=0,"정산 완료",IF(J88=0,"미입금","부분 입금")))))</x:f>
      </x:c>
      <x:c r="M88" s="9"/>
      <x:c r="N88" s="9"/>
    </x:row>
    <x:row r="89" ht="23" customHeight="1">
      <x:c r="A89" s="9"/>
      <x:c r="B89" s="10"/>
      <x:c r="C89" s="9"/>
      <x:c r="D89" s="9"/>
      <x:c r="E89" s="9"/>
      <x:c r="F89" s="11"/>
      <x:c r="G89" s="12" t="str">
        <x:f>IF(A89="","",SUMIFS('출고대장'!$D$7:$D$1006,'출고대장'!$A$7:$A$1006,A89))</x:f>
      </x:c>
      <x:c r="H89" s="12" t="str">
        <x:f>IF(A89="","",F89-G89)</x:f>
      </x:c>
      <x:c r="I89" s="12" t="str">
        <x:f>IF(A89="","",SUMIFS('출고대장'!$K$7:$K$1006,'출고대장'!$A$7:$A$1006,A89))</x:f>
      </x:c>
      <x:c r="J89" s="12" t="str">
        <x:f>IF(A89="","",SUMIFS('입금대장'!$C$7:$C$1006,'입금대장'!$A$7:$A$1006,A89,'입금대장'!$E$7:$E$1006,"정상"))</x:f>
      </x:c>
      <x:c r="K89" s="12" t="str">
        <x:f>IF(A89="","",I89-J89)</x:f>
      </x:c>
      <x:c r="L89" s="13" t="str">
        <x:f>IF(A89="","",IF(K89&lt;0,"선입금·초과입금",IF(I89=0,"청구 전",IF(K89=0,"정산 완료",IF(J89=0,"미입금","부분 입금")))))</x:f>
      </x:c>
      <x:c r="M89" s="9"/>
      <x:c r="N89" s="9"/>
    </x:row>
    <x:row r="90" ht="23" customHeight="1">
      <x:c r="A90" s="9"/>
      <x:c r="B90" s="10"/>
      <x:c r="C90" s="9"/>
      <x:c r="D90" s="9"/>
      <x:c r="E90" s="9"/>
      <x:c r="F90" s="11"/>
      <x:c r="G90" s="12" t="str">
        <x:f>IF(A90="","",SUMIFS('출고대장'!$D$7:$D$1006,'출고대장'!$A$7:$A$1006,A90))</x:f>
      </x:c>
      <x:c r="H90" s="12" t="str">
        <x:f>IF(A90="","",F90-G90)</x:f>
      </x:c>
      <x:c r="I90" s="12" t="str">
        <x:f>IF(A90="","",SUMIFS('출고대장'!$K$7:$K$1006,'출고대장'!$A$7:$A$1006,A90))</x:f>
      </x:c>
      <x:c r="J90" s="12" t="str">
        <x:f>IF(A90="","",SUMIFS('입금대장'!$C$7:$C$1006,'입금대장'!$A$7:$A$1006,A90,'입금대장'!$E$7:$E$1006,"정상"))</x:f>
      </x:c>
      <x:c r="K90" s="12" t="str">
        <x:f>IF(A90="","",I90-J90)</x:f>
      </x:c>
      <x:c r="L90" s="13" t="str">
        <x:f>IF(A90="","",IF(K90&lt;0,"선입금·초과입금",IF(I90=0,"청구 전",IF(K90=0,"정산 완료",IF(J90=0,"미입금","부분 입금")))))</x:f>
      </x:c>
      <x:c r="M90" s="9"/>
      <x:c r="N90" s="9"/>
    </x:row>
    <x:row r="91" ht="23" customHeight="1">
      <x:c r="A91" s="9"/>
      <x:c r="B91" s="10"/>
      <x:c r="C91" s="9"/>
      <x:c r="D91" s="9"/>
      <x:c r="E91" s="9"/>
      <x:c r="F91" s="11"/>
      <x:c r="G91" s="12" t="str">
        <x:f>IF(A91="","",SUMIFS('출고대장'!$D$7:$D$1006,'출고대장'!$A$7:$A$1006,A91))</x:f>
      </x:c>
      <x:c r="H91" s="12" t="str">
        <x:f>IF(A91="","",F91-G91)</x:f>
      </x:c>
      <x:c r="I91" s="12" t="str">
        <x:f>IF(A91="","",SUMIFS('출고대장'!$K$7:$K$1006,'출고대장'!$A$7:$A$1006,A91))</x:f>
      </x:c>
      <x:c r="J91" s="12" t="str">
        <x:f>IF(A91="","",SUMIFS('입금대장'!$C$7:$C$1006,'입금대장'!$A$7:$A$1006,A91,'입금대장'!$E$7:$E$1006,"정상"))</x:f>
      </x:c>
      <x:c r="K91" s="12" t="str">
        <x:f>IF(A91="","",I91-J91)</x:f>
      </x:c>
      <x:c r="L91" s="13" t="str">
        <x:f>IF(A91="","",IF(K91&lt;0,"선입금·초과입금",IF(I91=0,"청구 전",IF(K91=0,"정산 완료",IF(J91=0,"미입금","부분 입금")))))</x:f>
      </x:c>
      <x:c r="M91" s="9"/>
      <x:c r="N91" s="9"/>
    </x:row>
    <x:row r="92" ht="23" customHeight="1">
      <x:c r="A92" s="9"/>
      <x:c r="B92" s="10"/>
      <x:c r="C92" s="9"/>
      <x:c r="D92" s="9"/>
      <x:c r="E92" s="9"/>
      <x:c r="F92" s="11"/>
      <x:c r="G92" s="12" t="str">
        <x:f>IF(A92="","",SUMIFS('출고대장'!$D$7:$D$1006,'출고대장'!$A$7:$A$1006,A92))</x:f>
      </x:c>
      <x:c r="H92" s="12" t="str">
        <x:f>IF(A92="","",F92-G92)</x:f>
      </x:c>
      <x:c r="I92" s="12" t="str">
        <x:f>IF(A92="","",SUMIFS('출고대장'!$K$7:$K$1006,'출고대장'!$A$7:$A$1006,A92))</x:f>
      </x:c>
      <x:c r="J92" s="12" t="str">
        <x:f>IF(A92="","",SUMIFS('입금대장'!$C$7:$C$1006,'입금대장'!$A$7:$A$1006,A92,'입금대장'!$E$7:$E$1006,"정상"))</x:f>
      </x:c>
      <x:c r="K92" s="12" t="str">
        <x:f>IF(A92="","",I92-J92)</x:f>
      </x:c>
      <x:c r="L92" s="13" t="str">
        <x:f>IF(A92="","",IF(K92&lt;0,"선입금·초과입금",IF(I92=0,"청구 전",IF(K92=0,"정산 완료",IF(J92=0,"미입금","부분 입금")))))</x:f>
      </x:c>
      <x:c r="M92" s="9"/>
      <x:c r="N92" s="9"/>
    </x:row>
    <x:row r="93" ht="23" customHeight="1">
      <x:c r="A93" s="9"/>
      <x:c r="B93" s="10"/>
      <x:c r="C93" s="9"/>
      <x:c r="D93" s="9"/>
      <x:c r="E93" s="9"/>
      <x:c r="F93" s="11"/>
      <x:c r="G93" s="12" t="str">
        <x:f>IF(A93="","",SUMIFS('출고대장'!$D$7:$D$1006,'출고대장'!$A$7:$A$1006,A93))</x:f>
      </x:c>
      <x:c r="H93" s="12" t="str">
        <x:f>IF(A93="","",F93-G93)</x:f>
      </x:c>
      <x:c r="I93" s="12" t="str">
        <x:f>IF(A93="","",SUMIFS('출고대장'!$K$7:$K$1006,'출고대장'!$A$7:$A$1006,A93))</x:f>
      </x:c>
      <x:c r="J93" s="12" t="str">
        <x:f>IF(A93="","",SUMIFS('입금대장'!$C$7:$C$1006,'입금대장'!$A$7:$A$1006,A93,'입금대장'!$E$7:$E$1006,"정상"))</x:f>
      </x:c>
      <x:c r="K93" s="12" t="str">
        <x:f>IF(A93="","",I93-J93)</x:f>
      </x:c>
      <x:c r="L93" s="13" t="str">
        <x:f>IF(A93="","",IF(K93&lt;0,"선입금·초과입금",IF(I93=0,"청구 전",IF(K93=0,"정산 완료",IF(J93=0,"미입금","부분 입금")))))</x:f>
      </x:c>
      <x:c r="M93" s="9"/>
      <x:c r="N93" s="9"/>
    </x:row>
    <x:row r="94" ht="23" customHeight="1">
      <x:c r="A94" s="9"/>
      <x:c r="B94" s="10"/>
      <x:c r="C94" s="9"/>
      <x:c r="D94" s="9"/>
      <x:c r="E94" s="9"/>
      <x:c r="F94" s="11"/>
      <x:c r="G94" s="12" t="str">
        <x:f>IF(A94="","",SUMIFS('출고대장'!$D$7:$D$1006,'출고대장'!$A$7:$A$1006,A94))</x:f>
      </x:c>
      <x:c r="H94" s="12" t="str">
        <x:f>IF(A94="","",F94-G94)</x:f>
      </x:c>
      <x:c r="I94" s="12" t="str">
        <x:f>IF(A94="","",SUMIFS('출고대장'!$K$7:$K$1006,'출고대장'!$A$7:$A$1006,A94))</x:f>
      </x:c>
      <x:c r="J94" s="12" t="str">
        <x:f>IF(A94="","",SUMIFS('입금대장'!$C$7:$C$1006,'입금대장'!$A$7:$A$1006,A94,'입금대장'!$E$7:$E$1006,"정상"))</x:f>
      </x:c>
      <x:c r="K94" s="12" t="str">
        <x:f>IF(A94="","",I94-J94)</x:f>
      </x:c>
      <x:c r="L94" s="13" t="str">
        <x:f>IF(A94="","",IF(K94&lt;0,"선입금·초과입금",IF(I94=0,"청구 전",IF(K94=0,"정산 완료",IF(J94=0,"미입금","부분 입금")))))</x:f>
      </x:c>
      <x:c r="M94" s="9"/>
      <x:c r="N94" s="9"/>
    </x:row>
    <x:row r="95" ht="23" customHeight="1">
      <x:c r="A95" s="9"/>
      <x:c r="B95" s="10"/>
      <x:c r="C95" s="9"/>
      <x:c r="D95" s="9"/>
      <x:c r="E95" s="9"/>
      <x:c r="F95" s="11"/>
      <x:c r="G95" s="12" t="str">
        <x:f>IF(A95="","",SUMIFS('출고대장'!$D$7:$D$1006,'출고대장'!$A$7:$A$1006,A95))</x:f>
      </x:c>
      <x:c r="H95" s="12" t="str">
        <x:f>IF(A95="","",F95-G95)</x:f>
      </x:c>
      <x:c r="I95" s="12" t="str">
        <x:f>IF(A95="","",SUMIFS('출고대장'!$K$7:$K$1006,'출고대장'!$A$7:$A$1006,A95))</x:f>
      </x:c>
      <x:c r="J95" s="12" t="str">
        <x:f>IF(A95="","",SUMIFS('입금대장'!$C$7:$C$1006,'입금대장'!$A$7:$A$1006,A95,'입금대장'!$E$7:$E$1006,"정상"))</x:f>
      </x:c>
      <x:c r="K95" s="12" t="str">
        <x:f>IF(A95="","",I95-J95)</x:f>
      </x:c>
      <x:c r="L95" s="13" t="str">
        <x:f>IF(A95="","",IF(K95&lt;0,"선입금·초과입금",IF(I95=0,"청구 전",IF(K95=0,"정산 완료",IF(J95=0,"미입금","부분 입금")))))</x:f>
      </x:c>
      <x:c r="M95" s="9"/>
      <x:c r="N95" s="9"/>
    </x:row>
    <x:row r="96" ht="23" customHeight="1">
      <x:c r="A96" s="9"/>
      <x:c r="B96" s="10"/>
      <x:c r="C96" s="9"/>
      <x:c r="D96" s="9"/>
      <x:c r="E96" s="9"/>
      <x:c r="F96" s="11"/>
      <x:c r="G96" s="12" t="str">
        <x:f>IF(A96="","",SUMIFS('출고대장'!$D$7:$D$1006,'출고대장'!$A$7:$A$1006,A96))</x:f>
      </x:c>
      <x:c r="H96" s="12" t="str">
        <x:f>IF(A96="","",F96-G96)</x:f>
      </x:c>
      <x:c r="I96" s="12" t="str">
        <x:f>IF(A96="","",SUMIFS('출고대장'!$K$7:$K$1006,'출고대장'!$A$7:$A$1006,A96))</x:f>
      </x:c>
      <x:c r="J96" s="12" t="str">
        <x:f>IF(A96="","",SUMIFS('입금대장'!$C$7:$C$1006,'입금대장'!$A$7:$A$1006,A96,'입금대장'!$E$7:$E$1006,"정상"))</x:f>
      </x:c>
      <x:c r="K96" s="12" t="str">
        <x:f>IF(A96="","",I96-J96)</x:f>
      </x:c>
      <x:c r="L96" s="13" t="str">
        <x:f>IF(A96="","",IF(K96&lt;0,"선입금·초과입금",IF(I96=0,"청구 전",IF(K96=0,"정산 완료",IF(J96=0,"미입금","부분 입금")))))</x:f>
      </x:c>
      <x:c r="M96" s="9"/>
      <x:c r="N96" s="9"/>
    </x:row>
    <x:row r="97" ht="23" customHeight="1">
      <x:c r="A97" s="9"/>
      <x:c r="B97" s="10"/>
      <x:c r="C97" s="9"/>
      <x:c r="D97" s="9"/>
      <x:c r="E97" s="9"/>
      <x:c r="F97" s="11"/>
      <x:c r="G97" s="12" t="str">
        <x:f>IF(A97="","",SUMIFS('출고대장'!$D$7:$D$1006,'출고대장'!$A$7:$A$1006,A97))</x:f>
      </x:c>
      <x:c r="H97" s="12" t="str">
        <x:f>IF(A97="","",F97-G97)</x:f>
      </x:c>
      <x:c r="I97" s="12" t="str">
        <x:f>IF(A97="","",SUMIFS('출고대장'!$K$7:$K$1006,'출고대장'!$A$7:$A$1006,A97))</x:f>
      </x:c>
      <x:c r="J97" s="12" t="str">
        <x:f>IF(A97="","",SUMIFS('입금대장'!$C$7:$C$1006,'입금대장'!$A$7:$A$1006,A97,'입금대장'!$E$7:$E$1006,"정상"))</x:f>
      </x:c>
      <x:c r="K97" s="12" t="str">
        <x:f>IF(A97="","",I97-J97)</x:f>
      </x:c>
      <x:c r="L97" s="13" t="str">
        <x:f>IF(A97="","",IF(K97&lt;0,"선입금·초과입금",IF(I97=0,"청구 전",IF(K97=0,"정산 완료",IF(J97=0,"미입금","부분 입금")))))</x:f>
      </x:c>
      <x:c r="M97" s="9"/>
      <x:c r="N97" s="9"/>
    </x:row>
    <x:row r="98" ht="23" customHeight="1">
      <x:c r="A98" s="9"/>
      <x:c r="B98" s="10"/>
      <x:c r="C98" s="9"/>
      <x:c r="D98" s="9"/>
      <x:c r="E98" s="9"/>
      <x:c r="F98" s="11"/>
      <x:c r="G98" s="12" t="str">
        <x:f>IF(A98="","",SUMIFS('출고대장'!$D$7:$D$1006,'출고대장'!$A$7:$A$1006,A98))</x:f>
      </x:c>
      <x:c r="H98" s="12" t="str">
        <x:f>IF(A98="","",F98-G98)</x:f>
      </x:c>
      <x:c r="I98" s="12" t="str">
        <x:f>IF(A98="","",SUMIFS('출고대장'!$K$7:$K$1006,'출고대장'!$A$7:$A$1006,A98))</x:f>
      </x:c>
      <x:c r="J98" s="12" t="str">
        <x:f>IF(A98="","",SUMIFS('입금대장'!$C$7:$C$1006,'입금대장'!$A$7:$A$1006,A98,'입금대장'!$E$7:$E$1006,"정상"))</x:f>
      </x:c>
      <x:c r="K98" s="12" t="str">
        <x:f>IF(A98="","",I98-J98)</x:f>
      </x:c>
      <x:c r="L98" s="13" t="str">
        <x:f>IF(A98="","",IF(K98&lt;0,"선입금·초과입금",IF(I98=0,"청구 전",IF(K98=0,"정산 완료",IF(J98=0,"미입금","부분 입금")))))</x:f>
      </x:c>
      <x:c r="M98" s="9"/>
      <x:c r="N98" s="9"/>
    </x:row>
    <x:row r="99" ht="23" customHeight="1">
      <x:c r="A99" s="9"/>
      <x:c r="B99" s="10"/>
      <x:c r="C99" s="9"/>
      <x:c r="D99" s="9"/>
      <x:c r="E99" s="9"/>
      <x:c r="F99" s="11"/>
      <x:c r="G99" s="12" t="str">
        <x:f>IF(A99="","",SUMIFS('출고대장'!$D$7:$D$1006,'출고대장'!$A$7:$A$1006,A99))</x:f>
      </x:c>
      <x:c r="H99" s="12" t="str">
        <x:f>IF(A99="","",F99-G99)</x:f>
      </x:c>
      <x:c r="I99" s="12" t="str">
        <x:f>IF(A99="","",SUMIFS('출고대장'!$K$7:$K$1006,'출고대장'!$A$7:$A$1006,A99))</x:f>
      </x:c>
      <x:c r="J99" s="12" t="str">
        <x:f>IF(A99="","",SUMIFS('입금대장'!$C$7:$C$1006,'입금대장'!$A$7:$A$1006,A99,'입금대장'!$E$7:$E$1006,"정상"))</x:f>
      </x:c>
      <x:c r="K99" s="12" t="str">
        <x:f>IF(A99="","",I99-J99)</x:f>
      </x:c>
      <x:c r="L99" s="13" t="str">
        <x:f>IF(A99="","",IF(K99&lt;0,"선입금·초과입금",IF(I99=0,"청구 전",IF(K99=0,"정산 완료",IF(J99=0,"미입금","부분 입금")))))</x:f>
      </x:c>
      <x:c r="M99" s="9"/>
      <x:c r="N99" s="9"/>
    </x:row>
    <x:row r="100" ht="23" customHeight="1">
      <x:c r="A100" s="9"/>
      <x:c r="B100" s="10"/>
      <x:c r="C100" s="9"/>
      <x:c r="D100" s="9"/>
      <x:c r="E100" s="9"/>
      <x:c r="F100" s="11"/>
      <x:c r="G100" s="12" t="str">
        <x:f>IF(A100="","",SUMIFS('출고대장'!$D$7:$D$1006,'출고대장'!$A$7:$A$1006,A100))</x:f>
      </x:c>
      <x:c r="H100" s="12" t="str">
        <x:f>IF(A100="","",F100-G100)</x:f>
      </x:c>
      <x:c r="I100" s="12" t="str">
        <x:f>IF(A100="","",SUMIFS('출고대장'!$K$7:$K$1006,'출고대장'!$A$7:$A$1006,A100))</x:f>
      </x:c>
      <x:c r="J100" s="12" t="str">
        <x:f>IF(A100="","",SUMIFS('입금대장'!$C$7:$C$1006,'입금대장'!$A$7:$A$1006,A100,'입금대장'!$E$7:$E$1006,"정상"))</x:f>
      </x:c>
      <x:c r="K100" s="12" t="str">
        <x:f>IF(A100="","",I100-J100)</x:f>
      </x:c>
      <x:c r="L100" s="13" t="str">
        <x:f>IF(A100="","",IF(K100&lt;0,"선입금·초과입금",IF(I100=0,"청구 전",IF(K100=0,"정산 완료",IF(J100=0,"미입금","부분 입금")))))</x:f>
      </x:c>
      <x:c r="M100" s="9"/>
      <x:c r="N100" s="9"/>
    </x:row>
    <x:row r="101" ht="23" customHeight="1">
      <x:c r="A101" s="9"/>
      <x:c r="B101" s="10"/>
      <x:c r="C101" s="9"/>
      <x:c r="D101" s="9"/>
      <x:c r="E101" s="9"/>
      <x:c r="F101" s="11"/>
      <x:c r="G101" s="12" t="str">
        <x:f>IF(A101="","",SUMIFS('출고대장'!$D$7:$D$1006,'출고대장'!$A$7:$A$1006,A101))</x:f>
      </x:c>
      <x:c r="H101" s="12" t="str">
        <x:f>IF(A101="","",F101-G101)</x:f>
      </x:c>
      <x:c r="I101" s="12" t="str">
        <x:f>IF(A101="","",SUMIFS('출고대장'!$K$7:$K$1006,'출고대장'!$A$7:$A$1006,A101))</x:f>
      </x:c>
      <x:c r="J101" s="12" t="str">
        <x:f>IF(A101="","",SUMIFS('입금대장'!$C$7:$C$1006,'입금대장'!$A$7:$A$1006,A101,'입금대장'!$E$7:$E$1006,"정상"))</x:f>
      </x:c>
      <x:c r="K101" s="12" t="str">
        <x:f>IF(A101="","",I101-J101)</x:f>
      </x:c>
      <x:c r="L101" s="13" t="str">
        <x:f>IF(A101="","",IF(K101&lt;0,"선입금·초과입금",IF(I101=0,"청구 전",IF(K101=0,"정산 완료",IF(J101=0,"미입금","부분 입금")))))</x:f>
      </x:c>
      <x:c r="M101" s="9"/>
      <x:c r="N101" s="9"/>
    </x:row>
    <x:row r="102" ht="23" customHeight="1">
      <x:c r="A102" s="9"/>
      <x:c r="B102" s="10"/>
      <x:c r="C102" s="9"/>
      <x:c r="D102" s="9"/>
      <x:c r="E102" s="9"/>
      <x:c r="F102" s="11"/>
      <x:c r="G102" s="12" t="str">
        <x:f>IF(A102="","",SUMIFS('출고대장'!$D$7:$D$1006,'출고대장'!$A$7:$A$1006,A102))</x:f>
      </x:c>
      <x:c r="H102" s="12" t="str">
        <x:f>IF(A102="","",F102-G102)</x:f>
      </x:c>
      <x:c r="I102" s="12" t="str">
        <x:f>IF(A102="","",SUMIFS('출고대장'!$K$7:$K$1006,'출고대장'!$A$7:$A$1006,A102))</x:f>
      </x:c>
      <x:c r="J102" s="12" t="str">
        <x:f>IF(A102="","",SUMIFS('입금대장'!$C$7:$C$1006,'입금대장'!$A$7:$A$1006,A102,'입금대장'!$E$7:$E$1006,"정상"))</x:f>
      </x:c>
      <x:c r="K102" s="12" t="str">
        <x:f>IF(A102="","",I102-J102)</x:f>
      </x:c>
      <x:c r="L102" s="13" t="str">
        <x:f>IF(A102="","",IF(K102&lt;0,"선입금·초과입금",IF(I102=0,"청구 전",IF(K102=0,"정산 완료",IF(J102=0,"미입금","부분 입금")))))</x:f>
      </x:c>
      <x:c r="M102" s="9"/>
      <x:c r="N102" s="9"/>
    </x:row>
    <x:row r="103" ht="23" customHeight="1">
      <x:c r="A103" s="9"/>
      <x:c r="B103" s="10"/>
      <x:c r="C103" s="9"/>
      <x:c r="D103" s="9"/>
      <x:c r="E103" s="9"/>
      <x:c r="F103" s="11"/>
      <x:c r="G103" s="12" t="str">
        <x:f>IF(A103="","",SUMIFS('출고대장'!$D$7:$D$1006,'출고대장'!$A$7:$A$1006,A103))</x:f>
      </x:c>
      <x:c r="H103" s="12" t="str">
        <x:f>IF(A103="","",F103-G103)</x:f>
      </x:c>
      <x:c r="I103" s="12" t="str">
        <x:f>IF(A103="","",SUMIFS('출고대장'!$K$7:$K$1006,'출고대장'!$A$7:$A$1006,A103))</x:f>
      </x:c>
      <x:c r="J103" s="12" t="str">
        <x:f>IF(A103="","",SUMIFS('입금대장'!$C$7:$C$1006,'입금대장'!$A$7:$A$1006,A103,'입금대장'!$E$7:$E$1006,"정상"))</x:f>
      </x:c>
      <x:c r="K103" s="12" t="str">
        <x:f>IF(A103="","",I103-J103)</x:f>
      </x:c>
      <x:c r="L103" s="13" t="str">
        <x:f>IF(A103="","",IF(K103&lt;0,"선입금·초과입금",IF(I103=0,"청구 전",IF(K103=0,"정산 완료",IF(J103=0,"미입금","부분 입금")))))</x:f>
      </x:c>
      <x:c r="M103" s="9"/>
      <x:c r="N103" s="9"/>
    </x:row>
    <x:row r="104" ht="23" customHeight="1">
      <x:c r="A104" s="9"/>
      <x:c r="B104" s="10"/>
      <x:c r="C104" s="9"/>
      <x:c r="D104" s="9"/>
      <x:c r="E104" s="9"/>
      <x:c r="F104" s="11"/>
      <x:c r="G104" s="12" t="str">
        <x:f>IF(A104="","",SUMIFS('출고대장'!$D$7:$D$1006,'출고대장'!$A$7:$A$1006,A104))</x:f>
      </x:c>
      <x:c r="H104" s="12" t="str">
        <x:f>IF(A104="","",F104-G104)</x:f>
      </x:c>
      <x:c r="I104" s="12" t="str">
        <x:f>IF(A104="","",SUMIFS('출고대장'!$K$7:$K$1006,'출고대장'!$A$7:$A$1006,A104))</x:f>
      </x:c>
      <x:c r="J104" s="12" t="str">
        <x:f>IF(A104="","",SUMIFS('입금대장'!$C$7:$C$1006,'입금대장'!$A$7:$A$1006,A104,'입금대장'!$E$7:$E$1006,"정상"))</x:f>
      </x:c>
      <x:c r="K104" s="12" t="str">
        <x:f>IF(A104="","",I104-J104)</x:f>
      </x:c>
      <x:c r="L104" s="13" t="str">
        <x:f>IF(A104="","",IF(K104&lt;0,"선입금·초과입금",IF(I104=0,"청구 전",IF(K104=0,"정산 완료",IF(J104=0,"미입금","부분 입금")))))</x:f>
      </x:c>
      <x:c r="M104" s="9"/>
      <x:c r="N104" s="9"/>
    </x:row>
    <x:row r="105" ht="23" customHeight="1">
      <x:c r="A105" s="9"/>
      <x:c r="B105" s="10"/>
      <x:c r="C105" s="9"/>
      <x:c r="D105" s="9"/>
      <x:c r="E105" s="9"/>
      <x:c r="F105" s="11"/>
      <x:c r="G105" s="12" t="str">
        <x:f>IF(A105="","",SUMIFS('출고대장'!$D$7:$D$1006,'출고대장'!$A$7:$A$1006,A105))</x:f>
      </x:c>
      <x:c r="H105" s="12" t="str">
        <x:f>IF(A105="","",F105-G105)</x:f>
      </x:c>
      <x:c r="I105" s="12" t="str">
        <x:f>IF(A105="","",SUMIFS('출고대장'!$K$7:$K$1006,'출고대장'!$A$7:$A$1006,A105))</x:f>
      </x:c>
      <x:c r="J105" s="12" t="str">
        <x:f>IF(A105="","",SUMIFS('입금대장'!$C$7:$C$1006,'입금대장'!$A$7:$A$1006,A105,'입금대장'!$E$7:$E$1006,"정상"))</x:f>
      </x:c>
      <x:c r="K105" s="12" t="str">
        <x:f>IF(A105="","",I105-J105)</x:f>
      </x:c>
      <x:c r="L105" s="13" t="str">
        <x:f>IF(A105="","",IF(K105&lt;0,"선입금·초과입금",IF(I105=0,"청구 전",IF(K105=0,"정산 완료",IF(J105=0,"미입금","부분 입금")))))</x:f>
      </x:c>
      <x:c r="M105" s="9"/>
      <x:c r="N105" s="9"/>
    </x:row>
    <x:row r="106" ht="23" customHeight="1">
      <x:c r="A106" s="9"/>
      <x:c r="B106" s="10"/>
      <x:c r="C106" s="9"/>
      <x:c r="D106" s="9"/>
      <x:c r="E106" s="9"/>
      <x:c r="F106" s="11"/>
      <x:c r="G106" s="12" t="str">
        <x:f>IF(A106="","",SUMIFS('출고대장'!$D$7:$D$1006,'출고대장'!$A$7:$A$1006,A106))</x:f>
      </x:c>
      <x:c r="H106" s="12" t="str">
        <x:f>IF(A106="","",F106-G106)</x:f>
      </x:c>
      <x:c r="I106" s="12" t="str">
        <x:f>IF(A106="","",SUMIFS('출고대장'!$K$7:$K$1006,'출고대장'!$A$7:$A$1006,A106))</x:f>
      </x:c>
      <x:c r="J106" s="12" t="str">
        <x:f>IF(A106="","",SUMIFS('입금대장'!$C$7:$C$1006,'입금대장'!$A$7:$A$1006,A106,'입금대장'!$E$7:$E$1006,"정상"))</x:f>
      </x:c>
      <x:c r="K106" s="12" t="str">
        <x:f>IF(A106="","",I106-J106)</x:f>
      </x:c>
      <x:c r="L106" s="13" t="str">
        <x:f>IF(A106="","",IF(K106&lt;0,"선입금·초과입금",IF(I106=0,"청구 전",IF(K106=0,"정산 완료",IF(J106=0,"미입금","부분 입금")))))</x:f>
      </x:c>
      <x:c r="M106" s="9"/>
      <x:c r="N106" s="9"/>
    </x:row>
    <x:row r="107" ht="23" customHeight="1">
      <x:c r="A107" s="9"/>
      <x:c r="B107" s="10"/>
      <x:c r="C107" s="9"/>
      <x:c r="D107" s="9"/>
      <x:c r="E107" s="9"/>
      <x:c r="F107" s="11"/>
      <x:c r="G107" s="12" t="str">
        <x:f>IF(A107="","",SUMIFS('출고대장'!$D$7:$D$1006,'출고대장'!$A$7:$A$1006,A107))</x:f>
      </x:c>
      <x:c r="H107" s="12" t="str">
        <x:f>IF(A107="","",F107-G107)</x:f>
      </x:c>
      <x:c r="I107" s="12" t="str">
        <x:f>IF(A107="","",SUMIFS('출고대장'!$K$7:$K$1006,'출고대장'!$A$7:$A$1006,A107))</x:f>
      </x:c>
      <x:c r="J107" s="12" t="str">
        <x:f>IF(A107="","",SUMIFS('입금대장'!$C$7:$C$1006,'입금대장'!$A$7:$A$1006,A107,'입금대장'!$E$7:$E$1006,"정상"))</x:f>
      </x:c>
      <x:c r="K107" s="12" t="str">
        <x:f>IF(A107="","",I107-J107)</x:f>
      </x:c>
      <x:c r="L107" s="13" t="str">
        <x:f>IF(A107="","",IF(K107&lt;0,"선입금·초과입금",IF(I107=0,"청구 전",IF(K107=0,"정산 완료",IF(J107=0,"미입금","부분 입금")))))</x:f>
      </x:c>
      <x:c r="M107" s="9"/>
      <x:c r="N107" s="9"/>
    </x:row>
    <x:row r="108" ht="23" customHeight="1">
      <x:c r="A108" s="9"/>
      <x:c r="B108" s="10"/>
      <x:c r="C108" s="9"/>
      <x:c r="D108" s="9"/>
      <x:c r="E108" s="9"/>
      <x:c r="F108" s="11"/>
      <x:c r="G108" s="12" t="str">
        <x:f>IF(A108="","",SUMIFS('출고대장'!$D$7:$D$1006,'출고대장'!$A$7:$A$1006,A108))</x:f>
      </x:c>
      <x:c r="H108" s="12" t="str">
        <x:f>IF(A108="","",F108-G108)</x:f>
      </x:c>
      <x:c r="I108" s="12" t="str">
        <x:f>IF(A108="","",SUMIFS('출고대장'!$K$7:$K$1006,'출고대장'!$A$7:$A$1006,A108))</x:f>
      </x:c>
      <x:c r="J108" s="12" t="str">
        <x:f>IF(A108="","",SUMIFS('입금대장'!$C$7:$C$1006,'입금대장'!$A$7:$A$1006,A108,'입금대장'!$E$7:$E$1006,"정상"))</x:f>
      </x:c>
      <x:c r="K108" s="12" t="str">
        <x:f>IF(A108="","",I108-J108)</x:f>
      </x:c>
      <x:c r="L108" s="13" t="str">
        <x:f>IF(A108="","",IF(K108&lt;0,"선입금·초과입금",IF(I108=0,"청구 전",IF(K108=0,"정산 완료",IF(J108=0,"미입금","부분 입금")))))</x:f>
      </x:c>
      <x:c r="M108" s="9"/>
      <x:c r="N108" s="9"/>
    </x:row>
    <x:row r="109" ht="23" customHeight="1">
      <x:c r="A109" s="9"/>
      <x:c r="B109" s="10"/>
      <x:c r="C109" s="9"/>
      <x:c r="D109" s="9"/>
      <x:c r="E109" s="9"/>
      <x:c r="F109" s="11"/>
      <x:c r="G109" s="12" t="str">
        <x:f>IF(A109="","",SUMIFS('출고대장'!$D$7:$D$1006,'출고대장'!$A$7:$A$1006,A109))</x:f>
      </x:c>
      <x:c r="H109" s="12" t="str">
        <x:f>IF(A109="","",F109-G109)</x:f>
      </x:c>
      <x:c r="I109" s="12" t="str">
        <x:f>IF(A109="","",SUMIFS('출고대장'!$K$7:$K$1006,'출고대장'!$A$7:$A$1006,A109))</x:f>
      </x:c>
      <x:c r="J109" s="12" t="str">
        <x:f>IF(A109="","",SUMIFS('입금대장'!$C$7:$C$1006,'입금대장'!$A$7:$A$1006,A109,'입금대장'!$E$7:$E$1006,"정상"))</x:f>
      </x:c>
      <x:c r="K109" s="12" t="str">
        <x:f>IF(A109="","",I109-J109)</x:f>
      </x:c>
      <x:c r="L109" s="13" t="str">
        <x:f>IF(A109="","",IF(K109&lt;0,"선입금·초과입금",IF(I109=0,"청구 전",IF(K109=0,"정산 완료",IF(J109=0,"미입금","부분 입금")))))</x:f>
      </x:c>
      <x:c r="M109" s="9"/>
      <x:c r="N109" s="9"/>
    </x:row>
    <x:row r="110" ht="23" customHeight="1">
      <x:c r="A110" s="9"/>
      <x:c r="B110" s="10"/>
      <x:c r="C110" s="9"/>
      <x:c r="D110" s="9"/>
      <x:c r="E110" s="9"/>
      <x:c r="F110" s="11"/>
      <x:c r="G110" s="12" t="str">
        <x:f>IF(A110="","",SUMIFS('출고대장'!$D$7:$D$1006,'출고대장'!$A$7:$A$1006,A110))</x:f>
      </x:c>
      <x:c r="H110" s="12" t="str">
        <x:f>IF(A110="","",F110-G110)</x:f>
      </x:c>
      <x:c r="I110" s="12" t="str">
        <x:f>IF(A110="","",SUMIFS('출고대장'!$K$7:$K$1006,'출고대장'!$A$7:$A$1006,A110))</x:f>
      </x:c>
      <x:c r="J110" s="12" t="str">
        <x:f>IF(A110="","",SUMIFS('입금대장'!$C$7:$C$1006,'입금대장'!$A$7:$A$1006,A110,'입금대장'!$E$7:$E$1006,"정상"))</x:f>
      </x:c>
      <x:c r="K110" s="12" t="str">
        <x:f>IF(A110="","",I110-J110)</x:f>
      </x:c>
      <x:c r="L110" s="13" t="str">
        <x:f>IF(A110="","",IF(K110&lt;0,"선입금·초과입금",IF(I110=0,"청구 전",IF(K110=0,"정산 완료",IF(J110=0,"미입금","부분 입금")))))</x:f>
      </x:c>
      <x:c r="M110" s="9"/>
      <x:c r="N110" s="9"/>
    </x:row>
    <x:row r="111" ht="23" customHeight="1">
      <x:c r="A111" s="9"/>
      <x:c r="B111" s="10"/>
      <x:c r="C111" s="9"/>
      <x:c r="D111" s="9"/>
      <x:c r="E111" s="9"/>
      <x:c r="F111" s="11"/>
      <x:c r="G111" s="12" t="str">
        <x:f>IF(A111="","",SUMIFS('출고대장'!$D$7:$D$1006,'출고대장'!$A$7:$A$1006,A111))</x:f>
      </x:c>
      <x:c r="H111" s="12" t="str">
        <x:f>IF(A111="","",F111-G111)</x:f>
      </x:c>
      <x:c r="I111" s="12" t="str">
        <x:f>IF(A111="","",SUMIFS('출고대장'!$K$7:$K$1006,'출고대장'!$A$7:$A$1006,A111))</x:f>
      </x:c>
      <x:c r="J111" s="12" t="str">
        <x:f>IF(A111="","",SUMIFS('입금대장'!$C$7:$C$1006,'입금대장'!$A$7:$A$1006,A111,'입금대장'!$E$7:$E$1006,"정상"))</x:f>
      </x:c>
      <x:c r="K111" s="12" t="str">
        <x:f>IF(A111="","",I111-J111)</x:f>
      </x:c>
      <x:c r="L111" s="13" t="str">
        <x:f>IF(A111="","",IF(K111&lt;0,"선입금·초과입금",IF(I111=0,"청구 전",IF(K111=0,"정산 완료",IF(J111=0,"미입금","부분 입금")))))</x:f>
      </x:c>
      <x:c r="M111" s="9"/>
      <x:c r="N111" s="9"/>
    </x:row>
    <x:row r="112" ht="23" customHeight="1">
      <x:c r="A112" s="9"/>
      <x:c r="B112" s="10"/>
      <x:c r="C112" s="9"/>
      <x:c r="D112" s="9"/>
      <x:c r="E112" s="9"/>
      <x:c r="F112" s="11"/>
      <x:c r="G112" s="12" t="str">
        <x:f>IF(A112="","",SUMIFS('출고대장'!$D$7:$D$1006,'출고대장'!$A$7:$A$1006,A112))</x:f>
      </x:c>
      <x:c r="H112" s="12" t="str">
        <x:f>IF(A112="","",F112-G112)</x:f>
      </x:c>
      <x:c r="I112" s="12" t="str">
        <x:f>IF(A112="","",SUMIFS('출고대장'!$K$7:$K$1006,'출고대장'!$A$7:$A$1006,A112))</x:f>
      </x:c>
      <x:c r="J112" s="12" t="str">
        <x:f>IF(A112="","",SUMIFS('입금대장'!$C$7:$C$1006,'입금대장'!$A$7:$A$1006,A112,'입금대장'!$E$7:$E$1006,"정상"))</x:f>
      </x:c>
      <x:c r="K112" s="12" t="str">
        <x:f>IF(A112="","",I112-J112)</x:f>
      </x:c>
      <x:c r="L112" s="13" t="str">
        <x:f>IF(A112="","",IF(K112&lt;0,"선입금·초과입금",IF(I112=0,"청구 전",IF(K112=0,"정산 완료",IF(J112=0,"미입금","부분 입금")))))</x:f>
      </x:c>
      <x:c r="M112" s="9"/>
      <x:c r="N112" s="9"/>
    </x:row>
    <x:row r="113" ht="23" customHeight="1">
      <x:c r="A113" s="9"/>
      <x:c r="B113" s="10"/>
      <x:c r="C113" s="9"/>
      <x:c r="D113" s="9"/>
      <x:c r="E113" s="9"/>
      <x:c r="F113" s="11"/>
      <x:c r="G113" s="12" t="str">
        <x:f>IF(A113="","",SUMIFS('출고대장'!$D$7:$D$1006,'출고대장'!$A$7:$A$1006,A113))</x:f>
      </x:c>
      <x:c r="H113" s="12" t="str">
        <x:f>IF(A113="","",F113-G113)</x:f>
      </x:c>
      <x:c r="I113" s="12" t="str">
        <x:f>IF(A113="","",SUMIFS('출고대장'!$K$7:$K$1006,'출고대장'!$A$7:$A$1006,A113))</x:f>
      </x:c>
      <x:c r="J113" s="12" t="str">
        <x:f>IF(A113="","",SUMIFS('입금대장'!$C$7:$C$1006,'입금대장'!$A$7:$A$1006,A113,'입금대장'!$E$7:$E$1006,"정상"))</x:f>
      </x:c>
      <x:c r="K113" s="12" t="str">
        <x:f>IF(A113="","",I113-J113)</x:f>
      </x:c>
      <x:c r="L113" s="13" t="str">
        <x:f>IF(A113="","",IF(K113&lt;0,"선입금·초과입금",IF(I113=0,"청구 전",IF(K113=0,"정산 완료",IF(J113=0,"미입금","부분 입금")))))</x:f>
      </x:c>
      <x:c r="M113" s="9"/>
      <x:c r="N113" s="9"/>
    </x:row>
    <x:row r="114" ht="23" customHeight="1">
      <x:c r="A114" s="9"/>
      <x:c r="B114" s="10"/>
      <x:c r="C114" s="9"/>
      <x:c r="D114" s="9"/>
      <x:c r="E114" s="9"/>
      <x:c r="F114" s="11"/>
      <x:c r="G114" s="12" t="str">
        <x:f>IF(A114="","",SUMIFS('출고대장'!$D$7:$D$1006,'출고대장'!$A$7:$A$1006,A114))</x:f>
      </x:c>
      <x:c r="H114" s="12" t="str">
        <x:f>IF(A114="","",F114-G114)</x:f>
      </x:c>
      <x:c r="I114" s="12" t="str">
        <x:f>IF(A114="","",SUMIFS('출고대장'!$K$7:$K$1006,'출고대장'!$A$7:$A$1006,A114))</x:f>
      </x:c>
      <x:c r="J114" s="12" t="str">
        <x:f>IF(A114="","",SUMIFS('입금대장'!$C$7:$C$1006,'입금대장'!$A$7:$A$1006,A114,'입금대장'!$E$7:$E$1006,"정상"))</x:f>
      </x:c>
      <x:c r="K114" s="12" t="str">
        <x:f>IF(A114="","",I114-J114)</x:f>
      </x:c>
      <x:c r="L114" s="13" t="str">
        <x:f>IF(A114="","",IF(K114&lt;0,"선입금·초과입금",IF(I114=0,"청구 전",IF(K114=0,"정산 완료",IF(J114=0,"미입금","부분 입금")))))</x:f>
      </x:c>
      <x:c r="M114" s="9"/>
      <x:c r="N114" s="9"/>
    </x:row>
    <x:row r="115" ht="23" customHeight="1">
      <x:c r="A115" s="9"/>
      <x:c r="B115" s="10"/>
      <x:c r="C115" s="9"/>
      <x:c r="D115" s="9"/>
      <x:c r="E115" s="9"/>
      <x:c r="F115" s="11"/>
      <x:c r="G115" s="12" t="str">
        <x:f>IF(A115="","",SUMIFS('출고대장'!$D$7:$D$1006,'출고대장'!$A$7:$A$1006,A115))</x:f>
      </x:c>
      <x:c r="H115" s="12" t="str">
        <x:f>IF(A115="","",F115-G115)</x:f>
      </x:c>
      <x:c r="I115" s="12" t="str">
        <x:f>IF(A115="","",SUMIFS('출고대장'!$K$7:$K$1006,'출고대장'!$A$7:$A$1006,A115))</x:f>
      </x:c>
      <x:c r="J115" s="12" t="str">
        <x:f>IF(A115="","",SUMIFS('입금대장'!$C$7:$C$1006,'입금대장'!$A$7:$A$1006,A115,'입금대장'!$E$7:$E$1006,"정상"))</x:f>
      </x:c>
      <x:c r="K115" s="12" t="str">
        <x:f>IF(A115="","",I115-J115)</x:f>
      </x:c>
      <x:c r="L115" s="13" t="str">
        <x:f>IF(A115="","",IF(K115&lt;0,"선입금·초과입금",IF(I115=0,"청구 전",IF(K115=0,"정산 완료",IF(J115=0,"미입금","부분 입금")))))</x:f>
      </x:c>
      <x:c r="M115" s="9"/>
      <x:c r="N115" s="9"/>
    </x:row>
    <x:row r="116" ht="23" customHeight="1">
      <x:c r="A116" s="9"/>
      <x:c r="B116" s="10"/>
      <x:c r="C116" s="9"/>
      <x:c r="D116" s="9"/>
      <x:c r="E116" s="9"/>
      <x:c r="F116" s="11"/>
      <x:c r="G116" s="12" t="str">
        <x:f>IF(A116="","",SUMIFS('출고대장'!$D$7:$D$1006,'출고대장'!$A$7:$A$1006,A116))</x:f>
      </x:c>
      <x:c r="H116" s="12" t="str">
        <x:f>IF(A116="","",F116-G116)</x:f>
      </x:c>
      <x:c r="I116" s="12" t="str">
        <x:f>IF(A116="","",SUMIFS('출고대장'!$K$7:$K$1006,'출고대장'!$A$7:$A$1006,A116))</x:f>
      </x:c>
      <x:c r="J116" s="12" t="str">
        <x:f>IF(A116="","",SUMIFS('입금대장'!$C$7:$C$1006,'입금대장'!$A$7:$A$1006,A116,'입금대장'!$E$7:$E$1006,"정상"))</x:f>
      </x:c>
      <x:c r="K116" s="12" t="str">
        <x:f>IF(A116="","",I116-J116)</x:f>
      </x:c>
      <x:c r="L116" s="13" t="str">
        <x:f>IF(A116="","",IF(K116&lt;0,"선입금·초과입금",IF(I116=0,"청구 전",IF(K116=0,"정산 완료",IF(J116=0,"미입금","부분 입금")))))</x:f>
      </x:c>
      <x:c r="M116" s="9"/>
      <x:c r="N116" s="9"/>
    </x:row>
    <x:row r="117" ht="23" customHeight="1">
      <x:c r="A117" s="9"/>
      <x:c r="B117" s="10"/>
      <x:c r="C117" s="9"/>
      <x:c r="D117" s="9"/>
      <x:c r="E117" s="9"/>
      <x:c r="F117" s="11"/>
      <x:c r="G117" s="12" t="str">
        <x:f>IF(A117="","",SUMIFS('출고대장'!$D$7:$D$1006,'출고대장'!$A$7:$A$1006,A117))</x:f>
      </x:c>
      <x:c r="H117" s="12" t="str">
        <x:f>IF(A117="","",F117-G117)</x:f>
      </x:c>
      <x:c r="I117" s="12" t="str">
        <x:f>IF(A117="","",SUMIFS('출고대장'!$K$7:$K$1006,'출고대장'!$A$7:$A$1006,A117))</x:f>
      </x:c>
      <x:c r="J117" s="12" t="str">
        <x:f>IF(A117="","",SUMIFS('입금대장'!$C$7:$C$1006,'입금대장'!$A$7:$A$1006,A117,'입금대장'!$E$7:$E$1006,"정상"))</x:f>
      </x:c>
      <x:c r="K117" s="12" t="str">
        <x:f>IF(A117="","",I117-J117)</x:f>
      </x:c>
      <x:c r="L117" s="13" t="str">
        <x:f>IF(A117="","",IF(K117&lt;0,"선입금·초과입금",IF(I117=0,"청구 전",IF(K117=0,"정산 완료",IF(J117=0,"미입금","부분 입금")))))</x:f>
      </x:c>
      <x:c r="M117" s="9"/>
      <x:c r="N117" s="9"/>
    </x:row>
    <x:row r="118" ht="23" customHeight="1">
      <x:c r="A118" s="9"/>
      <x:c r="B118" s="10"/>
      <x:c r="C118" s="9"/>
      <x:c r="D118" s="9"/>
      <x:c r="E118" s="9"/>
      <x:c r="F118" s="11"/>
      <x:c r="G118" s="12" t="str">
        <x:f>IF(A118="","",SUMIFS('출고대장'!$D$7:$D$1006,'출고대장'!$A$7:$A$1006,A118))</x:f>
      </x:c>
      <x:c r="H118" s="12" t="str">
        <x:f>IF(A118="","",F118-G118)</x:f>
      </x:c>
      <x:c r="I118" s="12" t="str">
        <x:f>IF(A118="","",SUMIFS('출고대장'!$K$7:$K$1006,'출고대장'!$A$7:$A$1006,A118))</x:f>
      </x:c>
      <x:c r="J118" s="12" t="str">
        <x:f>IF(A118="","",SUMIFS('입금대장'!$C$7:$C$1006,'입금대장'!$A$7:$A$1006,A118,'입금대장'!$E$7:$E$1006,"정상"))</x:f>
      </x:c>
      <x:c r="K118" s="12" t="str">
        <x:f>IF(A118="","",I118-J118)</x:f>
      </x:c>
      <x:c r="L118" s="13" t="str">
        <x:f>IF(A118="","",IF(K118&lt;0,"선입금·초과입금",IF(I118=0,"청구 전",IF(K118=0,"정산 완료",IF(J118=0,"미입금","부분 입금")))))</x:f>
      </x:c>
      <x:c r="M118" s="9"/>
      <x:c r="N118" s="9"/>
    </x:row>
    <x:row r="119" ht="23" customHeight="1">
      <x:c r="A119" s="9"/>
      <x:c r="B119" s="10"/>
      <x:c r="C119" s="9"/>
      <x:c r="D119" s="9"/>
      <x:c r="E119" s="9"/>
      <x:c r="F119" s="11"/>
      <x:c r="G119" s="12" t="str">
        <x:f>IF(A119="","",SUMIFS('출고대장'!$D$7:$D$1006,'출고대장'!$A$7:$A$1006,A119))</x:f>
      </x:c>
      <x:c r="H119" s="12" t="str">
        <x:f>IF(A119="","",F119-G119)</x:f>
      </x:c>
      <x:c r="I119" s="12" t="str">
        <x:f>IF(A119="","",SUMIFS('출고대장'!$K$7:$K$1006,'출고대장'!$A$7:$A$1006,A119))</x:f>
      </x:c>
      <x:c r="J119" s="12" t="str">
        <x:f>IF(A119="","",SUMIFS('입금대장'!$C$7:$C$1006,'입금대장'!$A$7:$A$1006,A119,'입금대장'!$E$7:$E$1006,"정상"))</x:f>
      </x:c>
      <x:c r="K119" s="12" t="str">
        <x:f>IF(A119="","",I119-J119)</x:f>
      </x:c>
      <x:c r="L119" s="13" t="str">
        <x:f>IF(A119="","",IF(K119&lt;0,"선입금·초과입금",IF(I119=0,"청구 전",IF(K119=0,"정산 완료",IF(J119=0,"미입금","부분 입금")))))</x:f>
      </x:c>
      <x:c r="M119" s="9"/>
      <x:c r="N119" s="9"/>
    </x:row>
    <x:row r="120" ht="23" customHeight="1">
      <x:c r="A120" s="9"/>
      <x:c r="B120" s="10"/>
      <x:c r="C120" s="9"/>
      <x:c r="D120" s="9"/>
      <x:c r="E120" s="9"/>
      <x:c r="F120" s="11"/>
      <x:c r="G120" s="12" t="str">
        <x:f>IF(A120="","",SUMIFS('출고대장'!$D$7:$D$1006,'출고대장'!$A$7:$A$1006,A120))</x:f>
      </x:c>
      <x:c r="H120" s="12" t="str">
        <x:f>IF(A120="","",F120-G120)</x:f>
      </x:c>
      <x:c r="I120" s="12" t="str">
        <x:f>IF(A120="","",SUMIFS('출고대장'!$K$7:$K$1006,'출고대장'!$A$7:$A$1006,A120))</x:f>
      </x:c>
      <x:c r="J120" s="12" t="str">
        <x:f>IF(A120="","",SUMIFS('입금대장'!$C$7:$C$1006,'입금대장'!$A$7:$A$1006,A120,'입금대장'!$E$7:$E$1006,"정상"))</x:f>
      </x:c>
      <x:c r="K120" s="12" t="str">
        <x:f>IF(A120="","",I120-J120)</x:f>
      </x:c>
      <x:c r="L120" s="13" t="str">
        <x:f>IF(A120="","",IF(K120&lt;0,"선입금·초과입금",IF(I120=0,"청구 전",IF(K120=0,"정산 완료",IF(J120=0,"미입금","부분 입금")))))</x:f>
      </x:c>
      <x:c r="M120" s="9"/>
      <x:c r="N120" s="9"/>
    </x:row>
    <x:row r="121" ht="23" customHeight="1">
      <x:c r="A121" s="9"/>
      <x:c r="B121" s="10"/>
      <x:c r="C121" s="9"/>
      <x:c r="D121" s="9"/>
      <x:c r="E121" s="9"/>
      <x:c r="F121" s="11"/>
      <x:c r="G121" s="12" t="str">
        <x:f>IF(A121="","",SUMIFS('출고대장'!$D$7:$D$1006,'출고대장'!$A$7:$A$1006,A121))</x:f>
      </x:c>
      <x:c r="H121" s="12" t="str">
        <x:f>IF(A121="","",F121-G121)</x:f>
      </x:c>
      <x:c r="I121" s="12" t="str">
        <x:f>IF(A121="","",SUMIFS('출고대장'!$K$7:$K$1006,'출고대장'!$A$7:$A$1006,A121))</x:f>
      </x:c>
      <x:c r="J121" s="12" t="str">
        <x:f>IF(A121="","",SUMIFS('입금대장'!$C$7:$C$1006,'입금대장'!$A$7:$A$1006,A121,'입금대장'!$E$7:$E$1006,"정상"))</x:f>
      </x:c>
      <x:c r="K121" s="12" t="str">
        <x:f>IF(A121="","",I121-J121)</x:f>
      </x:c>
      <x:c r="L121" s="13" t="str">
        <x:f>IF(A121="","",IF(K121&lt;0,"선입금·초과입금",IF(I121=0,"청구 전",IF(K121=0,"정산 완료",IF(J121=0,"미입금","부분 입금")))))</x:f>
      </x:c>
      <x:c r="M121" s="9"/>
      <x:c r="N121" s="9"/>
    </x:row>
    <x:row r="122" ht="23" customHeight="1">
      <x:c r="A122" s="9"/>
      <x:c r="B122" s="10"/>
      <x:c r="C122" s="9"/>
      <x:c r="D122" s="9"/>
      <x:c r="E122" s="9"/>
      <x:c r="F122" s="11"/>
      <x:c r="G122" s="12" t="str">
        <x:f>IF(A122="","",SUMIFS('출고대장'!$D$7:$D$1006,'출고대장'!$A$7:$A$1006,A122))</x:f>
      </x:c>
      <x:c r="H122" s="12" t="str">
        <x:f>IF(A122="","",F122-G122)</x:f>
      </x:c>
      <x:c r="I122" s="12" t="str">
        <x:f>IF(A122="","",SUMIFS('출고대장'!$K$7:$K$1006,'출고대장'!$A$7:$A$1006,A122))</x:f>
      </x:c>
      <x:c r="J122" s="12" t="str">
        <x:f>IF(A122="","",SUMIFS('입금대장'!$C$7:$C$1006,'입금대장'!$A$7:$A$1006,A122,'입금대장'!$E$7:$E$1006,"정상"))</x:f>
      </x:c>
      <x:c r="K122" s="12" t="str">
        <x:f>IF(A122="","",I122-J122)</x:f>
      </x:c>
      <x:c r="L122" s="13" t="str">
        <x:f>IF(A122="","",IF(K122&lt;0,"선입금·초과입금",IF(I122=0,"청구 전",IF(K122=0,"정산 완료",IF(J122=0,"미입금","부분 입금")))))</x:f>
      </x:c>
      <x:c r="M122" s="9"/>
      <x:c r="N122" s="9"/>
    </x:row>
    <x:row r="123" ht="23" customHeight="1">
      <x:c r="A123" s="9"/>
      <x:c r="B123" s="10"/>
      <x:c r="C123" s="9"/>
      <x:c r="D123" s="9"/>
      <x:c r="E123" s="9"/>
      <x:c r="F123" s="11"/>
      <x:c r="G123" s="12" t="str">
        <x:f>IF(A123="","",SUMIFS('출고대장'!$D$7:$D$1006,'출고대장'!$A$7:$A$1006,A123))</x:f>
      </x:c>
      <x:c r="H123" s="12" t="str">
        <x:f>IF(A123="","",F123-G123)</x:f>
      </x:c>
      <x:c r="I123" s="12" t="str">
        <x:f>IF(A123="","",SUMIFS('출고대장'!$K$7:$K$1006,'출고대장'!$A$7:$A$1006,A123))</x:f>
      </x:c>
      <x:c r="J123" s="12" t="str">
        <x:f>IF(A123="","",SUMIFS('입금대장'!$C$7:$C$1006,'입금대장'!$A$7:$A$1006,A123,'입금대장'!$E$7:$E$1006,"정상"))</x:f>
      </x:c>
      <x:c r="K123" s="12" t="str">
        <x:f>IF(A123="","",I123-J123)</x:f>
      </x:c>
      <x:c r="L123" s="13" t="str">
        <x:f>IF(A123="","",IF(K123&lt;0,"선입금·초과입금",IF(I123=0,"청구 전",IF(K123=0,"정산 완료",IF(J123=0,"미입금","부분 입금")))))</x:f>
      </x:c>
      <x:c r="M123" s="9"/>
      <x:c r="N123" s="9"/>
    </x:row>
    <x:row r="124" ht="23" customHeight="1">
      <x:c r="A124" s="9"/>
      <x:c r="B124" s="10"/>
      <x:c r="C124" s="9"/>
      <x:c r="D124" s="9"/>
      <x:c r="E124" s="9"/>
      <x:c r="F124" s="11"/>
      <x:c r="G124" s="12" t="str">
        <x:f>IF(A124="","",SUMIFS('출고대장'!$D$7:$D$1006,'출고대장'!$A$7:$A$1006,A124))</x:f>
      </x:c>
      <x:c r="H124" s="12" t="str">
        <x:f>IF(A124="","",F124-G124)</x:f>
      </x:c>
      <x:c r="I124" s="12" t="str">
        <x:f>IF(A124="","",SUMIFS('출고대장'!$K$7:$K$1006,'출고대장'!$A$7:$A$1006,A124))</x:f>
      </x:c>
      <x:c r="J124" s="12" t="str">
        <x:f>IF(A124="","",SUMIFS('입금대장'!$C$7:$C$1006,'입금대장'!$A$7:$A$1006,A124,'입금대장'!$E$7:$E$1006,"정상"))</x:f>
      </x:c>
      <x:c r="K124" s="12" t="str">
        <x:f>IF(A124="","",I124-J124)</x:f>
      </x:c>
      <x:c r="L124" s="13" t="str">
        <x:f>IF(A124="","",IF(K124&lt;0,"선입금·초과입금",IF(I124=0,"청구 전",IF(K124=0,"정산 완료",IF(J124=0,"미입금","부분 입금")))))</x:f>
      </x:c>
      <x:c r="M124" s="9"/>
      <x:c r="N124" s="9"/>
    </x:row>
    <x:row r="125" ht="23" customHeight="1">
      <x:c r="A125" s="9"/>
      <x:c r="B125" s="10"/>
      <x:c r="C125" s="9"/>
      <x:c r="D125" s="9"/>
      <x:c r="E125" s="9"/>
      <x:c r="F125" s="11"/>
      <x:c r="G125" s="12" t="str">
        <x:f>IF(A125="","",SUMIFS('출고대장'!$D$7:$D$1006,'출고대장'!$A$7:$A$1006,A125))</x:f>
      </x:c>
      <x:c r="H125" s="12" t="str">
        <x:f>IF(A125="","",F125-G125)</x:f>
      </x:c>
      <x:c r="I125" s="12" t="str">
        <x:f>IF(A125="","",SUMIFS('출고대장'!$K$7:$K$1006,'출고대장'!$A$7:$A$1006,A125))</x:f>
      </x:c>
      <x:c r="J125" s="12" t="str">
        <x:f>IF(A125="","",SUMIFS('입금대장'!$C$7:$C$1006,'입금대장'!$A$7:$A$1006,A125,'입금대장'!$E$7:$E$1006,"정상"))</x:f>
      </x:c>
      <x:c r="K125" s="12" t="str">
        <x:f>IF(A125="","",I125-J125)</x:f>
      </x:c>
      <x:c r="L125" s="13" t="str">
        <x:f>IF(A125="","",IF(K125&lt;0,"선입금·초과입금",IF(I125=0,"청구 전",IF(K125=0,"정산 완료",IF(J125=0,"미입금","부분 입금")))))</x:f>
      </x:c>
      <x:c r="M125" s="9"/>
      <x:c r="N125" s="9"/>
    </x:row>
    <x:row r="126" ht="23" customHeight="1">
      <x:c r="A126" s="9"/>
      <x:c r="B126" s="10"/>
      <x:c r="C126" s="9"/>
      <x:c r="D126" s="9"/>
      <x:c r="E126" s="9"/>
      <x:c r="F126" s="11"/>
      <x:c r="G126" s="12" t="str">
        <x:f>IF(A126="","",SUMIFS('출고대장'!$D$7:$D$1006,'출고대장'!$A$7:$A$1006,A126))</x:f>
      </x:c>
      <x:c r="H126" s="12" t="str">
        <x:f>IF(A126="","",F126-G126)</x:f>
      </x:c>
      <x:c r="I126" s="12" t="str">
        <x:f>IF(A126="","",SUMIFS('출고대장'!$K$7:$K$1006,'출고대장'!$A$7:$A$1006,A126))</x:f>
      </x:c>
      <x:c r="J126" s="12" t="str">
        <x:f>IF(A126="","",SUMIFS('입금대장'!$C$7:$C$1006,'입금대장'!$A$7:$A$1006,A126,'입금대장'!$E$7:$E$1006,"정상"))</x:f>
      </x:c>
      <x:c r="K126" s="12" t="str">
        <x:f>IF(A126="","",I126-J126)</x:f>
      </x:c>
      <x:c r="L126" s="13" t="str">
        <x:f>IF(A126="","",IF(K126&lt;0,"선입금·초과입금",IF(I126=0,"청구 전",IF(K126=0,"정산 완료",IF(J126=0,"미입금","부분 입금")))))</x:f>
      </x:c>
      <x:c r="M126" s="9"/>
      <x:c r="N126" s="9"/>
    </x:row>
    <x:row r="127" ht="23" customHeight="1">
      <x:c r="A127" s="9"/>
      <x:c r="B127" s="10"/>
      <x:c r="C127" s="9"/>
      <x:c r="D127" s="9"/>
      <x:c r="E127" s="9"/>
      <x:c r="F127" s="11"/>
      <x:c r="G127" s="12" t="str">
        <x:f>IF(A127="","",SUMIFS('출고대장'!$D$7:$D$1006,'출고대장'!$A$7:$A$1006,A127))</x:f>
      </x:c>
      <x:c r="H127" s="12" t="str">
        <x:f>IF(A127="","",F127-G127)</x:f>
      </x:c>
      <x:c r="I127" s="12" t="str">
        <x:f>IF(A127="","",SUMIFS('출고대장'!$K$7:$K$1006,'출고대장'!$A$7:$A$1006,A127))</x:f>
      </x:c>
      <x:c r="J127" s="12" t="str">
        <x:f>IF(A127="","",SUMIFS('입금대장'!$C$7:$C$1006,'입금대장'!$A$7:$A$1006,A127,'입금대장'!$E$7:$E$1006,"정상"))</x:f>
      </x:c>
      <x:c r="K127" s="12" t="str">
        <x:f>IF(A127="","",I127-J127)</x:f>
      </x:c>
      <x:c r="L127" s="13" t="str">
        <x:f>IF(A127="","",IF(K127&lt;0,"선입금·초과입금",IF(I127=0,"청구 전",IF(K127=0,"정산 완료",IF(J127=0,"미입금","부분 입금")))))</x:f>
      </x:c>
      <x:c r="M127" s="9"/>
      <x:c r="N127" s="9"/>
    </x:row>
    <x:row r="128" ht="23" customHeight="1">
      <x:c r="A128" s="9"/>
      <x:c r="B128" s="10"/>
      <x:c r="C128" s="9"/>
      <x:c r="D128" s="9"/>
      <x:c r="E128" s="9"/>
      <x:c r="F128" s="11"/>
      <x:c r="G128" s="12" t="str">
        <x:f>IF(A128="","",SUMIFS('출고대장'!$D$7:$D$1006,'출고대장'!$A$7:$A$1006,A128))</x:f>
      </x:c>
      <x:c r="H128" s="12" t="str">
        <x:f>IF(A128="","",F128-G128)</x:f>
      </x:c>
      <x:c r="I128" s="12" t="str">
        <x:f>IF(A128="","",SUMIFS('출고대장'!$K$7:$K$1006,'출고대장'!$A$7:$A$1006,A128))</x:f>
      </x:c>
      <x:c r="J128" s="12" t="str">
        <x:f>IF(A128="","",SUMIFS('입금대장'!$C$7:$C$1006,'입금대장'!$A$7:$A$1006,A128,'입금대장'!$E$7:$E$1006,"정상"))</x:f>
      </x:c>
      <x:c r="K128" s="12" t="str">
        <x:f>IF(A128="","",I128-J128)</x:f>
      </x:c>
      <x:c r="L128" s="13" t="str">
        <x:f>IF(A128="","",IF(K128&lt;0,"선입금·초과입금",IF(I128=0,"청구 전",IF(K128=0,"정산 완료",IF(J128=0,"미입금","부분 입금")))))</x:f>
      </x:c>
      <x:c r="M128" s="9"/>
      <x:c r="N128" s="9"/>
    </x:row>
    <x:row r="129" ht="23" customHeight="1">
      <x:c r="A129" s="9"/>
      <x:c r="B129" s="10"/>
      <x:c r="C129" s="9"/>
      <x:c r="D129" s="9"/>
      <x:c r="E129" s="9"/>
      <x:c r="F129" s="11"/>
      <x:c r="G129" s="12" t="str">
        <x:f>IF(A129="","",SUMIFS('출고대장'!$D$7:$D$1006,'출고대장'!$A$7:$A$1006,A129))</x:f>
      </x:c>
      <x:c r="H129" s="12" t="str">
        <x:f>IF(A129="","",F129-G129)</x:f>
      </x:c>
      <x:c r="I129" s="12" t="str">
        <x:f>IF(A129="","",SUMIFS('출고대장'!$K$7:$K$1006,'출고대장'!$A$7:$A$1006,A129))</x:f>
      </x:c>
      <x:c r="J129" s="12" t="str">
        <x:f>IF(A129="","",SUMIFS('입금대장'!$C$7:$C$1006,'입금대장'!$A$7:$A$1006,A129,'입금대장'!$E$7:$E$1006,"정상"))</x:f>
      </x:c>
      <x:c r="K129" s="12" t="str">
        <x:f>IF(A129="","",I129-J129)</x:f>
      </x:c>
      <x:c r="L129" s="13" t="str">
        <x:f>IF(A129="","",IF(K129&lt;0,"선입금·초과입금",IF(I129=0,"청구 전",IF(K129=0,"정산 완료",IF(J129=0,"미입금","부분 입금")))))</x:f>
      </x:c>
      <x:c r="M129" s="9"/>
      <x:c r="N129" s="9"/>
    </x:row>
    <x:row r="130" ht="23" customHeight="1">
      <x:c r="A130" s="9"/>
      <x:c r="B130" s="10"/>
      <x:c r="C130" s="9"/>
      <x:c r="D130" s="9"/>
      <x:c r="E130" s="9"/>
      <x:c r="F130" s="11"/>
      <x:c r="G130" s="12" t="str">
        <x:f>IF(A130="","",SUMIFS('출고대장'!$D$7:$D$1006,'출고대장'!$A$7:$A$1006,A130))</x:f>
      </x:c>
      <x:c r="H130" s="12" t="str">
        <x:f>IF(A130="","",F130-G130)</x:f>
      </x:c>
      <x:c r="I130" s="12" t="str">
        <x:f>IF(A130="","",SUMIFS('출고대장'!$K$7:$K$1006,'출고대장'!$A$7:$A$1006,A130))</x:f>
      </x:c>
      <x:c r="J130" s="12" t="str">
        <x:f>IF(A130="","",SUMIFS('입금대장'!$C$7:$C$1006,'입금대장'!$A$7:$A$1006,A130,'입금대장'!$E$7:$E$1006,"정상"))</x:f>
      </x:c>
      <x:c r="K130" s="12" t="str">
        <x:f>IF(A130="","",I130-J130)</x:f>
      </x:c>
      <x:c r="L130" s="13" t="str">
        <x:f>IF(A130="","",IF(K130&lt;0,"선입금·초과입금",IF(I130=0,"청구 전",IF(K130=0,"정산 완료",IF(J130=0,"미입금","부분 입금")))))</x:f>
      </x:c>
      <x:c r="M130" s="9"/>
      <x:c r="N130" s="9"/>
    </x:row>
    <x:row r="131" ht="23" customHeight="1">
      <x:c r="A131" s="9"/>
      <x:c r="B131" s="10"/>
      <x:c r="C131" s="9"/>
      <x:c r="D131" s="9"/>
      <x:c r="E131" s="9"/>
      <x:c r="F131" s="11"/>
      <x:c r="G131" s="12" t="str">
        <x:f>IF(A131="","",SUMIFS('출고대장'!$D$7:$D$1006,'출고대장'!$A$7:$A$1006,A131))</x:f>
      </x:c>
      <x:c r="H131" s="12" t="str">
        <x:f>IF(A131="","",F131-G131)</x:f>
      </x:c>
      <x:c r="I131" s="12" t="str">
        <x:f>IF(A131="","",SUMIFS('출고대장'!$K$7:$K$1006,'출고대장'!$A$7:$A$1006,A131))</x:f>
      </x:c>
      <x:c r="J131" s="12" t="str">
        <x:f>IF(A131="","",SUMIFS('입금대장'!$C$7:$C$1006,'입금대장'!$A$7:$A$1006,A131,'입금대장'!$E$7:$E$1006,"정상"))</x:f>
      </x:c>
      <x:c r="K131" s="12" t="str">
        <x:f>IF(A131="","",I131-J131)</x:f>
      </x:c>
      <x:c r="L131" s="13" t="str">
        <x:f>IF(A131="","",IF(K131&lt;0,"선입금·초과입금",IF(I131=0,"청구 전",IF(K131=0,"정산 완료",IF(J131=0,"미입금","부분 입금")))))</x:f>
      </x:c>
      <x:c r="M131" s="9"/>
      <x:c r="N131" s="9"/>
    </x:row>
    <x:row r="132" ht="23" customHeight="1">
      <x:c r="A132" s="9"/>
      <x:c r="B132" s="10"/>
      <x:c r="C132" s="9"/>
      <x:c r="D132" s="9"/>
      <x:c r="E132" s="9"/>
      <x:c r="F132" s="11"/>
      <x:c r="G132" s="12" t="str">
        <x:f>IF(A132="","",SUMIFS('출고대장'!$D$7:$D$1006,'출고대장'!$A$7:$A$1006,A132))</x:f>
      </x:c>
      <x:c r="H132" s="12" t="str">
        <x:f>IF(A132="","",F132-G132)</x:f>
      </x:c>
      <x:c r="I132" s="12" t="str">
        <x:f>IF(A132="","",SUMIFS('출고대장'!$K$7:$K$1006,'출고대장'!$A$7:$A$1006,A132))</x:f>
      </x:c>
      <x:c r="J132" s="12" t="str">
        <x:f>IF(A132="","",SUMIFS('입금대장'!$C$7:$C$1006,'입금대장'!$A$7:$A$1006,A132,'입금대장'!$E$7:$E$1006,"정상"))</x:f>
      </x:c>
      <x:c r="K132" s="12" t="str">
        <x:f>IF(A132="","",I132-J132)</x:f>
      </x:c>
      <x:c r="L132" s="13" t="str">
        <x:f>IF(A132="","",IF(K132&lt;0,"선입금·초과입금",IF(I132=0,"청구 전",IF(K132=0,"정산 완료",IF(J132=0,"미입금","부분 입금")))))</x:f>
      </x:c>
      <x:c r="M132" s="9"/>
      <x:c r="N132" s="9"/>
    </x:row>
    <x:row r="133" ht="23" customHeight="1">
      <x:c r="A133" s="9"/>
      <x:c r="B133" s="10"/>
      <x:c r="C133" s="9"/>
      <x:c r="D133" s="9"/>
      <x:c r="E133" s="9"/>
      <x:c r="F133" s="11"/>
      <x:c r="G133" s="12" t="str">
        <x:f>IF(A133="","",SUMIFS('출고대장'!$D$7:$D$1006,'출고대장'!$A$7:$A$1006,A133))</x:f>
      </x:c>
      <x:c r="H133" s="12" t="str">
        <x:f>IF(A133="","",F133-G133)</x:f>
      </x:c>
      <x:c r="I133" s="12" t="str">
        <x:f>IF(A133="","",SUMIFS('출고대장'!$K$7:$K$1006,'출고대장'!$A$7:$A$1006,A133))</x:f>
      </x:c>
      <x:c r="J133" s="12" t="str">
        <x:f>IF(A133="","",SUMIFS('입금대장'!$C$7:$C$1006,'입금대장'!$A$7:$A$1006,A133,'입금대장'!$E$7:$E$1006,"정상"))</x:f>
      </x:c>
      <x:c r="K133" s="12" t="str">
        <x:f>IF(A133="","",I133-J133)</x:f>
      </x:c>
      <x:c r="L133" s="13" t="str">
        <x:f>IF(A133="","",IF(K133&lt;0,"선입금·초과입금",IF(I133=0,"청구 전",IF(K133=0,"정산 완료",IF(J133=0,"미입금","부분 입금")))))</x:f>
      </x:c>
      <x:c r="M133" s="9"/>
      <x:c r="N133" s="9"/>
    </x:row>
    <x:row r="134" ht="23" customHeight="1">
      <x:c r="A134" s="9"/>
      <x:c r="B134" s="10"/>
      <x:c r="C134" s="9"/>
      <x:c r="D134" s="9"/>
      <x:c r="E134" s="9"/>
      <x:c r="F134" s="11"/>
      <x:c r="G134" s="12" t="str">
        <x:f>IF(A134="","",SUMIFS('출고대장'!$D$7:$D$1006,'출고대장'!$A$7:$A$1006,A134))</x:f>
      </x:c>
      <x:c r="H134" s="12" t="str">
        <x:f>IF(A134="","",F134-G134)</x:f>
      </x:c>
      <x:c r="I134" s="12" t="str">
        <x:f>IF(A134="","",SUMIFS('출고대장'!$K$7:$K$1006,'출고대장'!$A$7:$A$1006,A134))</x:f>
      </x:c>
      <x:c r="J134" s="12" t="str">
        <x:f>IF(A134="","",SUMIFS('입금대장'!$C$7:$C$1006,'입금대장'!$A$7:$A$1006,A134,'입금대장'!$E$7:$E$1006,"정상"))</x:f>
      </x:c>
      <x:c r="K134" s="12" t="str">
        <x:f>IF(A134="","",I134-J134)</x:f>
      </x:c>
      <x:c r="L134" s="13" t="str">
        <x:f>IF(A134="","",IF(K134&lt;0,"선입금·초과입금",IF(I134=0,"청구 전",IF(K134=0,"정산 완료",IF(J134=0,"미입금","부분 입금")))))</x:f>
      </x:c>
      <x:c r="M134" s="9"/>
      <x:c r="N134" s="9"/>
    </x:row>
    <x:row r="135" ht="23" customHeight="1">
      <x:c r="A135" s="9"/>
      <x:c r="B135" s="10"/>
      <x:c r="C135" s="9"/>
      <x:c r="D135" s="9"/>
      <x:c r="E135" s="9"/>
      <x:c r="F135" s="11"/>
      <x:c r="G135" s="12" t="str">
        <x:f>IF(A135="","",SUMIFS('출고대장'!$D$7:$D$1006,'출고대장'!$A$7:$A$1006,A135))</x:f>
      </x:c>
      <x:c r="H135" s="12" t="str">
        <x:f>IF(A135="","",F135-G135)</x:f>
      </x:c>
      <x:c r="I135" s="12" t="str">
        <x:f>IF(A135="","",SUMIFS('출고대장'!$K$7:$K$1006,'출고대장'!$A$7:$A$1006,A135))</x:f>
      </x:c>
      <x:c r="J135" s="12" t="str">
        <x:f>IF(A135="","",SUMIFS('입금대장'!$C$7:$C$1006,'입금대장'!$A$7:$A$1006,A135,'입금대장'!$E$7:$E$1006,"정상"))</x:f>
      </x:c>
      <x:c r="K135" s="12" t="str">
        <x:f>IF(A135="","",I135-J135)</x:f>
      </x:c>
      <x:c r="L135" s="13" t="str">
        <x:f>IF(A135="","",IF(K135&lt;0,"선입금·초과입금",IF(I135=0,"청구 전",IF(K135=0,"정산 완료",IF(J135=0,"미입금","부분 입금")))))</x:f>
      </x:c>
      <x:c r="M135" s="9"/>
      <x:c r="N135" s="9"/>
    </x:row>
    <x:row r="136" ht="23" customHeight="1">
      <x:c r="A136" s="9"/>
      <x:c r="B136" s="10"/>
      <x:c r="C136" s="9"/>
      <x:c r="D136" s="9"/>
      <x:c r="E136" s="9"/>
      <x:c r="F136" s="11"/>
      <x:c r="G136" s="12" t="str">
        <x:f>IF(A136="","",SUMIFS('출고대장'!$D$7:$D$1006,'출고대장'!$A$7:$A$1006,A136))</x:f>
      </x:c>
      <x:c r="H136" s="12" t="str">
        <x:f>IF(A136="","",F136-G136)</x:f>
      </x:c>
      <x:c r="I136" s="12" t="str">
        <x:f>IF(A136="","",SUMIFS('출고대장'!$K$7:$K$1006,'출고대장'!$A$7:$A$1006,A136))</x:f>
      </x:c>
      <x:c r="J136" s="12" t="str">
        <x:f>IF(A136="","",SUMIFS('입금대장'!$C$7:$C$1006,'입금대장'!$A$7:$A$1006,A136,'입금대장'!$E$7:$E$1006,"정상"))</x:f>
      </x:c>
      <x:c r="K136" s="12" t="str">
        <x:f>IF(A136="","",I136-J136)</x:f>
      </x:c>
      <x:c r="L136" s="13" t="str">
        <x:f>IF(A136="","",IF(K136&lt;0,"선입금·초과입금",IF(I136=0,"청구 전",IF(K136=0,"정산 완료",IF(J136=0,"미입금","부분 입금")))))</x:f>
      </x:c>
      <x:c r="M136" s="9"/>
      <x:c r="N136" s="9"/>
    </x:row>
    <x:row r="137" ht="23" customHeight="1">
      <x:c r="A137" s="9"/>
      <x:c r="B137" s="10"/>
      <x:c r="C137" s="9"/>
      <x:c r="D137" s="9"/>
      <x:c r="E137" s="9"/>
      <x:c r="F137" s="11"/>
      <x:c r="G137" s="12" t="str">
        <x:f>IF(A137="","",SUMIFS('출고대장'!$D$7:$D$1006,'출고대장'!$A$7:$A$1006,A137))</x:f>
      </x:c>
      <x:c r="H137" s="12" t="str">
        <x:f>IF(A137="","",F137-G137)</x:f>
      </x:c>
      <x:c r="I137" s="12" t="str">
        <x:f>IF(A137="","",SUMIFS('출고대장'!$K$7:$K$1006,'출고대장'!$A$7:$A$1006,A137))</x:f>
      </x:c>
      <x:c r="J137" s="12" t="str">
        <x:f>IF(A137="","",SUMIFS('입금대장'!$C$7:$C$1006,'입금대장'!$A$7:$A$1006,A137,'입금대장'!$E$7:$E$1006,"정상"))</x:f>
      </x:c>
      <x:c r="K137" s="12" t="str">
        <x:f>IF(A137="","",I137-J137)</x:f>
      </x:c>
      <x:c r="L137" s="13" t="str">
        <x:f>IF(A137="","",IF(K137&lt;0,"선입금·초과입금",IF(I137=0,"청구 전",IF(K137=0,"정산 완료",IF(J137=0,"미입금","부분 입금")))))</x:f>
      </x:c>
      <x:c r="M137" s="9"/>
      <x:c r="N137" s="9"/>
    </x:row>
    <x:row r="138" ht="23" customHeight="1">
      <x:c r="A138" s="9"/>
      <x:c r="B138" s="10"/>
      <x:c r="C138" s="9"/>
      <x:c r="D138" s="9"/>
      <x:c r="E138" s="9"/>
      <x:c r="F138" s="11"/>
      <x:c r="G138" s="12" t="str">
        <x:f>IF(A138="","",SUMIFS('출고대장'!$D$7:$D$1006,'출고대장'!$A$7:$A$1006,A138))</x:f>
      </x:c>
      <x:c r="H138" s="12" t="str">
        <x:f>IF(A138="","",F138-G138)</x:f>
      </x:c>
      <x:c r="I138" s="12" t="str">
        <x:f>IF(A138="","",SUMIFS('출고대장'!$K$7:$K$1006,'출고대장'!$A$7:$A$1006,A138))</x:f>
      </x:c>
      <x:c r="J138" s="12" t="str">
        <x:f>IF(A138="","",SUMIFS('입금대장'!$C$7:$C$1006,'입금대장'!$A$7:$A$1006,A138,'입금대장'!$E$7:$E$1006,"정상"))</x:f>
      </x:c>
      <x:c r="K138" s="12" t="str">
        <x:f>IF(A138="","",I138-J138)</x:f>
      </x:c>
      <x:c r="L138" s="13" t="str">
        <x:f>IF(A138="","",IF(K138&lt;0,"선입금·초과입금",IF(I138=0,"청구 전",IF(K138=0,"정산 완료",IF(J138=0,"미입금","부분 입금")))))</x:f>
      </x:c>
      <x:c r="M138" s="9"/>
      <x:c r="N138" s="9"/>
    </x:row>
    <x:row r="139" ht="23" customHeight="1">
      <x:c r="A139" s="9"/>
      <x:c r="B139" s="10"/>
      <x:c r="C139" s="9"/>
      <x:c r="D139" s="9"/>
      <x:c r="E139" s="9"/>
      <x:c r="F139" s="11"/>
      <x:c r="G139" s="12" t="str">
        <x:f>IF(A139="","",SUMIFS('출고대장'!$D$7:$D$1006,'출고대장'!$A$7:$A$1006,A139))</x:f>
      </x:c>
      <x:c r="H139" s="12" t="str">
        <x:f>IF(A139="","",F139-G139)</x:f>
      </x:c>
      <x:c r="I139" s="12" t="str">
        <x:f>IF(A139="","",SUMIFS('출고대장'!$K$7:$K$1006,'출고대장'!$A$7:$A$1006,A139))</x:f>
      </x:c>
      <x:c r="J139" s="12" t="str">
        <x:f>IF(A139="","",SUMIFS('입금대장'!$C$7:$C$1006,'입금대장'!$A$7:$A$1006,A139,'입금대장'!$E$7:$E$1006,"정상"))</x:f>
      </x:c>
      <x:c r="K139" s="12" t="str">
        <x:f>IF(A139="","",I139-J139)</x:f>
      </x:c>
      <x:c r="L139" s="13" t="str">
        <x:f>IF(A139="","",IF(K139&lt;0,"선입금·초과입금",IF(I139=0,"청구 전",IF(K139=0,"정산 완료",IF(J139=0,"미입금","부분 입금")))))</x:f>
      </x:c>
      <x:c r="M139" s="9"/>
      <x:c r="N139" s="9"/>
    </x:row>
    <x:row r="140" ht="23" customHeight="1">
      <x:c r="A140" s="9"/>
      <x:c r="B140" s="10"/>
      <x:c r="C140" s="9"/>
      <x:c r="D140" s="9"/>
      <x:c r="E140" s="9"/>
      <x:c r="F140" s="11"/>
      <x:c r="G140" s="12" t="str">
        <x:f>IF(A140="","",SUMIFS('출고대장'!$D$7:$D$1006,'출고대장'!$A$7:$A$1006,A140))</x:f>
      </x:c>
      <x:c r="H140" s="12" t="str">
        <x:f>IF(A140="","",F140-G140)</x:f>
      </x:c>
      <x:c r="I140" s="12" t="str">
        <x:f>IF(A140="","",SUMIFS('출고대장'!$K$7:$K$1006,'출고대장'!$A$7:$A$1006,A140))</x:f>
      </x:c>
      <x:c r="J140" s="12" t="str">
        <x:f>IF(A140="","",SUMIFS('입금대장'!$C$7:$C$1006,'입금대장'!$A$7:$A$1006,A140,'입금대장'!$E$7:$E$1006,"정상"))</x:f>
      </x:c>
      <x:c r="K140" s="12" t="str">
        <x:f>IF(A140="","",I140-J140)</x:f>
      </x:c>
      <x:c r="L140" s="13" t="str">
        <x:f>IF(A140="","",IF(K140&lt;0,"선입금·초과입금",IF(I140=0,"청구 전",IF(K140=0,"정산 완료",IF(J140=0,"미입금","부분 입금")))))</x:f>
      </x:c>
      <x:c r="M140" s="9"/>
      <x:c r="N140" s="9"/>
    </x:row>
    <x:row r="141" ht="23" customHeight="1">
      <x:c r="A141" s="9"/>
      <x:c r="B141" s="10"/>
      <x:c r="C141" s="9"/>
      <x:c r="D141" s="9"/>
      <x:c r="E141" s="9"/>
      <x:c r="F141" s="11"/>
      <x:c r="G141" s="12" t="str">
        <x:f>IF(A141="","",SUMIFS('출고대장'!$D$7:$D$1006,'출고대장'!$A$7:$A$1006,A141))</x:f>
      </x:c>
      <x:c r="H141" s="12" t="str">
        <x:f>IF(A141="","",F141-G141)</x:f>
      </x:c>
      <x:c r="I141" s="12" t="str">
        <x:f>IF(A141="","",SUMIFS('출고대장'!$K$7:$K$1006,'출고대장'!$A$7:$A$1006,A141))</x:f>
      </x:c>
      <x:c r="J141" s="12" t="str">
        <x:f>IF(A141="","",SUMIFS('입금대장'!$C$7:$C$1006,'입금대장'!$A$7:$A$1006,A141,'입금대장'!$E$7:$E$1006,"정상"))</x:f>
      </x:c>
      <x:c r="K141" s="12" t="str">
        <x:f>IF(A141="","",I141-J141)</x:f>
      </x:c>
      <x:c r="L141" s="13" t="str">
        <x:f>IF(A141="","",IF(K141&lt;0,"선입금·초과입금",IF(I141=0,"청구 전",IF(K141=0,"정산 완료",IF(J141=0,"미입금","부분 입금")))))</x:f>
      </x:c>
      <x:c r="M141" s="9"/>
      <x:c r="N141" s="9"/>
    </x:row>
    <x:row r="142" ht="23" customHeight="1">
      <x:c r="A142" s="9"/>
      <x:c r="B142" s="10"/>
      <x:c r="C142" s="9"/>
      <x:c r="D142" s="9"/>
      <x:c r="E142" s="9"/>
      <x:c r="F142" s="11"/>
      <x:c r="G142" s="12" t="str">
        <x:f>IF(A142="","",SUMIFS('출고대장'!$D$7:$D$1006,'출고대장'!$A$7:$A$1006,A142))</x:f>
      </x:c>
      <x:c r="H142" s="12" t="str">
        <x:f>IF(A142="","",F142-G142)</x:f>
      </x:c>
      <x:c r="I142" s="12" t="str">
        <x:f>IF(A142="","",SUMIFS('출고대장'!$K$7:$K$1006,'출고대장'!$A$7:$A$1006,A142))</x:f>
      </x:c>
      <x:c r="J142" s="12" t="str">
        <x:f>IF(A142="","",SUMIFS('입금대장'!$C$7:$C$1006,'입금대장'!$A$7:$A$1006,A142,'입금대장'!$E$7:$E$1006,"정상"))</x:f>
      </x:c>
      <x:c r="K142" s="12" t="str">
        <x:f>IF(A142="","",I142-J142)</x:f>
      </x:c>
      <x:c r="L142" s="13" t="str">
        <x:f>IF(A142="","",IF(K142&lt;0,"선입금·초과입금",IF(I142=0,"청구 전",IF(K142=0,"정산 완료",IF(J142=0,"미입금","부분 입금")))))</x:f>
      </x:c>
      <x:c r="M142" s="9"/>
      <x:c r="N142" s="9"/>
    </x:row>
    <x:row r="143" ht="23" customHeight="1">
      <x:c r="A143" s="9"/>
      <x:c r="B143" s="10"/>
      <x:c r="C143" s="9"/>
      <x:c r="D143" s="9"/>
      <x:c r="E143" s="9"/>
      <x:c r="F143" s="11"/>
      <x:c r="G143" s="12" t="str">
        <x:f>IF(A143="","",SUMIFS('출고대장'!$D$7:$D$1006,'출고대장'!$A$7:$A$1006,A143))</x:f>
      </x:c>
      <x:c r="H143" s="12" t="str">
        <x:f>IF(A143="","",F143-G143)</x:f>
      </x:c>
      <x:c r="I143" s="12" t="str">
        <x:f>IF(A143="","",SUMIFS('출고대장'!$K$7:$K$1006,'출고대장'!$A$7:$A$1006,A143))</x:f>
      </x:c>
      <x:c r="J143" s="12" t="str">
        <x:f>IF(A143="","",SUMIFS('입금대장'!$C$7:$C$1006,'입금대장'!$A$7:$A$1006,A143,'입금대장'!$E$7:$E$1006,"정상"))</x:f>
      </x:c>
      <x:c r="K143" s="12" t="str">
        <x:f>IF(A143="","",I143-J143)</x:f>
      </x:c>
      <x:c r="L143" s="13" t="str">
        <x:f>IF(A143="","",IF(K143&lt;0,"선입금·초과입금",IF(I143=0,"청구 전",IF(K143=0,"정산 완료",IF(J143=0,"미입금","부분 입금")))))</x:f>
      </x:c>
      <x:c r="M143" s="9"/>
      <x:c r="N143" s="9"/>
    </x:row>
    <x:row r="144" ht="23" customHeight="1">
      <x:c r="A144" s="9"/>
      <x:c r="B144" s="10"/>
      <x:c r="C144" s="9"/>
      <x:c r="D144" s="9"/>
      <x:c r="E144" s="9"/>
      <x:c r="F144" s="11"/>
      <x:c r="G144" s="12" t="str">
        <x:f>IF(A144="","",SUMIFS('출고대장'!$D$7:$D$1006,'출고대장'!$A$7:$A$1006,A144))</x:f>
      </x:c>
      <x:c r="H144" s="12" t="str">
        <x:f>IF(A144="","",F144-G144)</x:f>
      </x:c>
      <x:c r="I144" s="12" t="str">
        <x:f>IF(A144="","",SUMIFS('출고대장'!$K$7:$K$1006,'출고대장'!$A$7:$A$1006,A144))</x:f>
      </x:c>
      <x:c r="J144" s="12" t="str">
        <x:f>IF(A144="","",SUMIFS('입금대장'!$C$7:$C$1006,'입금대장'!$A$7:$A$1006,A144,'입금대장'!$E$7:$E$1006,"정상"))</x:f>
      </x:c>
      <x:c r="K144" s="12" t="str">
        <x:f>IF(A144="","",I144-J144)</x:f>
      </x:c>
      <x:c r="L144" s="13" t="str">
        <x:f>IF(A144="","",IF(K144&lt;0,"선입금·초과입금",IF(I144=0,"청구 전",IF(K144=0,"정산 완료",IF(J144=0,"미입금","부분 입금")))))</x:f>
      </x:c>
      <x:c r="M144" s="9"/>
      <x:c r="N144" s="9"/>
    </x:row>
    <x:row r="145" ht="23" customHeight="1">
      <x:c r="A145" s="9"/>
      <x:c r="B145" s="10"/>
      <x:c r="C145" s="9"/>
      <x:c r="D145" s="9"/>
      <x:c r="E145" s="9"/>
      <x:c r="F145" s="11"/>
      <x:c r="G145" s="12" t="str">
        <x:f>IF(A145="","",SUMIFS('출고대장'!$D$7:$D$1006,'출고대장'!$A$7:$A$1006,A145))</x:f>
      </x:c>
      <x:c r="H145" s="12" t="str">
        <x:f>IF(A145="","",F145-G145)</x:f>
      </x:c>
      <x:c r="I145" s="12" t="str">
        <x:f>IF(A145="","",SUMIFS('출고대장'!$K$7:$K$1006,'출고대장'!$A$7:$A$1006,A145))</x:f>
      </x:c>
      <x:c r="J145" s="12" t="str">
        <x:f>IF(A145="","",SUMIFS('입금대장'!$C$7:$C$1006,'입금대장'!$A$7:$A$1006,A145,'입금대장'!$E$7:$E$1006,"정상"))</x:f>
      </x:c>
      <x:c r="K145" s="12" t="str">
        <x:f>IF(A145="","",I145-J145)</x:f>
      </x:c>
      <x:c r="L145" s="13" t="str">
        <x:f>IF(A145="","",IF(K145&lt;0,"선입금·초과입금",IF(I145=0,"청구 전",IF(K145=0,"정산 완료",IF(J145=0,"미입금","부분 입금")))))</x:f>
      </x:c>
      <x:c r="M145" s="9"/>
      <x:c r="N145" s="9"/>
    </x:row>
    <x:row r="146" ht="23" customHeight="1">
      <x:c r="A146" s="9"/>
      <x:c r="B146" s="10"/>
      <x:c r="C146" s="9"/>
      <x:c r="D146" s="9"/>
      <x:c r="E146" s="9"/>
      <x:c r="F146" s="11"/>
      <x:c r="G146" s="12" t="str">
        <x:f>IF(A146="","",SUMIFS('출고대장'!$D$7:$D$1006,'출고대장'!$A$7:$A$1006,A146))</x:f>
      </x:c>
      <x:c r="H146" s="12" t="str">
        <x:f>IF(A146="","",F146-G146)</x:f>
      </x:c>
      <x:c r="I146" s="12" t="str">
        <x:f>IF(A146="","",SUMIFS('출고대장'!$K$7:$K$1006,'출고대장'!$A$7:$A$1006,A146))</x:f>
      </x:c>
      <x:c r="J146" s="12" t="str">
        <x:f>IF(A146="","",SUMIFS('입금대장'!$C$7:$C$1006,'입금대장'!$A$7:$A$1006,A146,'입금대장'!$E$7:$E$1006,"정상"))</x:f>
      </x:c>
      <x:c r="K146" s="12" t="str">
        <x:f>IF(A146="","",I146-J146)</x:f>
      </x:c>
      <x:c r="L146" s="13" t="str">
        <x:f>IF(A146="","",IF(K146&lt;0,"선입금·초과입금",IF(I146=0,"청구 전",IF(K146=0,"정산 완료",IF(J146=0,"미입금","부분 입금")))))</x:f>
      </x:c>
      <x:c r="M146" s="9"/>
      <x:c r="N146" s="9"/>
    </x:row>
    <x:row r="147" ht="23" customHeight="1">
      <x:c r="A147" s="9"/>
      <x:c r="B147" s="10"/>
      <x:c r="C147" s="9"/>
      <x:c r="D147" s="9"/>
      <x:c r="E147" s="9"/>
      <x:c r="F147" s="11"/>
      <x:c r="G147" s="12" t="str">
        <x:f>IF(A147="","",SUMIFS('출고대장'!$D$7:$D$1006,'출고대장'!$A$7:$A$1006,A147))</x:f>
      </x:c>
      <x:c r="H147" s="12" t="str">
        <x:f>IF(A147="","",F147-G147)</x:f>
      </x:c>
      <x:c r="I147" s="12" t="str">
        <x:f>IF(A147="","",SUMIFS('출고대장'!$K$7:$K$1006,'출고대장'!$A$7:$A$1006,A147))</x:f>
      </x:c>
      <x:c r="J147" s="12" t="str">
        <x:f>IF(A147="","",SUMIFS('입금대장'!$C$7:$C$1006,'입금대장'!$A$7:$A$1006,A147,'입금대장'!$E$7:$E$1006,"정상"))</x:f>
      </x:c>
      <x:c r="K147" s="12" t="str">
        <x:f>IF(A147="","",I147-J147)</x:f>
      </x:c>
      <x:c r="L147" s="13" t="str">
        <x:f>IF(A147="","",IF(K147&lt;0,"선입금·초과입금",IF(I147=0,"청구 전",IF(K147=0,"정산 완료",IF(J147=0,"미입금","부분 입금")))))</x:f>
      </x:c>
      <x:c r="M147" s="9"/>
      <x:c r="N147" s="9"/>
    </x:row>
    <x:row r="148" ht="23" customHeight="1">
      <x:c r="A148" s="9"/>
      <x:c r="B148" s="10"/>
      <x:c r="C148" s="9"/>
      <x:c r="D148" s="9"/>
      <x:c r="E148" s="9"/>
      <x:c r="F148" s="11"/>
      <x:c r="G148" s="12" t="str">
        <x:f>IF(A148="","",SUMIFS('출고대장'!$D$7:$D$1006,'출고대장'!$A$7:$A$1006,A148))</x:f>
      </x:c>
      <x:c r="H148" s="12" t="str">
        <x:f>IF(A148="","",F148-G148)</x:f>
      </x:c>
      <x:c r="I148" s="12" t="str">
        <x:f>IF(A148="","",SUMIFS('출고대장'!$K$7:$K$1006,'출고대장'!$A$7:$A$1006,A148))</x:f>
      </x:c>
      <x:c r="J148" s="12" t="str">
        <x:f>IF(A148="","",SUMIFS('입금대장'!$C$7:$C$1006,'입금대장'!$A$7:$A$1006,A148,'입금대장'!$E$7:$E$1006,"정상"))</x:f>
      </x:c>
      <x:c r="K148" s="12" t="str">
        <x:f>IF(A148="","",I148-J148)</x:f>
      </x:c>
      <x:c r="L148" s="13" t="str">
        <x:f>IF(A148="","",IF(K148&lt;0,"선입금·초과입금",IF(I148=0,"청구 전",IF(K148=0,"정산 완료",IF(J148=0,"미입금","부분 입금")))))</x:f>
      </x:c>
      <x:c r="M148" s="9"/>
      <x:c r="N148" s="9"/>
    </x:row>
    <x:row r="149" ht="23" customHeight="1">
      <x:c r="A149" s="9"/>
      <x:c r="B149" s="10"/>
      <x:c r="C149" s="9"/>
      <x:c r="D149" s="9"/>
      <x:c r="E149" s="9"/>
      <x:c r="F149" s="11"/>
      <x:c r="G149" s="12" t="str">
        <x:f>IF(A149="","",SUMIFS('출고대장'!$D$7:$D$1006,'출고대장'!$A$7:$A$1006,A149))</x:f>
      </x:c>
      <x:c r="H149" s="12" t="str">
        <x:f>IF(A149="","",F149-G149)</x:f>
      </x:c>
      <x:c r="I149" s="12" t="str">
        <x:f>IF(A149="","",SUMIFS('출고대장'!$K$7:$K$1006,'출고대장'!$A$7:$A$1006,A149))</x:f>
      </x:c>
      <x:c r="J149" s="12" t="str">
        <x:f>IF(A149="","",SUMIFS('입금대장'!$C$7:$C$1006,'입금대장'!$A$7:$A$1006,A149,'입금대장'!$E$7:$E$1006,"정상"))</x:f>
      </x:c>
      <x:c r="K149" s="12" t="str">
        <x:f>IF(A149="","",I149-J149)</x:f>
      </x:c>
      <x:c r="L149" s="13" t="str">
        <x:f>IF(A149="","",IF(K149&lt;0,"선입금·초과입금",IF(I149=0,"청구 전",IF(K149=0,"정산 완료",IF(J149=0,"미입금","부분 입금")))))</x:f>
      </x:c>
      <x:c r="M149" s="9"/>
      <x:c r="N149" s="9"/>
    </x:row>
    <x:row r="150" ht="23" customHeight="1">
      <x:c r="A150" s="9"/>
      <x:c r="B150" s="10"/>
      <x:c r="C150" s="9"/>
      <x:c r="D150" s="9"/>
      <x:c r="E150" s="9"/>
      <x:c r="F150" s="11"/>
      <x:c r="G150" s="12" t="str">
        <x:f>IF(A150="","",SUMIFS('출고대장'!$D$7:$D$1006,'출고대장'!$A$7:$A$1006,A150))</x:f>
      </x:c>
      <x:c r="H150" s="12" t="str">
        <x:f>IF(A150="","",F150-G150)</x:f>
      </x:c>
      <x:c r="I150" s="12" t="str">
        <x:f>IF(A150="","",SUMIFS('출고대장'!$K$7:$K$1006,'출고대장'!$A$7:$A$1006,A150))</x:f>
      </x:c>
      <x:c r="J150" s="12" t="str">
        <x:f>IF(A150="","",SUMIFS('입금대장'!$C$7:$C$1006,'입금대장'!$A$7:$A$1006,A150,'입금대장'!$E$7:$E$1006,"정상"))</x:f>
      </x:c>
      <x:c r="K150" s="12" t="str">
        <x:f>IF(A150="","",I150-J150)</x:f>
      </x:c>
      <x:c r="L150" s="13" t="str">
        <x:f>IF(A150="","",IF(K150&lt;0,"선입금·초과입금",IF(I150=0,"청구 전",IF(K150=0,"정산 완료",IF(J150=0,"미입금","부분 입금")))))</x:f>
      </x:c>
      <x:c r="M150" s="9"/>
      <x:c r="N150" s="9"/>
    </x:row>
    <x:row r="151" ht="23" customHeight="1">
      <x:c r="A151" s="9"/>
      <x:c r="B151" s="10"/>
      <x:c r="C151" s="9"/>
      <x:c r="D151" s="9"/>
      <x:c r="E151" s="9"/>
      <x:c r="F151" s="11"/>
      <x:c r="G151" s="12" t="str">
        <x:f>IF(A151="","",SUMIFS('출고대장'!$D$7:$D$1006,'출고대장'!$A$7:$A$1006,A151))</x:f>
      </x:c>
      <x:c r="H151" s="12" t="str">
        <x:f>IF(A151="","",F151-G151)</x:f>
      </x:c>
      <x:c r="I151" s="12" t="str">
        <x:f>IF(A151="","",SUMIFS('출고대장'!$K$7:$K$1006,'출고대장'!$A$7:$A$1006,A151))</x:f>
      </x:c>
      <x:c r="J151" s="12" t="str">
        <x:f>IF(A151="","",SUMIFS('입금대장'!$C$7:$C$1006,'입금대장'!$A$7:$A$1006,A151,'입금대장'!$E$7:$E$1006,"정상"))</x:f>
      </x:c>
      <x:c r="K151" s="12" t="str">
        <x:f>IF(A151="","",I151-J151)</x:f>
      </x:c>
      <x:c r="L151" s="13" t="str">
        <x:f>IF(A151="","",IF(K151&lt;0,"선입금·초과입금",IF(I151=0,"청구 전",IF(K151=0,"정산 완료",IF(J151=0,"미입금","부분 입금")))))</x:f>
      </x:c>
      <x:c r="M151" s="9"/>
      <x:c r="N151" s="9"/>
    </x:row>
    <x:row r="152" ht="23" customHeight="1">
      <x:c r="A152" s="9"/>
      <x:c r="B152" s="10"/>
      <x:c r="C152" s="9"/>
      <x:c r="D152" s="9"/>
      <x:c r="E152" s="9"/>
      <x:c r="F152" s="11"/>
      <x:c r="G152" s="12" t="str">
        <x:f>IF(A152="","",SUMIFS('출고대장'!$D$7:$D$1006,'출고대장'!$A$7:$A$1006,A152))</x:f>
      </x:c>
      <x:c r="H152" s="12" t="str">
        <x:f>IF(A152="","",F152-G152)</x:f>
      </x:c>
      <x:c r="I152" s="12" t="str">
        <x:f>IF(A152="","",SUMIFS('출고대장'!$K$7:$K$1006,'출고대장'!$A$7:$A$1006,A152))</x:f>
      </x:c>
      <x:c r="J152" s="12" t="str">
        <x:f>IF(A152="","",SUMIFS('입금대장'!$C$7:$C$1006,'입금대장'!$A$7:$A$1006,A152,'입금대장'!$E$7:$E$1006,"정상"))</x:f>
      </x:c>
      <x:c r="K152" s="12" t="str">
        <x:f>IF(A152="","",I152-J152)</x:f>
      </x:c>
      <x:c r="L152" s="13" t="str">
        <x:f>IF(A152="","",IF(K152&lt;0,"선입금·초과입금",IF(I152=0,"청구 전",IF(K152=0,"정산 완료",IF(J152=0,"미입금","부분 입금")))))</x:f>
      </x:c>
      <x:c r="M152" s="9"/>
      <x:c r="N152" s="9"/>
    </x:row>
    <x:row r="153" ht="23" customHeight="1">
      <x:c r="A153" s="9"/>
      <x:c r="B153" s="10"/>
      <x:c r="C153" s="9"/>
      <x:c r="D153" s="9"/>
      <x:c r="E153" s="9"/>
      <x:c r="F153" s="11"/>
      <x:c r="G153" s="12" t="str">
        <x:f>IF(A153="","",SUMIFS('출고대장'!$D$7:$D$1006,'출고대장'!$A$7:$A$1006,A153))</x:f>
      </x:c>
      <x:c r="H153" s="12" t="str">
        <x:f>IF(A153="","",F153-G153)</x:f>
      </x:c>
      <x:c r="I153" s="12" t="str">
        <x:f>IF(A153="","",SUMIFS('출고대장'!$K$7:$K$1006,'출고대장'!$A$7:$A$1006,A153))</x:f>
      </x:c>
      <x:c r="J153" s="12" t="str">
        <x:f>IF(A153="","",SUMIFS('입금대장'!$C$7:$C$1006,'입금대장'!$A$7:$A$1006,A153,'입금대장'!$E$7:$E$1006,"정상"))</x:f>
      </x:c>
      <x:c r="K153" s="12" t="str">
        <x:f>IF(A153="","",I153-J153)</x:f>
      </x:c>
      <x:c r="L153" s="13" t="str">
        <x:f>IF(A153="","",IF(K153&lt;0,"선입금·초과입금",IF(I153=0,"청구 전",IF(K153=0,"정산 완료",IF(J153=0,"미입금","부분 입금")))))</x:f>
      </x:c>
      <x:c r="M153" s="9"/>
      <x:c r="N153" s="9"/>
    </x:row>
    <x:row r="154" ht="23" customHeight="1">
      <x:c r="A154" s="9"/>
      <x:c r="B154" s="10"/>
      <x:c r="C154" s="9"/>
      <x:c r="D154" s="9"/>
      <x:c r="E154" s="9"/>
      <x:c r="F154" s="11"/>
      <x:c r="G154" s="12" t="str">
        <x:f>IF(A154="","",SUMIFS('출고대장'!$D$7:$D$1006,'출고대장'!$A$7:$A$1006,A154))</x:f>
      </x:c>
      <x:c r="H154" s="12" t="str">
        <x:f>IF(A154="","",F154-G154)</x:f>
      </x:c>
      <x:c r="I154" s="12" t="str">
        <x:f>IF(A154="","",SUMIFS('출고대장'!$K$7:$K$1006,'출고대장'!$A$7:$A$1006,A154))</x:f>
      </x:c>
      <x:c r="J154" s="12" t="str">
        <x:f>IF(A154="","",SUMIFS('입금대장'!$C$7:$C$1006,'입금대장'!$A$7:$A$1006,A154,'입금대장'!$E$7:$E$1006,"정상"))</x:f>
      </x:c>
      <x:c r="K154" s="12" t="str">
        <x:f>IF(A154="","",I154-J154)</x:f>
      </x:c>
      <x:c r="L154" s="13" t="str">
        <x:f>IF(A154="","",IF(K154&lt;0,"선입금·초과입금",IF(I154=0,"청구 전",IF(K154=0,"정산 완료",IF(J154=0,"미입금","부분 입금")))))</x:f>
      </x:c>
      <x:c r="M154" s="9"/>
      <x:c r="N154" s="9"/>
    </x:row>
    <x:row r="155" ht="23" customHeight="1">
      <x:c r="A155" s="9"/>
      <x:c r="B155" s="10"/>
      <x:c r="C155" s="9"/>
      <x:c r="D155" s="9"/>
      <x:c r="E155" s="9"/>
      <x:c r="F155" s="11"/>
      <x:c r="G155" s="12" t="str">
        <x:f>IF(A155="","",SUMIFS('출고대장'!$D$7:$D$1006,'출고대장'!$A$7:$A$1006,A155))</x:f>
      </x:c>
      <x:c r="H155" s="12" t="str">
        <x:f>IF(A155="","",F155-G155)</x:f>
      </x:c>
      <x:c r="I155" s="12" t="str">
        <x:f>IF(A155="","",SUMIFS('출고대장'!$K$7:$K$1006,'출고대장'!$A$7:$A$1006,A155))</x:f>
      </x:c>
      <x:c r="J155" s="12" t="str">
        <x:f>IF(A155="","",SUMIFS('입금대장'!$C$7:$C$1006,'입금대장'!$A$7:$A$1006,A155,'입금대장'!$E$7:$E$1006,"정상"))</x:f>
      </x:c>
      <x:c r="K155" s="12" t="str">
        <x:f>IF(A155="","",I155-J155)</x:f>
      </x:c>
      <x:c r="L155" s="13" t="str">
        <x:f>IF(A155="","",IF(K155&lt;0,"선입금·초과입금",IF(I155=0,"청구 전",IF(K155=0,"정산 완료",IF(J155=0,"미입금","부분 입금")))))</x:f>
      </x:c>
      <x:c r="M155" s="9"/>
      <x:c r="N155" s="9"/>
    </x:row>
    <x:row r="156" ht="23" customHeight="1">
      <x:c r="A156" s="9"/>
      <x:c r="B156" s="10"/>
      <x:c r="C156" s="9"/>
      <x:c r="D156" s="9"/>
      <x:c r="E156" s="9"/>
      <x:c r="F156" s="11"/>
      <x:c r="G156" s="12" t="str">
        <x:f>IF(A156="","",SUMIFS('출고대장'!$D$7:$D$1006,'출고대장'!$A$7:$A$1006,A156))</x:f>
      </x:c>
      <x:c r="H156" s="12" t="str">
        <x:f>IF(A156="","",F156-G156)</x:f>
      </x:c>
      <x:c r="I156" s="12" t="str">
        <x:f>IF(A156="","",SUMIFS('출고대장'!$K$7:$K$1006,'출고대장'!$A$7:$A$1006,A156))</x:f>
      </x:c>
      <x:c r="J156" s="12" t="str">
        <x:f>IF(A156="","",SUMIFS('입금대장'!$C$7:$C$1006,'입금대장'!$A$7:$A$1006,A156,'입금대장'!$E$7:$E$1006,"정상"))</x:f>
      </x:c>
      <x:c r="K156" s="12" t="str">
        <x:f>IF(A156="","",I156-J156)</x:f>
      </x:c>
      <x:c r="L156" s="13" t="str">
        <x:f>IF(A156="","",IF(K156&lt;0,"선입금·초과입금",IF(I156=0,"청구 전",IF(K156=0,"정산 완료",IF(J156=0,"미입금","부분 입금")))))</x:f>
      </x:c>
      <x:c r="M156" s="9"/>
      <x:c r="N156" s="9"/>
    </x:row>
    <x:row r="157" ht="23" customHeight="1">
      <x:c r="A157" s="9"/>
      <x:c r="B157" s="10"/>
      <x:c r="C157" s="9"/>
      <x:c r="D157" s="9"/>
      <x:c r="E157" s="9"/>
      <x:c r="F157" s="11"/>
      <x:c r="G157" s="12" t="str">
        <x:f>IF(A157="","",SUMIFS('출고대장'!$D$7:$D$1006,'출고대장'!$A$7:$A$1006,A157))</x:f>
      </x:c>
      <x:c r="H157" s="12" t="str">
        <x:f>IF(A157="","",F157-G157)</x:f>
      </x:c>
      <x:c r="I157" s="12" t="str">
        <x:f>IF(A157="","",SUMIFS('출고대장'!$K$7:$K$1006,'출고대장'!$A$7:$A$1006,A157))</x:f>
      </x:c>
      <x:c r="J157" s="12" t="str">
        <x:f>IF(A157="","",SUMIFS('입금대장'!$C$7:$C$1006,'입금대장'!$A$7:$A$1006,A157,'입금대장'!$E$7:$E$1006,"정상"))</x:f>
      </x:c>
      <x:c r="K157" s="12" t="str">
        <x:f>IF(A157="","",I157-J157)</x:f>
      </x:c>
      <x:c r="L157" s="13" t="str">
        <x:f>IF(A157="","",IF(K157&lt;0,"선입금·초과입금",IF(I157=0,"청구 전",IF(K157=0,"정산 완료",IF(J157=0,"미입금","부분 입금")))))</x:f>
      </x:c>
      <x:c r="M157" s="9"/>
      <x:c r="N157" s="9"/>
    </x:row>
    <x:row r="158" ht="23" customHeight="1">
      <x:c r="A158" s="9"/>
      <x:c r="B158" s="10"/>
      <x:c r="C158" s="9"/>
      <x:c r="D158" s="9"/>
      <x:c r="E158" s="9"/>
      <x:c r="F158" s="11"/>
      <x:c r="G158" s="12" t="str">
        <x:f>IF(A158="","",SUMIFS('출고대장'!$D$7:$D$1006,'출고대장'!$A$7:$A$1006,A158))</x:f>
      </x:c>
      <x:c r="H158" s="12" t="str">
        <x:f>IF(A158="","",F158-G158)</x:f>
      </x:c>
      <x:c r="I158" s="12" t="str">
        <x:f>IF(A158="","",SUMIFS('출고대장'!$K$7:$K$1006,'출고대장'!$A$7:$A$1006,A158))</x:f>
      </x:c>
      <x:c r="J158" s="12" t="str">
        <x:f>IF(A158="","",SUMIFS('입금대장'!$C$7:$C$1006,'입금대장'!$A$7:$A$1006,A158,'입금대장'!$E$7:$E$1006,"정상"))</x:f>
      </x:c>
      <x:c r="K158" s="12" t="str">
        <x:f>IF(A158="","",I158-J158)</x:f>
      </x:c>
      <x:c r="L158" s="13" t="str">
        <x:f>IF(A158="","",IF(K158&lt;0,"선입금·초과입금",IF(I158=0,"청구 전",IF(K158=0,"정산 완료",IF(J158=0,"미입금","부분 입금")))))</x:f>
      </x:c>
      <x:c r="M158" s="9"/>
      <x:c r="N158" s="9"/>
    </x:row>
    <x:row r="159" ht="23" customHeight="1">
      <x:c r="A159" s="9"/>
      <x:c r="B159" s="10"/>
      <x:c r="C159" s="9"/>
      <x:c r="D159" s="9"/>
      <x:c r="E159" s="9"/>
      <x:c r="F159" s="11"/>
      <x:c r="G159" s="12" t="str">
        <x:f>IF(A159="","",SUMIFS('출고대장'!$D$7:$D$1006,'출고대장'!$A$7:$A$1006,A159))</x:f>
      </x:c>
      <x:c r="H159" s="12" t="str">
        <x:f>IF(A159="","",F159-G159)</x:f>
      </x:c>
      <x:c r="I159" s="12" t="str">
        <x:f>IF(A159="","",SUMIFS('출고대장'!$K$7:$K$1006,'출고대장'!$A$7:$A$1006,A159))</x:f>
      </x:c>
      <x:c r="J159" s="12" t="str">
        <x:f>IF(A159="","",SUMIFS('입금대장'!$C$7:$C$1006,'입금대장'!$A$7:$A$1006,A159,'입금대장'!$E$7:$E$1006,"정상"))</x:f>
      </x:c>
      <x:c r="K159" s="12" t="str">
        <x:f>IF(A159="","",I159-J159)</x:f>
      </x:c>
      <x:c r="L159" s="13" t="str">
        <x:f>IF(A159="","",IF(K159&lt;0,"선입금·초과입금",IF(I159=0,"청구 전",IF(K159=0,"정산 완료",IF(J159=0,"미입금","부분 입금")))))</x:f>
      </x:c>
      <x:c r="M159" s="9"/>
      <x:c r="N159" s="9"/>
    </x:row>
    <x:row r="160" ht="23" customHeight="1">
      <x:c r="A160" s="9"/>
      <x:c r="B160" s="10"/>
      <x:c r="C160" s="9"/>
      <x:c r="D160" s="9"/>
      <x:c r="E160" s="9"/>
      <x:c r="F160" s="11"/>
      <x:c r="G160" s="12" t="str">
        <x:f>IF(A160="","",SUMIFS('출고대장'!$D$7:$D$1006,'출고대장'!$A$7:$A$1006,A160))</x:f>
      </x:c>
      <x:c r="H160" s="12" t="str">
        <x:f>IF(A160="","",F160-G160)</x:f>
      </x:c>
      <x:c r="I160" s="12" t="str">
        <x:f>IF(A160="","",SUMIFS('출고대장'!$K$7:$K$1006,'출고대장'!$A$7:$A$1006,A160))</x:f>
      </x:c>
      <x:c r="J160" s="12" t="str">
        <x:f>IF(A160="","",SUMIFS('입금대장'!$C$7:$C$1006,'입금대장'!$A$7:$A$1006,A160,'입금대장'!$E$7:$E$1006,"정상"))</x:f>
      </x:c>
      <x:c r="K160" s="12" t="str">
        <x:f>IF(A160="","",I160-J160)</x:f>
      </x:c>
      <x:c r="L160" s="13" t="str">
        <x:f>IF(A160="","",IF(K160&lt;0,"선입금·초과입금",IF(I160=0,"청구 전",IF(K160=0,"정산 완료",IF(J160=0,"미입금","부분 입금")))))</x:f>
      </x:c>
      <x:c r="M160" s="9"/>
      <x:c r="N160" s="9"/>
    </x:row>
    <x:row r="161" ht="23" customHeight="1">
      <x:c r="A161" s="9"/>
      <x:c r="B161" s="10"/>
      <x:c r="C161" s="9"/>
      <x:c r="D161" s="9"/>
      <x:c r="E161" s="9"/>
      <x:c r="F161" s="11"/>
      <x:c r="G161" s="12" t="str">
        <x:f>IF(A161="","",SUMIFS('출고대장'!$D$7:$D$1006,'출고대장'!$A$7:$A$1006,A161))</x:f>
      </x:c>
      <x:c r="H161" s="12" t="str">
        <x:f>IF(A161="","",F161-G161)</x:f>
      </x:c>
      <x:c r="I161" s="12" t="str">
        <x:f>IF(A161="","",SUMIFS('출고대장'!$K$7:$K$1006,'출고대장'!$A$7:$A$1006,A161))</x:f>
      </x:c>
      <x:c r="J161" s="12" t="str">
        <x:f>IF(A161="","",SUMIFS('입금대장'!$C$7:$C$1006,'입금대장'!$A$7:$A$1006,A161,'입금대장'!$E$7:$E$1006,"정상"))</x:f>
      </x:c>
      <x:c r="K161" s="12" t="str">
        <x:f>IF(A161="","",I161-J161)</x:f>
      </x:c>
      <x:c r="L161" s="13" t="str">
        <x:f>IF(A161="","",IF(K161&lt;0,"선입금·초과입금",IF(I161=0,"청구 전",IF(K161=0,"정산 완료",IF(J161=0,"미입금","부분 입금")))))</x:f>
      </x:c>
      <x:c r="M161" s="9"/>
      <x:c r="N161" s="9"/>
    </x:row>
    <x:row r="162" ht="23" customHeight="1">
      <x:c r="A162" s="9"/>
      <x:c r="B162" s="10"/>
      <x:c r="C162" s="9"/>
      <x:c r="D162" s="9"/>
      <x:c r="E162" s="9"/>
      <x:c r="F162" s="11"/>
      <x:c r="G162" s="12" t="str">
        <x:f>IF(A162="","",SUMIFS('출고대장'!$D$7:$D$1006,'출고대장'!$A$7:$A$1006,A162))</x:f>
      </x:c>
      <x:c r="H162" s="12" t="str">
        <x:f>IF(A162="","",F162-G162)</x:f>
      </x:c>
      <x:c r="I162" s="12" t="str">
        <x:f>IF(A162="","",SUMIFS('출고대장'!$K$7:$K$1006,'출고대장'!$A$7:$A$1006,A162))</x:f>
      </x:c>
      <x:c r="J162" s="12" t="str">
        <x:f>IF(A162="","",SUMIFS('입금대장'!$C$7:$C$1006,'입금대장'!$A$7:$A$1006,A162,'입금대장'!$E$7:$E$1006,"정상"))</x:f>
      </x:c>
      <x:c r="K162" s="12" t="str">
        <x:f>IF(A162="","",I162-J162)</x:f>
      </x:c>
      <x:c r="L162" s="13" t="str">
        <x:f>IF(A162="","",IF(K162&lt;0,"선입금·초과입금",IF(I162=0,"청구 전",IF(K162=0,"정산 완료",IF(J162=0,"미입금","부분 입금")))))</x:f>
      </x:c>
      <x:c r="M162" s="9"/>
      <x:c r="N162" s="9"/>
    </x:row>
    <x:row r="163" ht="23" customHeight="1">
      <x:c r="A163" s="9"/>
      <x:c r="B163" s="10"/>
      <x:c r="C163" s="9"/>
      <x:c r="D163" s="9"/>
      <x:c r="E163" s="9"/>
      <x:c r="F163" s="11"/>
      <x:c r="G163" s="12" t="str">
        <x:f>IF(A163="","",SUMIFS('출고대장'!$D$7:$D$1006,'출고대장'!$A$7:$A$1006,A163))</x:f>
      </x:c>
      <x:c r="H163" s="12" t="str">
        <x:f>IF(A163="","",F163-G163)</x:f>
      </x:c>
      <x:c r="I163" s="12" t="str">
        <x:f>IF(A163="","",SUMIFS('출고대장'!$K$7:$K$1006,'출고대장'!$A$7:$A$1006,A163))</x:f>
      </x:c>
      <x:c r="J163" s="12" t="str">
        <x:f>IF(A163="","",SUMIFS('입금대장'!$C$7:$C$1006,'입금대장'!$A$7:$A$1006,A163,'입금대장'!$E$7:$E$1006,"정상"))</x:f>
      </x:c>
      <x:c r="K163" s="12" t="str">
        <x:f>IF(A163="","",I163-J163)</x:f>
      </x:c>
      <x:c r="L163" s="13" t="str">
        <x:f>IF(A163="","",IF(K163&lt;0,"선입금·초과입금",IF(I163=0,"청구 전",IF(K163=0,"정산 완료",IF(J163=0,"미입금","부분 입금")))))</x:f>
      </x:c>
      <x:c r="M163" s="9"/>
      <x:c r="N163" s="9"/>
    </x:row>
    <x:row r="164" ht="23" customHeight="1">
      <x:c r="A164" s="9"/>
      <x:c r="B164" s="10"/>
      <x:c r="C164" s="9"/>
      <x:c r="D164" s="9"/>
      <x:c r="E164" s="9"/>
      <x:c r="F164" s="11"/>
      <x:c r="G164" s="12" t="str">
        <x:f>IF(A164="","",SUMIFS('출고대장'!$D$7:$D$1006,'출고대장'!$A$7:$A$1006,A164))</x:f>
      </x:c>
      <x:c r="H164" s="12" t="str">
        <x:f>IF(A164="","",F164-G164)</x:f>
      </x:c>
      <x:c r="I164" s="12" t="str">
        <x:f>IF(A164="","",SUMIFS('출고대장'!$K$7:$K$1006,'출고대장'!$A$7:$A$1006,A164))</x:f>
      </x:c>
      <x:c r="J164" s="12" t="str">
        <x:f>IF(A164="","",SUMIFS('입금대장'!$C$7:$C$1006,'입금대장'!$A$7:$A$1006,A164,'입금대장'!$E$7:$E$1006,"정상"))</x:f>
      </x:c>
      <x:c r="K164" s="12" t="str">
        <x:f>IF(A164="","",I164-J164)</x:f>
      </x:c>
      <x:c r="L164" s="13" t="str">
        <x:f>IF(A164="","",IF(K164&lt;0,"선입금·초과입금",IF(I164=0,"청구 전",IF(K164=0,"정산 완료",IF(J164=0,"미입금","부분 입금")))))</x:f>
      </x:c>
      <x:c r="M164" s="9"/>
      <x:c r="N164" s="9"/>
    </x:row>
    <x:row r="165" ht="23" customHeight="1">
      <x:c r="A165" s="9"/>
      <x:c r="B165" s="10"/>
      <x:c r="C165" s="9"/>
      <x:c r="D165" s="9"/>
      <x:c r="E165" s="9"/>
      <x:c r="F165" s="11"/>
      <x:c r="G165" s="12" t="str">
        <x:f>IF(A165="","",SUMIFS('출고대장'!$D$7:$D$1006,'출고대장'!$A$7:$A$1006,A165))</x:f>
      </x:c>
      <x:c r="H165" s="12" t="str">
        <x:f>IF(A165="","",F165-G165)</x:f>
      </x:c>
      <x:c r="I165" s="12" t="str">
        <x:f>IF(A165="","",SUMIFS('출고대장'!$K$7:$K$1006,'출고대장'!$A$7:$A$1006,A165))</x:f>
      </x:c>
      <x:c r="J165" s="12" t="str">
        <x:f>IF(A165="","",SUMIFS('입금대장'!$C$7:$C$1006,'입금대장'!$A$7:$A$1006,A165,'입금대장'!$E$7:$E$1006,"정상"))</x:f>
      </x:c>
      <x:c r="K165" s="12" t="str">
        <x:f>IF(A165="","",I165-J165)</x:f>
      </x:c>
      <x:c r="L165" s="13" t="str">
        <x:f>IF(A165="","",IF(K165&lt;0,"선입금·초과입금",IF(I165=0,"청구 전",IF(K165=0,"정산 완료",IF(J165=0,"미입금","부분 입금")))))</x:f>
      </x:c>
      <x:c r="M165" s="9"/>
      <x:c r="N165" s="9"/>
    </x:row>
    <x:row r="166" ht="23" customHeight="1">
      <x:c r="A166" s="9"/>
      <x:c r="B166" s="10"/>
      <x:c r="C166" s="9"/>
      <x:c r="D166" s="9"/>
      <x:c r="E166" s="9"/>
      <x:c r="F166" s="11"/>
      <x:c r="G166" s="12" t="str">
        <x:f>IF(A166="","",SUMIFS('출고대장'!$D$7:$D$1006,'출고대장'!$A$7:$A$1006,A166))</x:f>
      </x:c>
      <x:c r="H166" s="12" t="str">
        <x:f>IF(A166="","",F166-G166)</x:f>
      </x:c>
      <x:c r="I166" s="12" t="str">
        <x:f>IF(A166="","",SUMIFS('출고대장'!$K$7:$K$1006,'출고대장'!$A$7:$A$1006,A166))</x:f>
      </x:c>
      <x:c r="J166" s="12" t="str">
        <x:f>IF(A166="","",SUMIFS('입금대장'!$C$7:$C$1006,'입금대장'!$A$7:$A$1006,A166,'입금대장'!$E$7:$E$1006,"정상"))</x:f>
      </x:c>
      <x:c r="K166" s="12" t="str">
        <x:f>IF(A166="","",I166-J166)</x:f>
      </x:c>
      <x:c r="L166" s="13" t="str">
        <x:f>IF(A166="","",IF(K166&lt;0,"선입금·초과입금",IF(I166=0,"청구 전",IF(K166=0,"정산 완료",IF(J166=0,"미입금","부분 입금")))))</x:f>
      </x:c>
      <x:c r="M166" s="9"/>
      <x:c r="N166" s="9"/>
    </x:row>
    <x:row r="167" ht="23" customHeight="1">
      <x:c r="A167" s="9"/>
      <x:c r="B167" s="10"/>
      <x:c r="C167" s="9"/>
      <x:c r="D167" s="9"/>
      <x:c r="E167" s="9"/>
      <x:c r="F167" s="11"/>
      <x:c r="G167" s="12" t="str">
        <x:f>IF(A167="","",SUMIFS('출고대장'!$D$7:$D$1006,'출고대장'!$A$7:$A$1006,A167))</x:f>
      </x:c>
      <x:c r="H167" s="12" t="str">
        <x:f>IF(A167="","",F167-G167)</x:f>
      </x:c>
      <x:c r="I167" s="12" t="str">
        <x:f>IF(A167="","",SUMIFS('출고대장'!$K$7:$K$1006,'출고대장'!$A$7:$A$1006,A167))</x:f>
      </x:c>
      <x:c r="J167" s="12" t="str">
        <x:f>IF(A167="","",SUMIFS('입금대장'!$C$7:$C$1006,'입금대장'!$A$7:$A$1006,A167,'입금대장'!$E$7:$E$1006,"정상"))</x:f>
      </x:c>
      <x:c r="K167" s="12" t="str">
        <x:f>IF(A167="","",I167-J167)</x:f>
      </x:c>
      <x:c r="L167" s="13" t="str">
        <x:f>IF(A167="","",IF(K167&lt;0,"선입금·초과입금",IF(I167=0,"청구 전",IF(K167=0,"정산 완료",IF(J167=0,"미입금","부분 입금")))))</x:f>
      </x:c>
      <x:c r="M167" s="9"/>
      <x:c r="N167" s="9"/>
    </x:row>
    <x:row r="168" ht="23" customHeight="1">
      <x:c r="A168" s="9"/>
      <x:c r="B168" s="10"/>
      <x:c r="C168" s="9"/>
      <x:c r="D168" s="9"/>
      <x:c r="E168" s="9"/>
      <x:c r="F168" s="11"/>
      <x:c r="G168" s="12" t="str">
        <x:f>IF(A168="","",SUMIFS('출고대장'!$D$7:$D$1006,'출고대장'!$A$7:$A$1006,A168))</x:f>
      </x:c>
      <x:c r="H168" s="12" t="str">
        <x:f>IF(A168="","",F168-G168)</x:f>
      </x:c>
      <x:c r="I168" s="12" t="str">
        <x:f>IF(A168="","",SUMIFS('출고대장'!$K$7:$K$1006,'출고대장'!$A$7:$A$1006,A168))</x:f>
      </x:c>
      <x:c r="J168" s="12" t="str">
        <x:f>IF(A168="","",SUMIFS('입금대장'!$C$7:$C$1006,'입금대장'!$A$7:$A$1006,A168,'입금대장'!$E$7:$E$1006,"정상"))</x:f>
      </x:c>
      <x:c r="K168" s="12" t="str">
        <x:f>IF(A168="","",I168-J168)</x:f>
      </x:c>
      <x:c r="L168" s="13" t="str">
        <x:f>IF(A168="","",IF(K168&lt;0,"선입금·초과입금",IF(I168=0,"청구 전",IF(K168=0,"정산 완료",IF(J168=0,"미입금","부분 입금")))))</x:f>
      </x:c>
      <x:c r="M168" s="9"/>
      <x:c r="N168" s="9"/>
    </x:row>
    <x:row r="169" ht="23" customHeight="1">
      <x:c r="A169" s="9"/>
      <x:c r="B169" s="10"/>
      <x:c r="C169" s="9"/>
      <x:c r="D169" s="9"/>
      <x:c r="E169" s="9"/>
      <x:c r="F169" s="11"/>
      <x:c r="G169" s="12" t="str">
        <x:f>IF(A169="","",SUMIFS('출고대장'!$D$7:$D$1006,'출고대장'!$A$7:$A$1006,A169))</x:f>
      </x:c>
      <x:c r="H169" s="12" t="str">
        <x:f>IF(A169="","",F169-G169)</x:f>
      </x:c>
      <x:c r="I169" s="12" t="str">
        <x:f>IF(A169="","",SUMIFS('출고대장'!$K$7:$K$1006,'출고대장'!$A$7:$A$1006,A169))</x:f>
      </x:c>
      <x:c r="J169" s="12" t="str">
        <x:f>IF(A169="","",SUMIFS('입금대장'!$C$7:$C$1006,'입금대장'!$A$7:$A$1006,A169,'입금대장'!$E$7:$E$1006,"정상"))</x:f>
      </x:c>
      <x:c r="K169" s="12" t="str">
        <x:f>IF(A169="","",I169-J169)</x:f>
      </x:c>
      <x:c r="L169" s="13" t="str">
        <x:f>IF(A169="","",IF(K169&lt;0,"선입금·초과입금",IF(I169=0,"청구 전",IF(K169=0,"정산 완료",IF(J169=0,"미입금","부분 입금")))))</x:f>
      </x:c>
      <x:c r="M169" s="9"/>
      <x:c r="N169" s="9"/>
    </x:row>
    <x:row r="170" ht="23" customHeight="1">
      <x:c r="A170" s="9"/>
      <x:c r="B170" s="10"/>
      <x:c r="C170" s="9"/>
      <x:c r="D170" s="9"/>
      <x:c r="E170" s="9"/>
      <x:c r="F170" s="11"/>
      <x:c r="G170" s="12" t="str">
        <x:f>IF(A170="","",SUMIFS('출고대장'!$D$7:$D$1006,'출고대장'!$A$7:$A$1006,A170))</x:f>
      </x:c>
      <x:c r="H170" s="12" t="str">
        <x:f>IF(A170="","",F170-G170)</x:f>
      </x:c>
      <x:c r="I170" s="12" t="str">
        <x:f>IF(A170="","",SUMIFS('출고대장'!$K$7:$K$1006,'출고대장'!$A$7:$A$1006,A170))</x:f>
      </x:c>
      <x:c r="J170" s="12" t="str">
        <x:f>IF(A170="","",SUMIFS('입금대장'!$C$7:$C$1006,'입금대장'!$A$7:$A$1006,A170,'입금대장'!$E$7:$E$1006,"정상"))</x:f>
      </x:c>
      <x:c r="K170" s="12" t="str">
        <x:f>IF(A170="","",I170-J170)</x:f>
      </x:c>
      <x:c r="L170" s="13" t="str">
        <x:f>IF(A170="","",IF(K170&lt;0,"선입금·초과입금",IF(I170=0,"청구 전",IF(K170=0,"정산 완료",IF(J170=0,"미입금","부분 입금")))))</x:f>
      </x:c>
      <x:c r="M170" s="9"/>
      <x:c r="N170" s="9"/>
    </x:row>
    <x:row r="171" ht="23" customHeight="1">
      <x:c r="A171" s="9"/>
      <x:c r="B171" s="10"/>
      <x:c r="C171" s="9"/>
      <x:c r="D171" s="9"/>
      <x:c r="E171" s="9"/>
      <x:c r="F171" s="11"/>
      <x:c r="G171" s="12" t="str">
        <x:f>IF(A171="","",SUMIFS('출고대장'!$D$7:$D$1006,'출고대장'!$A$7:$A$1006,A171))</x:f>
      </x:c>
      <x:c r="H171" s="12" t="str">
        <x:f>IF(A171="","",F171-G171)</x:f>
      </x:c>
      <x:c r="I171" s="12" t="str">
        <x:f>IF(A171="","",SUMIFS('출고대장'!$K$7:$K$1006,'출고대장'!$A$7:$A$1006,A171))</x:f>
      </x:c>
      <x:c r="J171" s="12" t="str">
        <x:f>IF(A171="","",SUMIFS('입금대장'!$C$7:$C$1006,'입금대장'!$A$7:$A$1006,A171,'입금대장'!$E$7:$E$1006,"정상"))</x:f>
      </x:c>
      <x:c r="K171" s="12" t="str">
        <x:f>IF(A171="","",I171-J171)</x:f>
      </x:c>
      <x:c r="L171" s="13" t="str">
        <x:f>IF(A171="","",IF(K171&lt;0,"선입금·초과입금",IF(I171=0,"청구 전",IF(K171=0,"정산 완료",IF(J171=0,"미입금","부분 입금")))))</x:f>
      </x:c>
      <x:c r="M171" s="9"/>
      <x:c r="N171" s="9"/>
    </x:row>
    <x:row r="172" ht="23" customHeight="1">
      <x:c r="A172" s="9"/>
      <x:c r="B172" s="10"/>
      <x:c r="C172" s="9"/>
      <x:c r="D172" s="9"/>
      <x:c r="E172" s="9"/>
      <x:c r="F172" s="11"/>
      <x:c r="G172" s="12" t="str">
        <x:f>IF(A172="","",SUMIFS('출고대장'!$D$7:$D$1006,'출고대장'!$A$7:$A$1006,A172))</x:f>
      </x:c>
      <x:c r="H172" s="12" t="str">
        <x:f>IF(A172="","",F172-G172)</x:f>
      </x:c>
      <x:c r="I172" s="12" t="str">
        <x:f>IF(A172="","",SUMIFS('출고대장'!$K$7:$K$1006,'출고대장'!$A$7:$A$1006,A172))</x:f>
      </x:c>
      <x:c r="J172" s="12" t="str">
        <x:f>IF(A172="","",SUMIFS('입금대장'!$C$7:$C$1006,'입금대장'!$A$7:$A$1006,A172,'입금대장'!$E$7:$E$1006,"정상"))</x:f>
      </x:c>
      <x:c r="K172" s="12" t="str">
        <x:f>IF(A172="","",I172-J172)</x:f>
      </x:c>
      <x:c r="L172" s="13" t="str">
        <x:f>IF(A172="","",IF(K172&lt;0,"선입금·초과입금",IF(I172=0,"청구 전",IF(K172=0,"정산 완료",IF(J172=0,"미입금","부분 입금")))))</x:f>
      </x:c>
      <x:c r="M172" s="9"/>
      <x:c r="N172" s="9"/>
    </x:row>
    <x:row r="173" ht="23" customHeight="1">
      <x:c r="A173" s="9"/>
      <x:c r="B173" s="10"/>
      <x:c r="C173" s="9"/>
      <x:c r="D173" s="9"/>
      <x:c r="E173" s="9"/>
      <x:c r="F173" s="11"/>
      <x:c r="G173" s="12" t="str">
        <x:f>IF(A173="","",SUMIFS('출고대장'!$D$7:$D$1006,'출고대장'!$A$7:$A$1006,A173))</x:f>
      </x:c>
      <x:c r="H173" s="12" t="str">
        <x:f>IF(A173="","",F173-G173)</x:f>
      </x:c>
      <x:c r="I173" s="12" t="str">
        <x:f>IF(A173="","",SUMIFS('출고대장'!$K$7:$K$1006,'출고대장'!$A$7:$A$1006,A173))</x:f>
      </x:c>
      <x:c r="J173" s="12" t="str">
        <x:f>IF(A173="","",SUMIFS('입금대장'!$C$7:$C$1006,'입금대장'!$A$7:$A$1006,A173,'입금대장'!$E$7:$E$1006,"정상"))</x:f>
      </x:c>
      <x:c r="K173" s="12" t="str">
        <x:f>IF(A173="","",I173-J173)</x:f>
      </x:c>
      <x:c r="L173" s="13" t="str">
        <x:f>IF(A173="","",IF(K173&lt;0,"선입금·초과입금",IF(I173=0,"청구 전",IF(K173=0,"정산 완료",IF(J173=0,"미입금","부분 입금")))))</x:f>
      </x:c>
      <x:c r="M173" s="9"/>
      <x:c r="N173" s="9"/>
    </x:row>
    <x:row r="174" ht="23" customHeight="1">
      <x:c r="A174" s="9"/>
      <x:c r="B174" s="10"/>
      <x:c r="C174" s="9"/>
      <x:c r="D174" s="9"/>
      <x:c r="E174" s="9"/>
      <x:c r="F174" s="11"/>
      <x:c r="G174" s="12" t="str">
        <x:f>IF(A174="","",SUMIFS('출고대장'!$D$7:$D$1006,'출고대장'!$A$7:$A$1006,A174))</x:f>
      </x:c>
      <x:c r="H174" s="12" t="str">
        <x:f>IF(A174="","",F174-G174)</x:f>
      </x:c>
      <x:c r="I174" s="12" t="str">
        <x:f>IF(A174="","",SUMIFS('출고대장'!$K$7:$K$1006,'출고대장'!$A$7:$A$1006,A174))</x:f>
      </x:c>
      <x:c r="J174" s="12" t="str">
        <x:f>IF(A174="","",SUMIFS('입금대장'!$C$7:$C$1006,'입금대장'!$A$7:$A$1006,A174,'입금대장'!$E$7:$E$1006,"정상"))</x:f>
      </x:c>
      <x:c r="K174" s="12" t="str">
        <x:f>IF(A174="","",I174-J174)</x:f>
      </x:c>
      <x:c r="L174" s="13" t="str">
        <x:f>IF(A174="","",IF(K174&lt;0,"선입금·초과입금",IF(I174=0,"청구 전",IF(K174=0,"정산 완료",IF(J174=0,"미입금","부분 입금")))))</x:f>
      </x:c>
      <x:c r="M174" s="9"/>
      <x:c r="N174" s="9"/>
    </x:row>
    <x:row r="175" ht="23" customHeight="1">
      <x:c r="A175" s="9"/>
      <x:c r="B175" s="10"/>
      <x:c r="C175" s="9"/>
      <x:c r="D175" s="9"/>
      <x:c r="E175" s="9"/>
      <x:c r="F175" s="11"/>
      <x:c r="G175" s="12" t="str">
        <x:f>IF(A175="","",SUMIFS('출고대장'!$D$7:$D$1006,'출고대장'!$A$7:$A$1006,A175))</x:f>
      </x:c>
      <x:c r="H175" s="12" t="str">
        <x:f>IF(A175="","",F175-G175)</x:f>
      </x:c>
      <x:c r="I175" s="12" t="str">
        <x:f>IF(A175="","",SUMIFS('출고대장'!$K$7:$K$1006,'출고대장'!$A$7:$A$1006,A175))</x:f>
      </x:c>
      <x:c r="J175" s="12" t="str">
        <x:f>IF(A175="","",SUMIFS('입금대장'!$C$7:$C$1006,'입금대장'!$A$7:$A$1006,A175,'입금대장'!$E$7:$E$1006,"정상"))</x:f>
      </x:c>
      <x:c r="K175" s="12" t="str">
        <x:f>IF(A175="","",I175-J175)</x:f>
      </x:c>
      <x:c r="L175" s="13" t="str">
        <x:f>IF(A175="","",IF(K175&lt;0,"선입금·초과입금",IF(I175=0,"청구 전",IF(K175=0,"정산 완료",IF(J175=0,"미입금","부분 입금")))))</x:f>
      </x:c>
      <x:c r="M175" s="9"/>
      <x:c r="N175" s="9"/>
    </x:row>
    <x:row r="176" ht="23" customHeight="1">
      <x:c r="A176" s="9"/>
      <x:c r="B176" s="10"/>
      <x:c r="C176" s="9"/>
      <x:c r="D176" s="9"/>
      <x:c r="E176" s="9"/>
      <x:c r="F176" s="11"/>
      <x:c r="G176" s="12" t="str">
        <x:f>IF(A176="","",SUMIFS('출고대장'!$D$7:$D$1006,'출고대장'!$A$7:$A$1006,A176))</x:f>
      </x:c>
      <x:c r="H176" s="12" t="str">
        <x:f>IF(A176="","",F176-G176)</x:f>
      </x:c>
      <x:c r="I176" s="12" t="str">
        <x:f>IF(A176="","",SUMIFS('출고대장'!$K$7:$K$1006,'출고대장'!$A$7:$A$1006,A176))</x:f>
      </x:c>
      <x:c r="J176" s="12" t="str">
        <x:f>IF(A176="","",SUMIFS('입금대장'!$C$7:$C$1006,'입금대장'!$A$7:$A$1006,A176,'입금대장'!$E$7:$E$1006,"정상"))</x:f>
      </x:c>
      <x:c r="K176" s="12" t="str">
        <x:f>IF(A176="","",I176-J176)</x:f>
      </x:c>
      <x:c r="L176" s="13" t="str">
        <x:f>IF(A176="","",IF(K176&lt;0,"선입금·초과입금",IF(I176=0,"청구 전",IF(K176=0,"정산 완료",IF(J176=0,"미입금","부분 입금")))))</x:f>
      </x:c>
      <x:c r="M176" s="9"/>
      <x:c r="N176" s="9"/>
    </x:row>
    <x:row r="177" ht="23" customHeight="1">
      <x:c r="A177" s="9"/>
      <x:c r="B177" s="10"/>
      <x:c r="C177" s="9"/>
      <x:c r="D177" s="9"/>
      <x:c r="E177" s="9"/>
      <x:c r="F177" s="11"/>
      <x:c r="G177" s="12" t="str">
        <x:f>IF(A177="","",SUMIFS('출고대장'!$D$7:$D$1006,'출고대장'!$A$7:$A$1006,A177))</x:f>
      </x:c>
      <x:c r="H177" s="12" t="str">
        <x:f>IF(A177="","",F177-G177)</x:f>
      </x:c>
      <x:c r="I177" s="12" t="str">
        <x:f>IF(A177="","",SUMIFS('출고대장'!$K$7:$K$1006,'출고대장'!$A$7:$A$1006,A177))</x:f>
      </x:c>
      <x:c r="J177" s="12" t="str">
        <x:f>IF(A177="","",SUMIFS('입금대장'!$C$7:$C$1006,'입금대장'!$A$7:$A$1006,A177,'입금대장'!$E$7:$E$1006,"정상"))</x:f>
      </x:c>
      <x:c r="K177" s="12" t="str">
        <x:f>IF(A177="","",I177-J177)</x:f>
      </x:c>
      <x:c r="L177" s="13" t="str">
        <x:f>IF(A177="","",IF(K177&lt;0,"선입금·초과입금",IF(I177=0,"청구 전",IF(K177=0,"정산 완료",IF(J177=0,"미입금","부분 입금")))))</x:f>
      </x:c>
      <x:c r="M177" s="9"/>
      <x:c r="N177" s="9"/>
    </x:row>
    <x:row r="178" ht="23" customHeight="1">
      <x:c r="A178" s="9"/>
      <x:c r="B178" s="10"/>
      <x:c r="C178" s="9"/>
      <x:c r="D178" s="9"/>
      <x:c r="E178" s="9"/>
      <x:c r="F178" s="11"/>
      <x:c r="G178" s="12" t="str">
        <x:f>IF(A178="","",SUMIFS('출고대장'!$D$7:$D$1006,'출고대장'!$A$7:$A$1006,A178))</x:f>
      </x:c>
      <x:c r="H178" s="12" t="str">
        <x:f>IF(A178="","",F178-G178)</x:f>
      </x:c>
      <x:c r="I178" s="12" t="str">
        <x:f>IF(A178="","",SUMIFS('출고대장'!$K$7:$K$1006,'출고대장'!$A$7:$A$1006,A178))</x:f>
      </x:c>
      <x:c r="J178" s="12" t="str">
        <x:f>IF(A178="","",SUMIFS('입금대장'!$C$7:$C$1006,'입금대장'!$A$7:$A$1006,A178,'입금대장'!$E$7:$E$1006,"정상"))</x:f>
      </x:c>
      <x:c r="K178" s="12" t="str">
        <x:f>IF(A178="","",I178-J178)</x:f>
      </x:c>
      <x:c r="L178" s="13" t="str">
        <x:f>IF(A178="","",IF(K178&lt;0,"선입금·초과입금",IF(I178=0,"청구 전",IF(K178=0,"정산 완료",IF(J178=0,"미입금","부분 입금")))))</x:f>
      </x:c>
      <x:c r="M178" s="9"/>
      <x:c r="N178" s="9"/>
    </x:row>
    <x:row r="179" ht="23" customHeight="1">
      <x:c r="A179" s="9"/>
      <x:c r="B179" s="10"/>
      <x:c r="C179" s="9"/>
      <x:c r="D179" s="9"/>
      <x:c r="E179" s="9"/>
      <x:c r="F179" s="11"/>
      <x:c r="G179" s="12" t="str">
        <x:f>IF(A179="","",SUMIFS('출고대장'!$D$7:$D$1006,'출고대장'!$A$7:$A$1006,A179))</x:f>
      </x:c>
      <x:c r="H179" s="12" t="str">
        <x:f>IF(A179="","",F179-G179)</x:f>
      </x:c>
      <x:c r="I179" s="12" t="str">
        <x:f>IF(A179="","",SUMIFS('출고대장'!$K$7:$K$1006,'출고대장'!$A$7:$A$1006,A179))</x:f>
      </x:c>
      <x:c r="J179" s="12" t="str">
        <x:f>IF(A179="","",SUMIFS('입금대장'!$C$7:$C$1006,'입금대장'!$A$7:$A$1006,A179,'입금대장'!$E$7:$E$1006,"정상"))</x:f>
      </x:c>
      <x:c r="K179" s="12" t="str">
        <x:f>IF(A179="","",I179-J179)</x:f>
      </x:c>
      <x:c r="L179" s="13" t="str">
        <x:f>IF(A179="","",IF(K179&lt;0,"선입금·초과입금",IF(I179=0,"청구 전",IF(K179=0,"정산 완료",IF(J179=0,"미입금","부분 입금")))))</x:f>
      </x:c>
      <x:c r="M179" s="9"/>
      <x:c r="N179" s="9"/>
    </x:row>
    <x:row r="180" ht="23" customHeight="1">
      <x:c r="A180" s="9"/>
      <x:c r="B180" s="10"/>
      <x:c r="C180" s="9"/>
      <x:c r="D180" s="9"/>
      <x:c r="E180" s="9"/>
      <x:c r="F180" s="11"/>
      <x:c r="G180" s="12" t="str">
        <x:f>IF(A180="","",SUMIFS('출고대장'!$D$7:$D$1006,'출고대장'!$A$7:$A$1006,A180))</x:f>
      </x:c>
      <x:c r="H180" s="12" t="str">
        <x:f>IF(A180="","",F180-G180)</x:f>
      </x:c>
      <x:c r="I180" s="12" t="str">
        <x:f>IF(A180="","",SUMIFS('출고대장'!$K$7:$K$1006,'출고대장'!$A$7:$A$1006,A180))</x:f>
      </x:c>
      <x:c r="J180" s="12" t="str">
        <x:f>IF(A180="","",SUMIFS('입금대장'!$C$7:$C$1006,'입금대장'!$A$7:$A$1006,A180,'입금대장'!$E$7:$E$1006,"정상"))</x:f>
      </x:c>
      <x:c r="K180" s="12" t="str">
        <x:f>IF(A180="","",I180-J180)</x:f>
      </x:c>
      <x:c r="L180" s="13" t="str">
        <x:f>IF(A180="","",IF(K180&lt;0,"선입금·초과입금",IF(I180=0,"청구 전",IF(K180=0,"정산 완료",IF(J180=0,"미입금","부분 입금")))))</x:f>
      </x:c>
      <x:c r="M180" s="9"/>
      <x:c r="N180" s="9"/>
    </x:row>
    <x:row r="181" ht="23" customHeight="1">
      <x:c r="A181" s="9"/>
      <x:c r="B181" s="10"/>
      <x:c r="C181" s="9"/>
      <x:c r="D181" s="9"/>
      <x:c r="E181" s="9"/>
      <x:c r="F181" s="11"/>
      <x:c r="G181" s="12" t="str">
        <x:f>IF(A181="","",SUMIFS('출고대장'!$D$7:$D$1006,'출고대장'!$A$7:$A$1006,A181))</x:f>
      </x:c>
      <x:c r="H181" s="12" t="str">
        <x:f>IF(A181="","",F181-G181)</x:f>
      </x:c>
      <x:c r="I181" s="12" t="str">
        <x:f>IF(A181="","",SUMIFS('출고대장'!$K$7:$K$1006,'출고대장'!$A$7:$A$1006,A181))</x:f>
      </x:c>
      <x:c r="J181" s="12" t="str">
        <x:f>IF(A181="","",SUMIFS('입금대장'!$C$7:$C$1006,'입금대장'!$A$7:$A$1006,A181,'입금대장'!$E$7:$E$1006,"정상"))</x:f>
      </x:c>
      <x:c r="K181" s="12" t="str">
        <x:f>IF(A181="","",I181-J181)</x:f>
      </x:c>
      <x:c r="L181" s="13" t="str">
        <x:f>IF(A181="","",IF(K181&lt;0,"선입금·초과입금",IF(I181=0,"청구 전",IF(K181=0,"정산 완료",IF(J181=0,"미입금","부분 입금")))))</x:f>
      </x:c>
      <x:c r="M181" s="9"/>
      <x:c r="N181" s="9"/>
    </x:row>
    <x:row r="182" ht="23" customHeight="1">
      <x:c r="A182" s="9"/>
      <x:c r="B182" s="10"/>
      <x:c r="C182" s="9"/>
      <x:c r="D182" s="9"/>
      <x:c r="E182" s="9"/>
      <x:c r="F182" s="11"/>
      <x:c r="G182" s="12" t="str">
        <x:f>IF(A182="","",SUMIFS('출고대장'!$D$7:$D$1006,'출고대장'!$A$7:$A$1006,A182))</x:f>
      </x:c>
      <x:c r="H182" s="12" t="str">
        <x:f>IF(A182="","",F182-G182)</x:f>
      </x:c>
      <x:c r="I182" s="12" t="str">
        <x:f>IF(A182="","",SUMIFS('출고대장'!$K$7:$K$1006,'출고대장'!$A$7:$A$1006,A182))</x:f>
      </x:c>
      <x:c r="J182" s="12" t="str">
        <x:f>IF(A182="","",SUMIFS('입금대장'!$C$7:$C$1006,'입금대장'!$A$7:$A$1006,A182,'입금대장'!$E$7:$E$1006,"정상"))</x:f>
      </x:c>
      <x:c r="K182" s="12" t="str">
        <x:f>IF(A182="","",I182-J182)</x:f>
      </x:c>
      <x:c r="L182" s="13" t="str">
        <x:f>IF(A182="","",IF(K182&lt;0,"선입금·초과입금",IF(I182=0,"청구 전",IF(K182=0,"정산 완료",IF(J182=0,"미입금","부분 입금")))))</x:f>
      </x:c>
      <x:c r="M182" s="9"/>
      <x:c r="N182" s="9"/>
    </x:row>
    <x:row r="183" ht="23" customHeight="1">
      <x:c r="A183" s="9"/>
      <x:c r="B183" s="10"/>
      <x:c r="C183" s="9"/>
      <x:c r="D183" s="9"/>
      <x:c r="E183" s="9"/>
      <x:c r="F183" s="11"/>
      <x:c r="G183" s="12" t="str">
        <x:f>IF(A183="","",SUMIFS('출고대장'!$D$7:$D$1006,'출고대장'!$A$7:$A$1006,A183))</x:f>
      </x:c>
      <x:c r="H183" s="12" t="str">
        <x:f>IF(A183="","",F183-G183)</x:f>
      </x:c>
      <x:c r="I183" s="12" t="str">
        <x:f>IF(A183="","",SUMIFS('출고대장'!$K$7:$K$1006,'출고대장'!$A$7:$A$1006,A183))</x:f>
      </x:c>
      <x:c r="J183" s="12" t="str">
        <x:f>IF(A183="","",SUMIFS('입금대장'!$C$7:$C$1006,'입금대장'!$A$7:$A$1006,A183,'입금대장'!$E$7:$E$1006,"정상"))</x:f>
      </x:c>
      <x:c r="K183" s="12" t="str">
        <x:f>IF(A183="","",I183-J183)</x:f>
      </x:c>
      <x:c r="L183" s="13" t="str">
        <x:f>IF(A183="","",IF(K183&lt;0,"선입금·초과입금",IF(I183=0,"청구 전",IF(K183=0,"정산 완료",IF(J183=0,"미입금","부분 입금")))))</x:f>
      </x:c>
      <x:c r="M183" s="9"/>
      <x:c r="N183" s="9"/>
    </x:row>
    <x:row r="184" ht="23" customHeight="1">
      <x:c r="A184" s="9"/>
      <x:c r="B184" s="10"/>
      <x:c r="C184" s="9"/>
      <x:c r="D184" s="9"/>
      <x:c r="E184" s="9"/>
      <x:c r="F184" s="11"/>
      <x:c r="G184" s="12" t="str">
        <x:f>IF(A184="","",SUMIFS('출고대장'!$D$7:$D$1006,'출고대장'!$A$7:$A$1006,A184))</x:f>
      </x:c>
      <x:c r="H184" s="12" t="str">
        <x:f>IF(A184="","",F184-G184)</x:f>
      </x:c>
      <x:c r="I184" s="12" t="str">
        <x:f>IF(A184="","",SUMIFS('출고대장'!$K$7:$K$1006,'출고대장'!$A$7:$A$1006,A184))</x:f>
      </x:c>
      <x:c r="J184" s="12" t="str">
        <x:f>IF(A184="","",SUMIFS('입금대장'!$C$7:$C$1006,'입금대장'!$A$7:$A$1006,A184,'입금대장'!$E$7:$E$1006,"정상"))</x:f>
      </x:c>
      <x:c r="K184" s="12" t="str">
        <x:f>IF(A184="","",I184-J184)</x:f>
      </x:c>
      <x:c r="L184" s="13" t="str">
        <x:f>IF(A184="","",IF(K184&lt;0,"선입금·초과입금",IF(I184=0,"청구 전",IF(K184=0,"정산 완료",IF(J184=0,"미입금","부분 입금")))))</x:f>
      </x:c>
      <x:c r="M184" s="9"/>
      <x:c r="N184" s="9"/>
    </x:row>
    <x:row r="185" ht="23" customHeight="1">
      <x:c r="A185" s="9"/>
      <x:c r="B185" s="10"/>
      <x:c r="C185" s="9"/>
      <x:c r="D185" s="9"/>
      <x:c r="E185" s="9"/>
      <x:c r="F185" s="11"/>
      <x:c r="G185" s="12" t="str">
        <x:f>IF(A185="","",SUMIFS('출고대장'!$D$7:$D$1006,'출고대장'!$A$7:$A$1006,A185))</x:f>
      </x:c>
      <x:c r="H185" s="12" t="str">
        <x:f>IF(A185="","",F185-G185)</x:f>
      </x:c>
      <x:c r="I185" s="12" t="str">
        <x:f>IF(A185="","",SUMIFS('출고대장'!$K$7:$K$1006,'출고대장'!$A$7:$A$1006,A185))</x:f>
      </x:c>
      <x:c r="J185" s="12" t="str">
        <x:f>IF(A185="","",SUMIFS('입금대장'!$C$7:$C$1006,'입금대장'!$A$7:$A$1006,A185,'입금대장'!$E$7:$E$1006,"정상"))</x:f>
      </x:c>
      <x:c r="K185" s="12" t="str">
        <x:f>IF(A185="","",I185-J185)</x:f>
      </x:c>
      <x:c r="L185" s="13" t="str">
        <x:f>IF(A185="","",IF(K185&lt;0,"선입금·초과입금",IF(I185=0,"청구 전",IF(K185=0,"정산 완료",IF(J185=0,"미입금","부분 입금")))))</x:f>
      </x:c>
      <x:c r="M185" s="9"/>
      <x:c r="N185" s="9"/>
    </x:row>
    <x:row r="186" ht="23" customHeight="1">
      <x:c r="A186" s="9"/>
      <x:c r="B186" s="10"/>
      <x:c r="C186" s="9"/>
      <x:c r="D186" s="9"/>
      <x:c r="E186" s="9"/>
      <x:c r="F186" s="11"/>
      <x:c r="G186" s="12" t="str">
        <x:f>IF(A186="","",SUMIFS('출고대장'!$D$7:$D$1006,'출고대장'!$A$7:$A$1006,A186))</x:f>
      </x:c>
      <x:c r="H186" s="12" t="str">
        <x:f>IF(A186="","",F186-G186)</x:f>
      </x:c>
      <x:c r="I186" s="12" t="str">
        <x:f>IF(A186="","",SUMIFS('출고대장'!$K$7:$K$1006,'출고대장'!$A$7:$A$1006,A186))</x:f>
      </x:c>
      <x:c r="J186" s="12" t="str">
        <x:f>IF(A186="","",SUMIFS('입금대장'!$C$7:$C$1006,'입금대장'!$A$7:$A$1006,A186,'입금대장'!$E$7:$E$1006,"정상"))</x:f>
      </x:c>
      <x:c r="K186" s="12" t="str">
        <x:f>IF(A186="","",I186-J186)</x:f>
      </x:c>
      <x:c r="L186" s="13" t="str">
        <x:f>IF(A186="","",IF(K186&lt;0,"선입금·초과입금",IF(I186=0,"청구 전",IF(K186=0,"정산 완료",IF(J186=0,"미입금","부분 입금")))))</x:f>
      </x:c>
      <x:c r="M186" s="9"/>
      <x:c r="N186" s="9"/>
    </x:row>
    <x:row r="187" ht="23" customHeight="1">
      <x:c r="A187" s="9"/>
      <x:c r="B187" s="10"/>
      <x:c r="C187" s="9"/>
      <x:c r="D187" s="9"/>
      <x:c r="E187" s="9"/>
      <x:c r="F187" s="11"/>
      <x:c r="G187" s="12" t="str">
        <x:f>IF(A187="","",SUMIFS('출고대장'!$D$7:$D$1006,'출고대장'!$A$7:$A$1006,A187))</x:f>
      </x:c>
      <x:c r="H187" s="12" t="str">
        <x:f>IF(A187="","",F187-G187)</x:f>
      </x:c>
      <x:c r="I187" s="12" t="str">
        <x:f>IF(A187="","",SUMIFS('출고대장'!$K$7:$K$1006,'출고대장'!$A$7:$A$1006,A187))</x:f>
      </x:c>
      <x:c r="J187" s="12" t="str">
        <x:f>IF(A187="","",SUMIFS('입금대장'!$C$7:$C$1006,'입금대장'!$A$7:$A$1006,A187,'입금대장'!$E$7:$E$1006,"정상"))</x:f>
      </x:c>
      <x:c r="K187" s="12" t="str">
        <x:f>IF(A187="","",I187-J187)</x:f>
      </x:c>
      <x:c r="L187" s="13" t="str">
        <x:f>IF(A187="","",IF(K187&lt;0,"선입금·초과입금",IF(I187=0,"청구 전",IF(K187=0,"정산 완료",IF(J187=0,"미입금","부분 입금")))))</x:f>
      </x:c>
      <x:c r="M187" s="9"/>
      <x:c r="N187" s="9"/>
    </x:row>
    <x:row r="188" ht="23" customHeight="1">
      <x:c r="A188" s="9"/>
      <x:c r="B188" s="10"/>
      <x:c r="C188" s="9"/>
      <x:c r="D188" s="9"/>
      <x:c r="E188" s="9"/>
      <x:c r="F188" s="11"/>
      <x:c r="G188" s="12" t="str">
        <x:f>IF(A188="","",SUMIFS('출고대장'!$D$7:$D$1006,'출고대장'!$A$7:$A$1006,A188))</x:f>
      </x:c>
      <x:c r="H188" s="12" t="str">
        <x:f>IF(A188="","",F188-G188)</x:f>
      </x:c>
      <x:c r="I188" s="12" t="str">
        <x:f>IF(A188="","",SUMIFS('출고대장'!$K$7:$K$1006,'출고대장'!$A$7:$A$1006,A188))</x:f>
      </x:c>
      <x:c r="J188" s="12" t="str">
        <x:f>IF(A188="","",SUMIFS('입금대장'!$C$7:$C$1006,'입금대장'!$A$7:$A$1006,A188,'입금대장'!$E$7:$E$1006,"정상"))</x:f>
      </x:c>
      <x:c r="K188" s="12" t="str">
        <x:f>IF(A188="","",I188-J188)</x:f>
      </x:c>
      <x:c r="L188" s="13" t="str">
        <x:f>IF(A188="","",IF(K188&lt;0,"선입금·초과입금",IF(I188=0,"청구 전",IF(K188=0,"정산 완료",IF(J188=0,"미입금","부분 입금")))))</x:f>
      </x:c>
      <x:c r="M188" s="9"/>
      <x:c r="N188" s="9"/>
    </x:row>
    <x:row r="189" ht="23" customHeight="1">
      <x:c r="A189" s="9"/>
      <x:c r="B189" s="10"/>
      <x:c r="C189" s="9"/>
      <x:c r="D189" s="9"/>
      <x:c r="E189" s="9"/>
      <x:c r="F189" s="11"/>
      <x:c r="G189" s="12" t="str">
        <x:f>IF(A189="","",SUMIFS('출고대장'!$D$7:$D$1006,'출고대장'!$A$7:$A$1006,A189))</x:f>
      </x:c>
      <x:c r="H189" s="12" t="str">
        <x:f>IF(A189="","",F189-G189)</x:f>
      </x:c>
      <x:c r="I189" s="12" t="str">
        <x:f>IF(A189="","",SUMIFS('출고대장'!$K$7:$K$1006,'출고대장'!$A$7:$A$1006,A189))</x:f>
      </x:c>
      <x:c r="J189" s="12" t="str">
        <x:f>IF(A189="","",SUMIFS('입금대장'!$C$7:$C$1006,'입금대장'!$A$7:$A$1006,A189,'입금대장'!$E$7:$E$1006,"정상"))</x:f>
      </x:c>
      <x:c r="K189" s="12" t="str">
        <x:f>IF(A189="","",I189-J189)</x:f>
      </x:c>
      <x:c r="L189" s="13" t="str">
        <x:f>IF(A189="","",IF(K189&lt;0,"선입금·초과입금",IF(I189=0,"청구 전",IF(K189=0,"정산 완료",IF(J189=0,"미입금","부분 입금")))))</x:f>
      </x:c>
      <x:c r="M189" s="9"/>
      <x:c r="N189" s="9"/>
    </x:row>
    <x:row r="190" ht="23" customHeight="1">
      <x:c r="A190" s="9"/>
      <x:c r="B190" s="10"/>
      <x:c r="C190" s="9"/>
      <x:c r="D190" s="9"/>
      <x:c r="E190" s="9"/>
      <x:c r="F190" s="11"/>
      <x:c r="G190" s="12" t="str">
        <x:f>IF(A190="","",SUMIFS('출고대장'!$D$7:$D$1006,'출고대장'!$A$7:$A$1006,A190))</x:f>
      </x:c>
      <x:c r="H190" s="12" t="str">
        <x:f>IF(A190="","",F190-G190)</x:f>
      </x:c>
      <x:c r="I190" s="12" t="str">
        <x:f>IF(A190="","",SUMIFS('출고대장'!$K$7:$K$1006,'출고대장'!$A$7:$A$1006,A190))</x:f>
      </x:c>
      <x:c r="J190" s="12" t="str">
        <x:f>IF(A190="","",SUMIFS('입금대장'!$C$7:$C$1006,'입금대장'!$A$7:$A$1006,A190,'입금대장'!$E$7:$E$1006,"정상"))</x:f>
      </x:c>
      <x:c r="K190" s="12" t="str">
        <x:f>IF(A190="","",I190-J190)</x:f>
      </x:c>
      <x:c r="L190" s="13" t="str">
        <x:f>IF(A190="","",IF(K190&lt;0,"선입금·초과입금",IF(I190=0,"청구 전",IF(K190=0,"정산 완료",IF(J190=0,"미입금","부분 입금")))))</x:f>
      </x:c>
      <x:c r="M190" s="9"/>
      <x:c r="N190" s="9"/>
    </x:row>
    <x:row r="191" ht="23" customHeight="1">
      <x:c r="A191" s="9"/>
      <x:c r="B191" s="10"/>
      <x:c r="C191" s="9"/>
      <x:c r="D191" s="9"/>
      <x:c r="E191" s="9"/>
      <x:c r="F191" s="11"/>
      <x:c r="G191" s="12" t="str">
        <x:f>IF(A191="","",SUMIFS('출고대장'!$D$7:$D$1006,'출고대장'!$A$7:$A$1006,A191))</x:f>
      </x:c>
      <x:c r="H191" s="12" t="str">
        <x:f>IF(A191="","",F191-G191)</x:f>
      </x:c>
      <x:c r="I191" s="12" t="str">
        <x:f>IF(A191="","",SUMIFS('출고대장'!$K$7:$K$1006,'출고대장'!$A$7:$A$1006,A191))</x:f>
      </x:c>
      <x:c r="J191" s="12" t="str">
        <x:f>IF(A191="","",SUMIFS('입금대장'!$C$7:$C$1006,'입금대장'!$A$7:$A$1006,A191,'입금대장'!$E$7:$E$1006,"정상"))</x:f>
      </x:c>
      <x:c r="K191" s="12" t="str">
        <x:f>IF(A191="","",I191-J191)</x:f>
      </x:c>
      <x:c r="L191" s="13" t="str">
        <x:f>IF(A191="","",IF(K191&lt;0,"선입금·초과입금",IF(I191=0,"청구 전",IF(K191=0,"정산 완료",IF(J191=0,"미입금","부분 입금")))))</x:f>
      </x:c>
      <x:c r="M191" s="9"/>
      <x:c r="N191" s="9"/>
    </x:row>
    <x:row r="192" ht="23" customHeight="1">
      <x:c r="A192" s="9"/>
      <x:c r="B192" s="10"/>
      <x:c r="C192" s="9"/>
      <x:c r="D192" s="9"/>
      <x:c r="E192" s="9"/>
      <x:c r="F192" s="11"/>
      <x:c r="G192" s="12" t="str">
        <x:f>IF(A192="","",SUMIFS('출고대장'!$D$7:$D$1006,'출고대장'!$A$7:$A$1006,A192))</x:f>
      </x:c>
      <x:c r="H192" s="12" t="str">
        <x:f>IF(A192="","",F192-G192)</x:f>
      </x:c>
      <x:c r="I192" s="12" t="str">
        <x:f>IF(A192="","",SUMIFS('출고대장'!$K$7:$K$1006,'출고대장'!$A$7:$A$1006,A192))</x:f>
      </x:c>
      <x:c r="J192" s="12" t="str">
        <x:f>IF(A192="","",SUMIFS('입금대장'!$C$7:$C$1006,'입금대장'!$A$7:$A$1006,A192,'입금대장'!$E$7:$E$1006,"정상"))</x:f>
      </x:c>
      <x:c r="K192" s="12" t="str">
        <x:f>IF(A192="","",I192-J192)</x:f>
      </x:c>
      <x:c r="L192" s="13" t="str">
        <x:f>IF(A192="","",IF(K192&lt;0,"선입금·초과입금",IF(I192=0,"청구 전",IF(K192=0,"정산 완료",IF(J192=0,"미입금","부분 입금")))))</x:f>
      </x:c>
      <x:c r="M192" s="9"/>
      <x:c r="N192" s="9"/>
    </x:row>
    <x:row r="193" ht="23" customHeight="1">
      <x:c r="A193" s="9"/>
      <x:c r="B193" s="10"/>
      <x:c r="C193" s="9"/>
      <x:c r="D193" s="9"/>
      <x:c r="E193" s="9"/>
      <x:c r="F193" s="11"/>
      <x:c r="G193" s="12" t="str">
        <x:f>IF(A193="","",SUMIFS('출고대장'!$D$7:$D$1006,'출고대장'!$A$7:$A$1006,A193))</x:f>
      </x:c>
      <x:c r="H193" s="12" t="str">
        <x:f>IF(A193="","",F193-G193)</x:f>
      </x:c>
      <x:c r="I193" s="12" t="str">
        <x:f>IF(A193="","",SUMIFS('출고대장'!$K$7:$K$1006,'출고대장'!$A$7:$A$1006,A193))</x:f>
      </x:c>
      <x:c r="J193" s="12" t="str">
        <x:f>IF(A193="","",SUMIFS('입금대장'!$C$7:$C$1006,'입금대장'!$A$7:$A$1006,A193,'입금대장'!$E$7:$E$1006,"정상"))</x:f>
      </x:c>
      <x:c r="K193" s="12" t="str">
        <x:f>IF(A193="","",I193-J193)</x:f>
      </x:c>
      <x:c r="L193" s="13" t="str">
        <x:f>IF(A193="","",IF(K193&lt;0,"선입금·초과입금",IF(I193=0,"청구 전",IF(K193=0,"정산 완료",IF(J193=0,"미입금","부분 입금")))))</x:f>
      </x:c>
      <x:c r="M193" s="9"/>
      <x:c r="N193" s="9"/>
    </x:row>
    <x:row r="194" ht="23" customHeight="1">
      <x:c r="A194" s="9"/>
      <x:c r="B194" s="10"/>
      <x:c r="C194" s="9"/>
      <x:c r="D194" s="9"/>
      <x:c r="E194" s="9"/>
      <x:c r="F194" s="11"/>
      <x:c r="G194" s="12" t="str">
        <x:f>IF(A194="","",SUMIFS('출고대장'!$D$7:$D$1006,'출고대장'!$A$7:$A$1006,A194))</x:f>
      </x:c>
      <x:c r="H194" s="12" t="str">
        <x:f>IF(A194="","",F194-G194)</x:f>
      </x:c>
      <x:c r="I194" s="12" t="str">
        <x:f>IF(A194="","",SUMIFS('출고대장'!$K$7:$K$1006,'출고대장'!$A$7:$A$1006,A194))</x:f>
      </x:c>
      <x:c r="J194" s="12" t="str">
        <x:f>IF(A194="","",SUMIFS('입금대장'!$C$7:$C$1006,'입금대장'!$A$7:$A$1006,A194,'입금대장'!$E$7:$E$1006,"정상"))</x:f>
      </x:c>
      <x:c r="K194" s="12" t="str">
        <x:f>IF(A194="","",I194-J194)</x:f>
      </x:c>
      <x:c r="L194" s="13" t="str">
        <x:f>IF(A194="","",IF(K194&lt;0,"선입금·초과입금",IF(I194=0,"청구 전",IF(K194=0,"정산 완료",IF(J194=0,"미입금","부분 입금")))))</x:f>
      </x:c>
      <x:c r="M194" s="9"/>
      <x:c r="N194" s="9"/>
    </x:row>
    <x:row r="195" ht="23" customHeight="1">
      <x:c r="A195" s="9"/>
      <x:c r="B195" s="10"/>
      <x:c r="C195" s="9"/>
      <x:c r="D195" s="9"/>
      <x:c r="E195" s="9"/>
      <x:c r="F195" s="11"/>
      <x:c r="G195" s="12" t="str">
        <x:f>IF(A195="","",SUMIFS('출고대장'!$D$7:$D$1006,'출고대장'!$A$7:$A$1006,A195))</x:f>
      </x:c>
      <x:c r="H195" s="12" t="str">
        <x:f>IF(A195="","",F195-G195)</x:f>
      </x:c>
      <x:c r="I195" s="12" t="str">
        <x:f>IF(A195="","",SUMIFS('출고대장'!$K$7:$K$1006,'출고대장'!$A$7:$A$1006,A195))</x:f>
      </x:c>
      <x:c r="J195" s="12" t="str">
        <x:f>IF(A195="","",SUMIFS('입금대장'!$C$7:$C$1006,'입금대장'!$A$7:$A$1006,A195,'입금대장'!$E$7:$E$1006,"정상"))</x:f>
      </x:c>
      <x:c r="K195" s="12" t="str">
        <x:f>IF(A195="","",I195-J195)</x:f>
      </x:c>
      <x:c r="L195" s="13" t="str">
        <x:f>IF(A195="","",IF(K195&lt;0,"선입금·초과입금",IF(I195=0,"청구 전",IF(K195=0,"정산 완료",IF(J195=0,"미입금","부분 입금")))))</x:f>
      </x:c>
      <x:c r="M195" s="9"/>
      <x:c r="N195" s="9"/>
    </x:row>
    <x:row r="196" ht="23" customHeight="1">
      <x:c r="A196" s="9"/>
      <x:c r="B196" s="10"/>
      <x:c r="C196" s="9"/>
      <x:c r="D196" s="9"/>
      <x:c r="E196" s="9"/>
      <x:c r="F196" s="11"/>
      <x:c r="G196" s="12" t="str">
        <x:f>IF(A196="","",SUMIFS('출고대장'!$D$7:$D$1006,'출고대장'!$A$7:$A$1006,A196))</x:f>
      </x:c>
      <x:c r="H196" s="12" t="str">
        <x:f>IF(A196="","",F196-G196)</x:f>
      </x:c>
      <x:c r="I196" s="12" t="str">
        <x:f>IF(A196="","",SUMIFS('출고대장'!$K$7:$K$1006,'출고대장'!$A$7:$A$1006,A196))</x:f>
      </x:c>
      <x:c r="J196" s="12" t="str">
        <x:f>IF(A196="","",SUMIFS('입금대장'!$C$7:$C$1006,'입금대장'!$A$7:$A$1006,A196,'입금대장'!$E$7:$E$1006,"정상"))</x:f>
      </x:c>
      <x:c r="K196" s="12" t="str">
        <x:f>IF(A196="","",I196-J196)</x:f>
      </x:c>
      <x:c r="L196" s="13" t="str">
        <x:f>IF(A196="","",IF(K196&lt;0,"선입금·초과입금",IF(I196=0,"청구 전",IF(K196=0,"정산 완료",IF(J196=0,"미입금","부분 입금")))))</x:f>
      </x:c>
      <x:c r="M196" s="9"/>
      <x:c r="N196" s="9"/>
    </x:row>
    <x:row r="197" ht="23" customHeight="1">
      <x:c r="A197" s="9"/>
      <x:c r="B197" s="10"/>
      <x:c r="C197" s="9"/>
      <x:c r="D197" s="9"/>
      <x:c r="E197" s="9"/>
      <x:c r="F197" s="11"/>
      <x:c r="G197" s="12" t="str">
        <x:f>IF(A197="","",SUMIFS('출고대장'!$D$7:$D$1006,'출고대장'!$A$7:$A$1006,A197))</x:f>
      </x:c>
      <x:c r="H197" s="12" t="str">
        <x:f>IF(A197="","",F197-G197)</x:f>
      </x:c>
      <x:c r="I197" s="12" t="str">
        <x:f>IF(A197="","",SUMIFS('출고대장'!$K$7:$K$1006,'출고대장'!$A$7:$A$1006,A197))</x:f>
      </x:c>
      <x:c r="J197" s="12" t="str">
        <x:f>IF(A197="","",SUMIFS('입금대장'!$C$7:$C$1006,'입금대장'!$A$7:$A$1006,A197,'입금대장'!$E$7:$E$1006,"정상"))</x:f>
      </x:c>
      <x:c r="K197" s="12" t="str">
        <x:f>IF(A197="","",I197-J197)</x:f>
      </x:c>
      <x:c r="L197" s="13" t="str">
        <x:f>IF(A197="","",IF(K197&lt;0,"선입금·초과입금",IF(I197=0,"청구 전",IF(K197=0,"정산 완료",IF(J197=0,"미입금","부분 입금")))))</x:f>
      </x:c>
      <x:c r="M197" s="9"/>
      <x:c r="N197" s="9"/>
    </x:row>
    <x:row r="198" ht="23" customHeight="1">
      <x:c r="A198" s="9"/>
      <x:c r="B198" s="10"/>
      <x:c r="C198" s="9"/>
      <x:c r="D198" s="9"/>
      <x:c r="E198" s="9"/>
      <x:c r="F198" s="11"/>
      <x:c r="G198" s="12" t="str">
        <x:f>IF(A198="","",SUMIFS('출고대장'!$D$7:$D$1006,'출고대장'!$A$7:$A$1006,A198))</x:f>
      </x:c>
      <x:c r="H198" s="12" t="str">
        <x:f>IF(A198="","",F198-G198)</x:f>
      </x:c>
      <x:c r="I198" s="12" t="str">
        <x:f>IF(A198="","",SUMIFS('출고대장'!$K$7:$K$1006,'출고대장'!$A$7:$A$1006,A198))</x:f>
      </x:c>
      <x:c r="J198" s="12" t="str">
        <x:f>IF(A198="","",SUMIFS('입금대장'!$C$7:$C$1006,'입금대장'!$A$7:$A$1006,A198,'입금대장'!$E$7:$E$1006,"정상"))</x:f>
      </x:c>
      <x:c r="K198" s="12" t="str">
        <x:f>IF(A198="","",I198-J198)</x:f>
      </x:c>
      <x:c r="L198" s="13" t="str">
        <x:f>IF(A198="","",IF(K198&lt;0,"선입금·초과입금",IF(I198=0,"청구 전",IF(K198=0,"정산 완료",IF(J198=0,"미입금","부분 입금")))))</x:f>
      </x:c>
      <x:c r="M198" s="9"/>
      <x:c r="N198" s="9"/>
    </x:row>
    <x:row r="199" ht="23" customHeight="1">
      <x:c r="A199" s="9"/>
      <x:c r="B199" s="10"/>
      <x:c r="C199" s="9"/>
      <x:c r="D199" s="9"/>
      <x:c r="E199" s="9"/>
      <x:c r="F199" s="11"/>
      <x:c r="G199" s="12" t="str">
        <x:f>IF(A199="","",SUMIFS('출고대장'!$D$7:$D$1006,'출고대장'!$A$7:$A$1006,A199))</x:f>
      </x:c>
      <x:c r="H199" s="12" t="str">
        <x:f>IF(A199="","",F199-G199)</x:f>
      </x:c>
      <x:c r="I199" s="12" t="str">
        <x:f>IF(A199="","",SUMIFS('출고대장'!$K$7:$K$1006,'출고대장'!$A$7:$A$1006,A199))</x:f>
      </x:c>
      <x:c r="J199" s="12" t="str">
        <x:f>IF(A199="","",SUMIFS('입금대장'!$C$7:$C$1006,'입금대장'!$A$7:$A$1006,A199,'입금대장'!$E$7:$E$1006,"정상"))</x:f>
      </x:c>
      <x:c r="K199" s="12" t="str">
        <x:f>IF(A199="","",I199-J199)</x:f>
      </x:c>
      <x:c r="L199" s="13" t="str">
        <x:f>IF(A199="","",IF(K199&lt;0,"선입금·초과입금",IF(I199=0,"청구 전",IF(K199=0,"정산 완료",IF(J199=0,"미입금","부분 입금")))))</x:f>
      </x:c>
      <x:c r="M199" s="9"/>
      <x:c r="N199" s="9"/>
    </x:row>
    <x:row r="200" ht="23" customHeight="1">
      <x:c r="A200" s="9"/>
      <x:c r="B200" s="10"/>
      <x:c r="C200" s="9"/>
      <x:c r="D200" s="9"/>
      <x:c r="E200" s="9"/>
      <x:c r="F200" s="11"/>
      <x:c r="G200" s="12" t="str">
        <x:f>IF(A200="","",SUMIFS('출고대장'!$D$7:$D$1006,'출고대장'!$A$7:$A$1006,A200))</x:f>
      </x:c>
      <x:c r="H200" s="12" t="str">
        <x:f>IF(A200="","",F200-G200)</x:f>
      </x:c>
      <x:c r="I200" s="12" t="str">
        <x:f>IF(A200="","",SUMIFS('출고대장'!$K$7:$K$1006,'출고대장'!$A$7:$A$1006,A200))</x:f>
      </x:c>
      <x:c r="J200" s="12" t="str">
        <x:f>IF(A200="","",SUMIFS('입금대장'!$C$7:$C$1006,'입금대장'!$A$7:$A$1006,A200,'입금대장'!$E$7:$E$1006,"정상"))</x:f>
      </x:c>
      <x:c r="K200" s="12" t="str">
        <x:f>IF(A200="","",I200-J200)</x:f>
      </x:c>
      <x:c r="L200" s="13" t="str">
        <x:f>IF(A200="","",IF(K200&lt;0,"선입금·초과입금",IF(I200=0,"청구 전",IF(K200=0,"정산 완료",IF(J200=0,"미입금","부분 입금")))))</x:f>
      </x:c>
      <x:c r="M200" s="9"/>
      <x:c r="N200" s="9"/>
    </x:row>
    <x:row r="201" ht="23" customHeight="1">
      <x:c r="A201" s="9"/>
      <x:c r="B201" s="10"/>
      <x:c r="C201" s="9"/>
      <x:c r="D201" s="9"/>
      <x:c r="E201" s="9"/>
      <x:c r="F201" s="11"/>
      <x:c r="G201" s="12" t="str">
        <x:f>IF(A201="","",SUMIFS('출고대장'!$D$7:$D$1006,'출고대장'!$A$7:$A$1006,A201))</x:f>
      </x:c>
      <x:c r="H201" s="12" t="str">
        <x:f>IF(A201="","",F201-G201)</x:f>
      </x:c>
      <x:c r="I201" s="12" t="str">
        <x:f>IF(A201="","",SUMIFS('출고대장'!$K$7:$K$1006,'출고대장'!$A$7:$A$1006,A201))</x:f>
      </x:c>
      <x:c r="J201" s="12" t="str">
        <x:f>IF(A201="","",SUMIFS('입금대장'!$C$7:$C$1006,'입금대장'!$A$7:$A$1006,A201,'입금대장'!$E$7:$E$1006,"정상"))</x:f>
      </x:c>
      <x:c r="K201" s="12" t="str">
        <x:f>IF(A201="","",I201-J201)</x:f>
      </x:c>
      <x:c r="L201" s="13" t="str">
        <x:f>IF(A201="","",IF(K201&lt;0,"선입금·초과입금",IF(I201=0,"청구 전",IF(K201=0,"정산 완료",IF(J201=0,"미입금","부분 입금")))))</x:f>
      </x:c>
      <x:c r="M201" s="9"/>
      <x:c r="N201" s="9"/>
    </x:row>
    <x:row r="202" ht="23" customHeight="1">
      <x:c r="A202" s="9"/>
      <x:c r="B202" s="10"/>
      <x:c r="C202" s="9"/>
      <x:c r="D202" s="9"/>
      <x:c r="E202" s="9"/>
      <x:c r="F202" s="11"/>
      <x:c r="G202" s="12" t="str">
        <x:f>IF(A202="","",SUMIFS('출고대장'!$D$7:$D$1006,'출고대장'!$A$7:$A$1006,A202))</x:f>
      </x:c>
      <x:c r="H202" s="12" t="str">
        <x:f>IF(A202="","",F202-G202)</x:f>
      </x:c>
      <x:c r="I202" s="12" t="str">
        <x:f>IF(A202="","",SUMIFS('출고대장'!$K$7:$K$1006,'출고대장'!$A$7:$A$1006,A202))</x:f>
      </x:c>
      <x:c r="J202" s="12" t="str">
        <x:f>IF(A202="","",SUMIFS('입금대장'!$C$7:$C$1006,'입금대장'!$A$7:$A$1006,A202,'입금대장'!$E$7:$E$1006,"정상"))</x:f>
      </x:c>
      <x:c r="K202" s="12" t="str">
        <x:f>IF(A202="","",I202-J202)</x:f>
      </x:c>
      <x:c r="L202" s="13" t="str">
        <x:f>IF(A202="","",IF(K202&lt;0,"선입금·초과입금",IF(I202=0,"청구 전",IF(K202=0,"정산 완료",IF(J202=0,"미입금","부분 입금")))))</x:f>
      </x:c>
      <x:c r="M202" s="9"/>
      <x:c r="N202" s="9"/>
    </x:row>
    <x:row r="203" ht="23" customHeight="1">
      <x:c r="A203" s="9"/>
      <x:c r="B203" s="10"/>
      <x:c r="C203" s="9"/>
      <x:c r="D203" s="9"/>
      <x:c r="E203" s="9"/>
      <x:c r="F203" s="11"/>
      <x:c r="G203" s="12" t="str">
        <x:f>IF(A203="","",SUMIFS('출고대장'!$D$7:$D$1006,'출고대장'!$A$7:$A$1006,A203))</x:f>
      </x:c>
      <x:c r="H203" s="12" t="str">
        <x:f>IF(A203="","",F203-G203)</x:f>
      </x:c>
      <x:c r="I203" s="12" t="str">
        <x:f>IF(A203="","",SUMIFS('출고대장'!$K$7:$K$1006,'출고대장'!$A$7:$A$1006,A203))</x:f>
      </x:c>
      <x:c r="J203" s="12" t="str">
        <x:f>IF(A203="","",SUMIFS('입금대장'!$C$7:$C$1006,'입금대장'!$A$7:$A$1006,A203,'입금대장'!$E$7:$E$1006,"정상"))</x:f>
      </x:c>
      <x:c r="K203" s="12" t="str">
        <x:f>IF(A203="","",I203-J203)</x:f>
      </x:c>
      <x:c r="L203" s="13" t="str">
        <x:f>IF(A203="","",IF(K203&lt;0,"선입금·초과입금",IF(I203=0,"청구 전",IF(K203=0,"정산 완료",IF(J203=0,"미입금","부분 입금")))))</x:f>
      </x:c>
      <x:c r="M203" s="9"/>
      <x:c r="N203" s="9"/>
    </x:row>
    <x:row r="204" ht="23" customHeight="1">
      <x:c r="A204" s="9"/>
      <x:c r="B204" s="10"/>
      <x:c r="C204" s="9"/>
      <x:c r="D204" s="9"/>
      <x:c r="E204" s="9"/>
      <x:c r="F204" s="11"/>
      <x:c r="G204" s="12" t="str">
        <x:f>IF(A204="","",SUMIFS('출고대장'!$D$7:$D$1006,'출고대장'!$A$7:$A$1006,A204))</x:f>
      </x:c>
      <x:c r="H204" s="12" t="str">
        <x:f>IF(A204="","",F204-G204)</x:f>
      </x:c>
      <x:c r="I204" s="12" t="str">
        <x:f>IF(A204="","",SUMIFS('출고대장'!$K$7:$K$1006,'출고대장'!$A$7:$A$1006,A204))</x:f>
      </x:c>
      <x:c r="J204" s="12" t="str">
        <x:f>IF(A204="","",SUMIFS('입금대장'!$C$7:$C$1006,'입금대장'!$A$7:$A$1006,A204,'입금대장'!$E$7:$E$1006,"정상"))</x:f>
      </x:c>
      <x:c r="K204" s="12" t="str">
        <x:f>IF(A204="","",I204-J204)</x:f>
      </x:c>
      <x:c r="L204" s="13" t="str">
        <x:f>IF(A204="","",IF(K204&lt;0,"선입금·초과입금",IF(I204=0,"청구 전",IF(K204=0,"정산 완료",IF(J204=0,"미입금","부분 입금")))))</x:f>
      </x:c>
      <x:c r="M204" s="9"/>
      <x:c r="N204" s="9"/>
    </x:row>
    <x:row r="205" ht="23" customHeight="1">
      <x:c r="A205" s="9"/>
      <x:c r="B205" s="10"/>
      <x:c r="C205" s="9"/>
      <x:c r="D205" s="9"/>
      <x:c r="E205" s="9"/>
      <x:c r="F205" s="11"/>
      <x:c r="G205" s="12" t="str">
        <x:f>IF(A205="","",SUMIFS('출고대장'!$D$7:$D$1006,'출고대장'!$A$7:$A$1006,A205))</x:f>
      </x:c>
      <x:c r="H205" s="12" t="str">
        <x:f>IF(A205="","",F205-G205)</x:f>
      </x:c>
      <x:c r="I205" s="12" t="str">
        <x:f>IF(A205="","",SUMIFS('출고대장'!$K$7:$K$1006,'출고대장'!$A$7:$A$1006,A205))</x:f>
      </x:c>
      <x:c r="J205" s="12" t="str">
        <x:f>IF(A205="","",SUMIFS('입금대장'!$C$7:$C$1006,'입금대장'!$A$7:$A$1006,A205,'입금대장'!$E$7:$E$1006,"정상"))</x:f>
      </x:c>
      <x:c r="K205" s="12" t="str">
        <x:f>IF(A205="","",I205-J205)</x:f>
      </x:c>
      <x:c r="L205" s="13" t="str">
        <x:f>IF(A205="","",IF(K205&lt;0,"선입금·초과입금",IF(I205=0,"청구 전",IF(K205=0,"정산 완료",IF(J205=0,"미입금","부분 입금")))))</x:f>
      </x:c>
      <x:c r="M205" s="9"/>
      <x:c r="N205" s="9"/>
    </x:row>
    <x:row r="206" ht="23" customHeight="1">
      <x:c r="A206" s="9"/>
      <x:c r="B206" s="10"/>
      <x:c r="C206" s="9"/>
      <x:c r="D206" s="9"/>
      <x:c r="E206" s="9"/>
      <x:c r="F206" s="11"/>
      <x:c r="G206" s="12" t="str">
        <x:f>IF(A206="","",SUMIFS('출고대장'!$D$7:$D$1006,'출고대장'!$A$7:$A$1006,A206))</x:f>
      </x:c>
      <x:c r="H206" s="12" t="str">
        <x:f>IF(A206="","",F206-G206)</x:f>
      </x:c>
      <x:c r="I206" s="12" t="str">
        <x:f>IF(A206="","",SUMIFS('출고대장'!$K$7:$K$1006,'출고대장'!$A$7:$A$1006,A206))</x:f>
      </x:c>
      <x:c r="J206" s="12" t="str">
        <x:f>IF(A206="","",SUMIFS('입금대장'!$C$7:$C$1006,'입금대장'!$A$7:$A$1006,A206,'입금대장'!$E$7:$E$1006,"정상"))</x:f>
      </x:c>
      <x:c r="K206" s="12" t="str">
        <x:f>IF(A206="","",I206-J206)</x:f>
      </x:c>
      <x:c r="L206" s="13" t="str">
        <x:f>IF(A206="","",IF(K206&lt;0,"선입금·초과입금",IF(I206=0,"청구 전",IF(K206=0,"정산 완료",IF(J206=0,"미입금","부분 입금")))))</x:f>
      </x:c>
      <x:c r="M206" s="9"/>
      <x:c r="N206" s="9"/>
    </x:row>
    <x:row r="207" ht="23" customHeight="1">
      <x:c r="A207" s="9"/>
      <x:c r="B207" s="10"/>
      <x:c r="C207" s="9"/>
      <x:c r="D207" s="9"/>
      <x:c r="E207" s="9"/>
      <x:c r="F207" s="11"/>
      <x:c r="G207" s="12" t="str">
        <x:f>IF(A207="","",SUMIFS('출고대장'!$D$7:$D$1006,'출고대장'!$A$7:$A$1006,A207))</x:f>
      </x:c>
      <x:c r="H207" s="12" t="str">
        <x:f>IF(A207="","",F207-G207)</x:f>
      </x:c>
      <x:c r="I207" s="12" t="str">
        <x:f>IF(A207="","",SUMIFS('출고대장'!$K$7:$K$1006,'출고대장'!$A$7:$A$1006,A207))</x:f>
      </x:c>
      <x:c r="J207" s="12" t="str">
        <x:f>IF(A207="","",SUMIFS('입금대장'!$C$7:$C$1006,'입금대장'!$A$7:$A$1006,A207,'입금대장'!$E$7:$E$1006,"정상"))</x:f>
      </x:c>
      <x:c r="K207" s="12" t="str">
        <x:f>IF(A207="","",I207-J207)</x:f>
      </x:c>
      <x:c r="L207" s="13" t="str">
        <x:f>IF(A207="","",IF(K207&lt;0,"선입금·초과입금",IF(I207=0,"청구 전",IF(K207=0,"정산 완료",IF(J207=0,"미입금","부분 입금")))))</x:f>
      </x:c>
      <x:c r="M207" s="9"/>
      <x:c r="N207" s="9"/>
    </x:row>
    <x:row r="208" ht="23" customHeight="1">
      <x:c r="A208" s="9"/>
      <x:c r="B208" s="10"/>
      <x:c r="C208" s="9"/>
      <x:c r="D208" s="9"/>
      <x:c r="E208" s="9"/>
      <x:c r="F208" s="11"/>
      <x:c r="G208" s="12" t="str">
        <x:f>IF(A208="","",SUMIFS('출고대장'!$D$7:$D$1006,'출고대장'!$A$7:$A$1006,A208))</x:f>
      </x:c>
      <x:c r="H208" s="12" t="str">
        <x:f>IF(A208="","",F208-G208)</x:f>
      </x:c>
      <x:c r="I208" s="12" t="str">
        <x:f>IF(A208="","",SUMIFS('출고대장'!$K$7:$K$1006,'출고대장'!$A$7:$A$1006,A208))</x:f>
      </x:c>
      <x:c r="J208" s="12" t="str">
        <x:f>IF(A208="","",SUMIFS('입금대장'!$C$7:$C$1006,'입금대장'!$A$7:$A$1006,A208,'입금대장'!$E$7:$E$1006,"정상"))</x:f>
      </x:c>
      <x:c r="K208" s="12" t="str">
        <x:f>IF(A208="","",I208-J208)</x:f>
      </x:c>
      <x:c r="L208" s="13" t="str">
        <x:f>IF(A208="","",IF(K208&lt;0,"선입금·초과입금",IF(I208=0,"청구 전",IF(K208=0,"정산 완료",IF(J208=0,"미입금","부분 입금")))))</x:f>
      </x:c>
      <x:c r="M208" s="9"/>
      <x:c r="N208" s="9"/>
    </x:row>
    <x:row r="209" ht="23" customHeight="1">
      <x:c r="A209" s="9"/>
      <x:c r="B209" s="10"/>
      <x:c r="C209" s="9"/>
      <x:c r="D209" s="9"/>
      <x:c r="E209" s="9"/>
      <x:c r="F209" s="11"/>
      <x:c r="G209" s="12" t="str">
        <x:f>IF(A209="","",SUMIFS('출고대장'!$D$7:$D$1006,'출고대장'!$A$7:$A$1006,A209))</x:f>
      </x:c>
      <x:c r="H209" s="12" t="str">
        <x:f>IF(A209="","",F209-G209)</x:f>
      </x:c>
      <x:c r="I209" s="12" t="str">
        <x:f>IF(A209="","",SUMIFS('출고대장'!$K$7:$K$1006,'출고대장'!$A$7:$A$1006,A209))</x:f>
      </x:c>
      <x:c r="J209" s="12" t="str">
        <x:f>IF(A209="","",SUMIFS('입금대장'!$C$7:$C$1006,'입금대장'!$A$7:$A$1006,A209,'입금대장'!$E$7:$E$1006,"정상"))</x:f>
      </x:c>
      <x:c r="K209" s="12" t="str">
        <x:f>IF(A209="","",I209-J209)</x:f>
      </x:c>
      <x:c r="L209" s="13" t="str">
        <x:f>IF(A209="","",IF(K209&lt;0,"선입금·초과입금",IF(I209=0,"청구 전",IF(K209=0,"정산 완료",IF(J209=0,"미입금","부분 입금")))))</x:f>
      </x:c>
      <x:c r="M209" s="9"/>
      <x:c r="N209" s="9"/>
    </x:row>
    <x:row r="210" ht="23" customHeight="1">
      <x:c r="A210" s="9"/>
      <x:c r="B210" s="10"/>
      <x:c r="C210" s="9"/>
      <x:c r="D210" s="9"/>
      <x:c r="E210" s="9"/>
      <x:c r="F210" s="11"/>
      <x:c r="G210" s="12" t="str">
        <x:f>IF(A210="","",SUMIFS('출고대장'!$D$7:$D$1006,'출고대장'!$A$7:$A$1006,A210))</x:f>
      </x:c>
      <x:c r="H210" s="12" t="str">
        <x:f>IF(A210="","",F210-G210)</x:f>
      </x:c>
      <x:c r="I210" s="12" t="str">
        <x:f>IF(A210="","",SUMIFS('출고대장'!$K$7:$K$1006,'출고대장'!$A$7:$A$1006,A210))</x:f>
      </x:c>
      <x:c r="J210" s="12" t="str">
        <x:f>IF(A210="","",SUMIFS('입금대장'!$C$7:$C$1006,'입금대장'!$A$7:$A$1006,A210,'입금대장'!$E$7:$E$1006,"정상"))</x:f>
      </x:c>
      <x:c r="K210" s="12" t="str">
        <x:f>IF(A210="","",I210-J210)</x:f>
      </x:c>
      <x:c r="L210" s="13" t="str">
        <x:f>IF(A210="","",IF(K210&lt;0,"선입금·초과입금",IF(I210=0,"청구 전",IF(K210=0,"정산 완료",IF(J210=0,"미입금","부분 입금")))))</x:f>
      </x:c>
      <x:c r="M210" s="9"/>
      <x:c r="N210" s="9"/>
    </x:row>
    <x:row r="211" ht="23" customHeight="1">
      <x:c r="A211" s="9"/>
      <x:c r="B211" s="10"/>
      <x:c r="C211" s="9"/>
      <x:c r="D211" s="9"/>
      <x:c r="E211" s="9"/>
      <x:c r="F211" s="11"/>
      <x:c r="G211" s="12" t="str">
        <x:f>IF(A211="","",SUMIFS('출고대장'!$D$7:$D$1006,'출고대장'!$A$7:$A$1006,A211))</x:f>
      </x:c>
      <x:c r="H211" s="12" t="str">
        <x:f>IF(A211="","",F211-G211)</x:f>
      </x:c>
      <x:c r="I211" s="12" t="str">
        <x:f>IF(A211="","",SUMIFS('출고대장'!$K$7:$K$1006,'출고대장'!$A$7:$A$1006,A211))</x:f>
      </x:c>
      <x:c r="J211" s="12" t="str">
        <x:f>IF(A211="","",SUMIFS('입금대장'!$C$7:$C$1006,'입금대장'!$A$7:$A$1006,A211,'입금대장'!$E$7:$E$1006,"정상"))</x:f>
      </x:c>
      <x:c r="K211" s="12" t="str">
        <x:f>IF(A211="","",I211-J211)</x:f>
      </x:c>
      <x:c r="L211" s="13" t="str">
        <x:f>IF(A211="","",IF(K211&lt;0,"선입금·초과입금",IF(I211=0,"청구 전",IF(K211=0,"정산 완료",IF(J211=0,"미입금","부분 입금")))))</x:f>
      </x:c>
      <x:c r="M211" s="9"/>
      <x:c r="N211" s="9"/>
    </x:row>
    <x:row r="212" ht="23" customHeight="1">
      <x:c r="A212" s="9"/>
      <x:c r="B212" s="10"/>
      <x:c r="C212" s="9"/>
      <x:c r="D212" s="9"/>
      <x:c r="E212" s="9"/>
      <x:c r="F212" s="11"/>
      <x:c r="G212" s="12" t="str">
        <x:f>IF(A212="","",SUMIFS('출고대장'!$D$7:$D$1006,'출고대장'!$A$7:$A$1006,A212))</x:f>
      </x:c>
      <x:c r="H212" s="12" t="str">
        <x:f>IF(A212="","",F212-G212)</x:f>
      </x:c>
      <x:c r="I212" s="12" t="str">
        <x:f>IF(A212="","",SUMIFS('출고대장'!$K$7:$K$1006,'출고대장'!$A$7:$A$1006,A212))</x:f>
      </x:c>
      <x:c r="J212" s="12" t="str">
        <x:f>IF(A212="","",SUMIFS('입금대장'!$C$7:$C$1006,'입금대장'!$A$7:$A$1006,A212,'입금대장'!$E$7:$E$1006,"정상"))</x:f>
      </x:c>
      <x:c r="K212" s="12" t="str">
        <x:f>IF(A212="","",I212-J212)</x:f>
      </x:c>
      <x:c r="L212" s="13" t="str">
        <x:f>IF(A212="","",IF(K212&lt;0,"선입금·초과입금",IF(I212=0,"청구 전",IF(K212=0,"정산 완료",IF(J212=0,"미입금","부분 입금")))))</x:f>
      </x:c>
      <x:c r="M212" s="9"/>
      <x:c r="N212" s="9"/>
    </x:row>
    <x:row r="213" ht="23" customHeight="1">
      <x:c r="A213" s="9"/>
      <x:c r="B213" s="10"/>
      <x:c r="C213" s="9"/>
      <x:c r="D213" s="9"/>
      <x:c r="E213" s="9"/>
      <x:c r="F213" s="11"/>
      <x:c r="G213" s="12" t="str">
        <x:f>IF(A213="","",SUMIFS('출고대장'!$D$7:$D$1006,'출고대장'!$A$7:$A$1006,A213))</x:f>
      </x:c>
      <x:c r="H213" s="12" t="str">
        <x:f>IF(A213="","",F213-G213)</x:f>
      </x:c>
      <x:c r="I213" s="12" t="str">
        <x:f>IF(A213="","",SUMIFS('출고대장'!$K$7:$K$1006,'출고대장'!$A$7:$A$1006,A213))</x:f>
      </x:c>
      <x:c r="J213" s="12" t="str">
        <x:f>IF(A213="","",SUMIFS('입금대장'!$C$7:$C$1006,'입금대장'!$A$7:$A$1006,A213,'입금대장'!$E$7:$E$1006,"정상"))</x:f>
      </x:c>
      <x:c r="K213" s="12" t="str">
        <x:f>IF(A213="","",I213-J213)</x:f>
      </x:c>
      <x:c r="L213" s="13" t="str">
        <x:f>IF(A213="","",IF(K213&lt;0,"선입금·초과입금",IF(I213=0,"청구 전",IF(K213=0,"정산 완료",IF(J213=0,"미입금","부분 입금")))))</x:f>
      </x:c>
      <x:c r="M213" s="9"/>
      <x:c r="N213" s="9"/>
    </x:row>
    <x:row r="214" ht="23" customHeight="1">
      <x:c r="A214" s="9"/>
      <x:c r="B214" s="10"/>
      <x:c r="C214" s="9"/>
      <x:c r="D214" s="9"/>
      <x:c r="E214" s="9"/>
      <x:c r="F214" s="11"/>
      <x:c r="G214" s="12" t="str">
        <x:f>IF(A214="","",SUMIFS('출고대장'!$D$7:$D$1006,'출고대장'!$A$7:$A$1006,A214))</x:f>
      </x:c>
      <x:c r="H214" s="12" t="str">
        <x:f>IF(A214="","",F214-G214)</x:f>
      </x:c>
      <x:c r="I214" s="12" t="str">
        <x:f>IF(A214="","",SUMIFS('출고대장'!$K$7:$K$1006,'출고대장'!$A$7:$A$1006,A214))</x:f>
      </x:c>
      <x:c r="J214" s="12" t="str">
        <x:f>IF(A214="","",SUMIFS('입금대장'!$C$7:$C$1006,'입금대장'!$A$7:$A$1006,A214,'입금대장'!$E$7:$E$1006,"정상"))</x:f>
      </x:c>
      <x:c r="K214" s="12" t="str">
        <x:f>IF(A214="","",I214-J214)</x:f>
      </x:c>
      <x:c r="L214" s="13" t="str">
        <x:f>IF(A214="","",IF(K214&lt;0,"선입금·초과입금",IF(I214=0,"청구 전",IF(K214=0,"정산 완료",IF(J214=0,"미입금","부분 입금")))))</x:f>
      </x:c>
      <x:c r="M214" s="9"/>
      <x:c r="N214" s="9"/>
    </x:row>
    <x:row r="215" ht="23" customHeight="1">
      <x:c r="A215" s="9"/>
      <x:c r="B215" s="10"/>
      <x:c r="C215" s="9"/>
      <x:c r="D215" s="9"/>
      <x:c r="E215" s="9"/>
      <x:c r="F215" s="11"/>
      <x:c r="G215" s="12" t="str">
        <x:f>IF(A215="","",SUMIFS('출고대장'!$D$7:$D$1006,'출고대장'!$A$7:$A$1006,A215))</x:f>
      </x:c>
      <x:c r="H215" s="12" t="str">
        <x:f>IF(A215="","",F215-G215)</x:f>
      </x:c>
      <x:c r="I215" s="12" t="str">
        <x:f>IF(A215="","",SUMIFS('출고대장'!$K$7:$K$1006,'출고대장'!$A$7:$A$1006,A215))</x:f>
      </x:c>
      <x:c r="J215" s="12" t="str">
        <x:f>IF(A215="","",SUMIFS('입금대장'!$C$7:$C$1006,'입금대장'!$A$7:$A$1006,A215,'입금대장'!$E$7:$E$1006,"정상"))</x:f>
      </x:c>
      <x:c r="K215" s="12" t="str">
        <x:f>IF(A215="","",I215-J215)</x:f>
      </x:c>
      <x:c r="L215" s="13" t="str">
        <x:f>IF(A215="","",IF(K215&lt;0,"선입금·초과입금",IF(I215=0,"청구 전",IF(K215=0,"정산 완료",IF(J215=0,"미입금","부분 입금")))))</x:f>
      </x:c>
      <x:c r="M215" s="9"/>
      <x:c r="N215" s="9"/>
    </x:row>
    <x:row r="216" ht="23" customHeight="1">
      <x:c r="A216" s="9"/>
      <x:c r="B216" s="10"/>
      <x:c r="C216" s="9"/>
      <x:c r="D216" s="9"/>
      <x:c r="E216" s="9"/>
      <x:c r="F216" s="11"/>
      <x:c r="G216" s="12" t="str">
        <x:f>IF(A216="","",SUMIFS('출고대장'!$D$7:$D$1006,'출고대장'!$A$7:$A$1006,A216))</x:f>
      </x:c>
      <x:c r="H216" s="12" t="str">
        <x:f>IF(A216="","",F216-G216)</x:f>
      </x:c>
      <x:c r="I216" s="12" t="str">
        <x:f>IF(A216="","",SUMIFS('출고대장'!$K$7:$K$1006,'출고대장'!$A$7:$A$1006,A216))</x:f>
      </x:c>
      <x:c r="J216" s="12" t="str">
        <x:f>IF(A216="","",SUMIFS('입금대장'!$C$7:$C$1006,'입금대장'!$A$7:$A$1006,A216,'입금대장'!$E$7:$E$1006,"정상"))</x:f>
      </x:c>
      <x:c r="K216" s="12" t="str">
        <x:f>IF(A216="","",I216-J216)</x:f>
      </x:c>
      <x:c r="L216" s="13" t="str">
        <x:f>IF(A216="","",IF(K216&lt;0,"선입금·초과입금",IF(I216=0,"청구 전",IF(K216=0,"정산 완료",IF(J216=0,"미입금","부분 입금")))))</x:f>
      </x:c>
      <x:c r="M216" s="9"/>
      <x:c r="N216" s="9"/>
    </x:row>
    <x:row r="217" ht="23" customHeight="1">
      <x:c r="A217" s="9"/>
      <x:c r="B217" s="10"/>
      <x:c r="C217" s="9"/>
      <x:c r="D217" s="9"/>
      <x:c r="E217" s="9"/>
      <x:c r="F217" s="11"/>
      <x:c r="G217" s="12" t="str">
        <x:f>IF(A217="","",SUMIFS('출고대장'!$D$7:$D$1006,'출고대장'!$A$7:$A$1006,A217))</x:f>
      </x:c>
      <x:c r="H217" s="12" t="str">
        <x:f>IF(A217="","",F217-G217)</x:f>
      </x:c>
      <x:c r="I217" s="12" t="str">
        <x:f>IF(A217="","",SUMIFS('출고대장'!$K$7:$K$1006,'출고대장'!$A$7:$A$1006,A217))</x:f>
      </x:c>
      <x:c r="J217" s="12" t="str">
        <x:f>IF(A217="","",SUMIFS('입금대장'!$C$7:$C$1006,'입금대장'!$A$7:$A$1006,A217,'입금대장'!$E$7:$E$1006,"정상"))</x:f>
      </x:c>
      <x:c r="K217" s="12" t="str">
        <x:f>IF(A217="","",I217-J217)</x:f>
      </x:c>
      <x:c r="L217" s="13" t="str">
        <x:f>IF(A217="","",IF(K217&lt;0,"선입금·초과입금",IF(I217=0,"청구 전",IF(K217=0,"정산 완료",IF(J217=0,"미입금","부분 입금")))))</x:f>
      </x:c>
      <x:c r="M217" s="9"/>
      <x:c r="N217" s="9"/>
    </x:row>
    <x:row r="218" ht="23" customHeight="1">
      <x:c r="A218" s="9"/>
      <x:c r="B218" s="10"/>
      <x:c r="C218" s="9"/>
      <x:c r="D218" s="9"/>
      <x:c r="E218" s="9"/>
      <x:c r="F218" s="11"/>
      <x:c r="G218" s="12" t="str">
        <x:f>IF(A218="","",SUMIFS('출고대장'!$D$7:$D$1006,'출고대장'!$A$7:$A$1006,A218))</x:f>
      </x:c>
      <x:c r="H218" s="12" t="str">
        <x:f>IF(A218="","",F218-G218)</x:f>
      </x:c>
      <x:c r="I218" s="12" t="str">
        <x:f>IF(A218="","",SUMIFS('출고대장'!$K$7:$K$1006,'출고대장'!$A$7:$A$1006,A218))</x:f>
      </x:c>
      <x:c r="J218" s="12" t="str">
        <x:f>IF(A218="","",SUMIFS('입금대장'!$C$7:$C$1006,'입금대장'!$A$7:$A$1006,A218,'입금대장'!$E$7:$E$1006,"정상"))</x:f>
      </x:c>
      <x:c r="K218" s="12" t="str">
        <x:f>IF(A218="","",I218-J218)</x:f>
      </x:c>
      <x:c r="L218" s="13" t="str">
        <x:f>IF(A218="","",IF(K218&lt;0,"선입금·초과입금",IF(I218=0,"청구 전",IF(K218=0,"정산 완료",IF(J218=0,"미입금","부분 입금")))))</x:f>
      </x:c>
      <x:c r="M218" s="9"/>
      <x:c r="N218" s="9"/>
    </x:row>
    <x:row r="219" ht="23" customHeight="1">
      <x:c r="A219" s="9"/>
      <x:c r="B219" s="10"/>
      <x:c r="C219" s="9"/>
      <x:c r="D219" s="9"/>
      <x:c r="E219" s="9"/>
      <x:c r="F219" s="11"/>
      <x:c r="G219" s="12" t="str">
        <x:f>IF(A219="","",SUMIFS('출고대장'!$D$7:$D$1006,'출고대장'!$A$7:$A$1006,A219))</x:f>
      </x:c>
      <x:c r="H219" s="12" t="str">
        <x:f>IF(A219="","",F219-G219)</x:f>
      </x:c>
      <x:c r="I219" s="12" t="str">
        <x:f>IF(A219="","",SUMIFS('출고대장'!$K$7:$K$1006,'출고대장'!$A$7:$A$1006,A219))</x:f>
      </x:c>
      <x:c r="J219" s="12" t="str">
        <x:f>IF(A219="","",SUMIFS('입금대장'!$C$7:$C$1006,'입금대장'!$A$7:$A$1006,A219,'입금대장'!$E$7:$E$1006,"정상"))</x:f>
      </x:c>
      <x:c r="K219" s="12" t="str">
        <x:f>IF(A219="","",I219-J219)</x:f>
      </x:c>
      <x:c r="L219" s="13" t="str">
        <x:f>IF(A219="","",IF(K219&lt;0,"선입금·초과입금",IF(I219=0,"청구 전",IF(K219=0,"정산 완료",IF(J219=0,"미입금","부분 입금")))))</x:f>
      </x:c>
      <x:c r="M219" s="9"/>
      <x:c r="N219" s="9"/>
    </x:row>
    <x:row r="220" ht="23" customHeight="1">
      <x:c r="A220" s="9"/>
      <x:c r="B220" s="10"/>
      <x:c r="C220" s="9"/>
      <x:c r="D220" s="9"/>
      <x:c r="E220" s="9"/>
      <x:c r="F220" s="11"/>
      <x:c r="G220" s="12" t="str">
        <x:f>IF(A220="","",SUMIFS('출고대장'!$D$7:$D$1006,'출고대장'!$A$7:$A$1006,A220))</x:f>
      </x:c>
      <x:c r="H220" s="12" t="str">
        <x:f>IF(A220="","",F220-G220)</x:f>
      </x:c>
      <x:c r="I220" s="12" t="str">
        <x:f>IF(A220="","",SUMIFS('출고대장'!$K$7:$K$1006,'출고대장'!$A$7:$A$1006,A220))</x:f>
      </x:c>
      <x:c r="J220" s="12" t="str">
        <x:f>IF(A220="","",SUMIFS('입금대장'!$C$7:$C$1006,'입금대장'!$A$7:$A$1006,A220,'입금대장'!$E$7:$E$1006,"정상"))</x:f>
      </x:c>
      <x:c r="K220" s="12" t="str">
        <x:f>IF(A220="","",I220-J220)</x:f>
      </x:c>
      <x:c r="L220" s="13" t="str">
        <x:f>IF(A220="","",IF(K220&lt;0,"선입금·초과입금",IF(I220=0,"청구 전",IF(K220=0,"정산 완료",IF(J220=0,"미입금","부분 입금")))))</x:f>
      </x:c>
      <x:c r="M220" s="9"/>
      <x:c r="N220" s="9"/>
    </x:row>
    <x:row r="221" ht="23" customHeight="1">
      <x:c r="A221" s="9"/>
      <x:c r="B221" s="10"/>
      <x:c r="C221" s="9"/>
      <x:c r="D221" s="9"/>
      <x:c r="E221" s="9"/>
      <x:c r="F221" s="11"/>
      <x:c r="G221" s="12" t="str">
        <x:f>IF(A221="","",SUMIFS('출고대장'!$D$7:$D$1006,'출고대장'!$A$7:$A$1006,A221))</x:f>
      </x:c>
      <x:c r="H221" s="12" t="str">
        <x:f>IF(A221="","",F221-G221)</x:f>
      </x:c>
      <x:c r="I221" s="12" t="str">
        <x:f>IF(A221="","",SUMIFS('출고대장'!$K$7:$K$1006,'출고대장'!$A$7:$A$1006,A221))</x:f>
      </x:c>
      <x:c r="J221" s="12" t="str">
        <x:f>IF(A221="","",SUMIFS('입금대장'!$C$7:$C$1006,'입금대장'!$A$7:$A$1006,A221,'입금대장'!$E$7:$E$1006,"정상"))</x:f>
      </x:c>
      <x:c r="K221" s="12" t="str">
        <x:f>IF(A221="","",I221-J221)</x:f>
      </x:c>
      <x:c r="L221" s="13" t="str">
        <x:f>IF(A221="","",IF(K221&lt;0,"선입금·초과입금",IF(I221=0,"청구 전",IF(K221=0,"정산 완료",IF(J221=0,"미입금","부분 입금")))))</x:f>
      </x:c>
      <x:c r="M221" s="9"/>
      <x:c r="N221" s="9"/>
    </x:row>
    <x:row r="222" ht="23" customHeight="1">
      <x:c r="A222" s="9"/>
      <x:c r="B222" s="10"/>
      <x:c r="C222" s="9"/>
      <x:c r="D222" s="9"/>
      <x:c r="E222" s="9"/>
      <x:c r="F222" s="11"/>
      <x:c r="G222" s="12" t="str">
        <x:f>IF(A222="","",SUMIFS('출고대장'!$D$7:$D$1006,'출고대장'!$A$7:$A$1006,A222))</x:f>
      </x:c>
      <x:c r="H222" s="12" t="str">
        <x:f>IF(A222="","",F222-G222)</x:f>
      </x:c>
      <x:c r="I222" s="12" t="str">
        <x:f>IF(A222="","",SUMIFS('출고대장'!$K$7:$K$1006,'출고대장'!$A$7:$A$1006,A222))</x:f>
      </x:c>
      <x:c r="J222" s="12" t="str">
        <x:f>IF(A222="","",SUMIFS('입금대장'!$C$7:$C$1006,'입금대장'!$A$7:$A$1006,A222,'입금대장'!$E$7:$E$1006,"정상"))</x:f>
      </x:c>
      <x:c r="K222" s="12" t="str">
        <x:f>IF(A222="","",I222-J222)</x:f>
      </x:c>
      <x:c r="L222" s="13" t="str">
        <x:f>IF(A222="","",IF(K222&lt;0,"선입금·초과입금",IF(I222=0,"청구 전",IF(K222=0,"정산 완료",IF(J222=0,"미입금","부분 입금")))))</x:f>
      </x:c>
      <x:c r="M222" s="9"/>
      <x:c r="N222" s="9"/>
    </x:row>
    <x:row r="223" ht="23" customHeight="1">
      <x:c r="A223" s="9"/>
      <x:c r="B223" s="10"/>
      <x:c r="C223" s="9"/>
      <x:c r="D223" s="9"/>
      <x:c r="E223" s="9"/>
      <x:c r="F223" s="11"/>
      <x:c r="G223" s="12" t="str">
        <x:f>IF(A223="","",SUMIFS('출고대장'!$D$7:$D$1006,'출고대장'!$A$7:$A$1006,A223))</x:f>
      </x:c>
      <x:c r="H223" s="12" t="str">
        <x:f>IF(A223="","",F223-G223)</x:f>
      </x:c>
      <x:c r="I223" s="12" t="str">
        <x:f>IF(A223="","",SUMIFS('출고대장'!$K$7:$K$1006,'출고대장'!$A$7:$A$1006,A223))</x:f>
      </x:c>
      <x:c r="J223" s="12" t="str">
        <x:f>IF(A223="","",SUMIFS('입금대장'!$C$7:$C$1006,'입금대장'!$A$7:$A$1006,A223,'입금대장'!$E$7:$E$1006,"정상"))</x:f>
      </x:c>
      <x:c r="K223" s="12" t="str">
        <x:f>IF(A223="","",I223-J223)</x:f>
      </x:c>
      <x:c r="L223" s="13" t="str">
        <x:f>IF(A223="","",IF(K223&lt;0,"선입금·초과입금",IF(I223=0,"청구 전",IF(K223=0,"정산 완료",IF(J223=0,"미입금","부분 입금")))))</x:f>
      </x:c>
      <x:c r="M223" s="9"/>
      <x:c r="N223" s="9"/>
    </x:row>
    <x:row r="224" ht="23" customHeight="1">
      <x:c r="A224" s="9"/>
      <x:c r="B224" s="10"/>
      <x:c r="C224" s="9"/>
      <x:c r="D224" s="9"/>
      <x:c r="E224" s="9"/>
      <x:c r="F224" s="11"/>
      <x:c r="G224" s="12" t="str">
        <x:f>IF(A224="","",SUMIFS('출고대장'!$D$7:$D$1006,'출고대장'!$A$7:$A$1006,A224))</x:f>
      </x:c>
      <x:c r="H224" s="12" t="str">
        <x:f>IF(A224="","",F224-G224)</x:f>
      </x:c>
      <x:c r="I224" s="12" t="str">
        <x:f>IF(A224="","",SUMIFS('출고대장'!$K$7:$K$1006,'출고대장'!$A$7:$A$1006,A224))</x:f>
      </x:c>
      <x:c r="J224" s="12" t="str">
        <x:f>IF(A224="","",SUMIFS('입금대장'!$C$7:$C$1006,'입금대장'!$A$7:$A$1006,A224,'입금대장'!$E$7:$E$1006,"정상"))</x:f>
      </x:c>
      <x:c r="K224" s="12" t="str">
        <x:f>IF(A224="","",I224-J224)</x:f>
      </x:c>
      <x:c r="L224" s="13" t="str">
        <x:f>IF(A224="","",IF(K224&lt;0,"선입금·초과입금",IF(I224=0,"청구 전",IF(K224=0,"정산 완료",IF(J224=0,"미입금","부분 입금")))))</x:f>
      </x:c>
      <x:c r="M224" s="9"/>
      <x:c r="N224" s="9"/>
    </x:row>
    <x:row r="225" ht="23" customHeight="1">
      <x:c r="A225" s="9"/>
      <x:c r="B225" s="10"/>
      <x:c r="C225" s="9"/>
      <x:c r="D225" s="9"/>
      <x:c r="E225" s="9"/>
      <x:c r="F225" s="11"/>
      <x:c r="G225" s="12" t="str">
        <x:f>IF(A225="","",SUMIFS('출고대장'!$D$7:$D$1006,'출고대장'!$A$7:$A$1006,A225))</x:f>
      </x:c>
      <x:c r="H225" s="12" t="str">
        <x:f>IF(A225="","",F225-G225)</x:f>
      </x:c>
      <x:c r="I225" s="12" t="str">
        <x:f>IF(A225="","",SUMIFS('출고대장'!$K$7:$K$1006,'출고대장'!$A$7:$A$1006,A225))</x:f>
      </x:c>
      <x:c r="J225" s="12" t="str">
        <x:f>IF(A225="","",SUMIFS('입금대장'!$C$7:$C$1006,'입금대장'!$A$7:$A$1006,A225,'입금대장'!$E$7:$E$1006,"정상"))</x:f>
      </x:c>
      <x:c r="K225" s="12" t="str">
        <x:f>IF(A225="","",I225-J225)</x:f>
      </x:c>
      <x:c r="L225" s="13" t="str">
        <x:f>IF(A225="","",IF(K225&lt;0,"선입금·초과입금",IF(I225=0,"청구 전",IF(K225=0,"정산 완료",IF(J225=0,"미입금","부분 입금")))))</x:f>
      </x:c>
      <x:c r="M225" s="9"/>
      <x:c r="N225" s="9"/>
    </x:row>
    <x:row r="226" ht="23" customHeight="1">
      <x:c r="A226" s="9"/>
      <x:c r="B226" s="10"/>
      <x:c r="C226" s="9"/>
      <x:c r="D226" s="9"/>
      <x:c r="E226" s="9"/>
      <x:c r="F226" s="11"/>
      <x:c r="G226" s="12" t="str">
        <x:f>IF(A226="","",SUMIFS('출고대장'!$D$7:$D$1006,'출고대장'!$A$7:$A$1006,A226))</x:f>
      </x:c>
      <x:c r="H226" s="12" t="str">
        <x:f>IF(A226="","",F226-G226)</x:f>
      </x:c>
      <x:c r="I226" s="12" t="str">
        <x:f>IF(A226="","",SUMIFS('출고대장'!$K$7:$K$1006,'출고대장'!$A$7:$A$1006,A226))</x:f>
      </x:c>
      <x:c r="J226" s="12" t="str">
        <x:f>IF(A226="","",SUMIFS('입금대장'!$C$7:$C$1006,'입금대장'!$A$7:$A$1006,A226,'입금대장'!$E$7:$E$1006,"정상"))</x:f>
      </x:c>
      <x:c r="K226" s="12" t="str">
        <x:f>IF(A226="","",I226-J226)</x:f>
      </x:c>
      <x:c r="L226" s="13" t="str">
        <x:f>IF(A226="","",IF(K226&lt;0,"선입금·초과입금",IF(I226=0,"청구 전",IF(K226=0,"정산 완료",IF(J226=0,"미입금","부분 입금")))))</x:f>
      </x:c>
      <x:c r="M226" s="9"/>
      <x:c r="N226" s="9"/>
    </x:row>
    <x:row r="227" ht="23" customHeight="1">
      <x:c r="A227" s="9"/>
      <x:c r="B227" s="10"/>
      <x:c r="C227" s="9"/>
      <x:c r="D227" s="9"/>
      <x:c r="E227" s="9"/>
      <x:c r="F227" s="11"/>
      <x:c r="G227" s="12" t="str">
        <x:f>IF(A227="","",SUMIFS('출고대장'!$D$7:$D$1006,'출고대장'!$A$7:$A$1006,A227))</x:f>
      </x:c>
      <x:c r="H227" s="12" t="str">
        <x:f>IF(A227="","",F227-G227)</x:f>
      </x:c>
      <x:c r="I227" s="12" t="str">
        <x:f>IF(A227="","",SUMIFS('출고대장'!$K$7:$K$1006,'출고대장'!$A$7:$A$1006,A227))</x:f>
      </x:c>
      <x:c r="J227" s="12" t="str">
        <x:f>IF(A227="","",SUMIFS('입금대장'!$C$7:$C$1006,'입금대장'!$A$7:$A$1006,A227,'입금대장'!$E$7:$E$1006,"정상"))</x:f>
      </x:c>
      <x:c r="K227" s="12" t="str">
        <x:f>IF(A227="","",I227-J227)</x:f>
      </x:c>
      <x:c r="L227" s="13" t="str">
        <x:f>IF(A227="","",IF(K227&lt;0,"선입금·초과입금",IF(I227=0,"청구 전",IF(K227=0,"정산 완료",IF(J227=0,"미입금","부분 입금")))))</x:f>
      </x:c>
      <x:c r="M227" s="9"/>
      <x:c r="N227" s="9"/>
    </x:row>
    <x:row r="228" ht="23" customHeight="1">
      <x:c r="A228" s="9"/>
      <x:c r="B228" s="10"/>
      <x:c r="C228" s="9"/>
      <x:c r="D228" s="9"/>
      <x:c r="E228" s="9"/>
      <x:c r="F228" s="11"/>
      <x:c r="G228" s="12" t="str">
        <x:f>IF(A228="","",SUMIFS('출고대장'!$D$7:$D$1006,'출고대장'!$A$7:$A$1006,A228))</x:f>
      </x:c>
      <x:c r="H228" s="12" t="str">
        <x:f>IF(A228="","",F228-G228)</x:f>
      </x:c>
      <x:c r="I228" s="12" t="str">
        <x:f>IF(A228="","",SUMIFS('출고대장'!$K$7:$K$1006,'출고대장'!$A$7:$A$1006,A228))</x:f>
      </x:c>
      <x:c r="J228" s="12" t="str">
        <x:f>IF(A228="","",SUMIFS('입금대장'!$C$7:$C$1006,'입금대장'!$A$7:$A$1006,A228,'입금대장'!$E$7:$E$1006,"정상"))</x:f>
      </x:c>
      <x:c r="K228" s="12" t="str">
        <x:f>IF(A228="","",I228-J228)</x:f>
      </x:c>
      <x:c r="L228" s="13" t="str">
        <x:f>IF(A228="","",IF(K228&lt;0,"선입금·초과입금",IF(I228=0,"청구 전",IF(K228=0,"정산 완료",IF(J228=0,"미입금","부분 입금")))))</x:f>
      </x:c>
      <x:c r="M228" s="9"/>
      <x:c r="N228" s="9"/>
    </x:row>
    <x:row r="229" ht="23" customHeight="1">
      <x:c r="A229" s="9"/>
      <x:c r="B229" s="10"/>
      <x:c r="C229" s="9"/>
      <x:c r="D229" s="9"/>
      <x:c r="E229" s="9"/>
      <x:c r="F229" s="11"/>
      <x:c r="G229" s="12" t="str">
        <x:f>IF(A229="","",SUMIFS('출고대장'!$D$7:$D$1006,'출고대장'!$A$7:$A$1006,A229))</x:f>
      </x:c>
      <x:c r="H229" s="12" t="str">
        <x:f>IF(A229="","",F229-G229)</x:f>
      </x:c>
      <x:c r="I229" s="12" t="str">
        <x:f>IF(A229="","",SUMIFS('출고대장'!$K$7:$K$1006,'출고대장'!$A$7:$A$1006,A229))</x:f>
      </x:c>
      <x:c r="J229" s="12" t="str">
        <x:f>IF(A229="","",SUMIFS('입금대장'!$C$7:$C$1006,'입금대장'!$A$7:$A$1006,A229,'입금대장'!$E$7:$E$1006,"정상"))</x:f>
      </x:c>
      <x:c r="K229" s="12" t="str">
        <x:f>IF(A229="","",I229-J229)</x:f>
      </x:c>
      <x:c r="L229" s="13" t="str">
        <x:f>IF(A229="","",IF(K229&lt;0,"선입금·초과입금",IF(I229=0,"청구 전",IF(K229=0,"정산 완료",IF(J229=0,"미입금","부분 입금")))))</x:f>
      </x:c>
      <x:c r="M229" s="9"/>
      <x:c r="N229" s="9"/>
    </x:row>
    <x:row r="230" ht="23" customHeight="1">
      <x:c r="A230" s="9"/>
      <x:c r="B230" s="10"/>
      <x:c r="C230" s="9"/>
      <x:c r="D230" s="9"/>
      <x:c r="E230" s="9"/>
      <x:c r="F230" s="11"/>
      <x:c r="G230" s="12" t="str">
        <x:f>IF(A230="","",SUMIFS('출고대장'!$D$7:$D$1006,'출고대장'!$A$7:$A$1006,A230))</x:f>
      </x:c>
      <x:c r="H230" s="12" t="str">
        <x:f>IF(A230="","",F230-G230)</x:f>
      </x:c>
      <x:c r="I230" s="12" t="str">
        <x:f>IF(A230="","",SUMIFS('출고대장'!$K$7:$K$1006,'출고대장'!$A$7:$A$1006,A230))</x:f>
      </x:c>
      <x:c r="J230" s="12" t="str">
        <x:f>IF(A230="","",SUMIFS('입금대장'!$C$7:$C$1006,'입금대장'!$A$7:$A$1006,A230,'입금대장'!$E$7:$E$1006,"정상"))</x:f>
      </x:c>
      <x:c r="K230" s="12" t="str">
        <x:f>IF(A230="","",I230-J230)</x:f>
      </x:c>
      <x:c r="L230" s="13" t="str">
        <x:f>IF(A230="","",IF(K230&lt;0,"선입금·초과입금",IF(I230=0,"청구 전",IF(K230=0,"정산 완료",IF(J230=0,"미입금","부분 입금")))))</x:f>
      </x:c>
      <x:c r="M230" s="9"/>
      <x:c r="N230" s="9"/>
    </x:row>
    <x:row r="231" ht="23" customHeight="1">
      <x:c r="A231" s="9"/>
      <x:c r="B231" s="10"/>
      <x:c r="C231" s="9"/>
      <x:c r="D231" s="9"/>
      <x:c r="E231" s="9"/>
      <x:c r="F231" s="11"/>
      <x:c r="G231" s="12" t="str">
        <x:f>IF(A231="","",SUMIFS('출고대장'!$D$7:$D$1006,'출고대장'!$A$7:$A$1006,A231))</x:f>
      </x:c>
      <x:c r="H231" s="12" t="str">
        <x:f>IF(A231="","",F231-G231)</x:f>
      </x:c>
      <x:c r="I231" s="12" t="str">
        <x:f>IF(A231="","",SUMIFS('출고대장'!$K$7:$K$1006,'출고대장'!$A$7:$A$1006,A231))</x:f>
      </x:c>
      <x:c r="J231" s="12" t="str">
        <x:f>IF(A231="","",SUMIFS('입금대장'!$C$7:$C$1006,'입금대장'!$A$7:$A$1006,A231,'입금대장'!$E$7:$E$1006,"정상"))</x:f>
      </x:c>
      <x:c r="K231" s="12" t="str">
        <x:f>IF(A231="","",I231-J231)</x:f>
      </x:c>
      <x:c r="L231" s="13" t="str">
        <x:f>IF(A231="","",IF(K231&lt;0,"선입금·초과입금",IF(I231=0,"청구 전",IF(K231=0,"정산 완료",IF(J231=0,"미입금","부분 입금")))))</x:f>
      </x:c>
      <x:c r="M231" s="9"/>
      <x:c r="N231" s="9"/>
    </x:row>
    <x:row r="232" ht="23" customHeight="1">
      <x:c r="A232" s="9"/>
      <x:c r="B232" s="10"/>
      <x:c r="C232" s="9"/>
      <x:c r="D232" s="9"/>
      <x:c r="E232" s="9"/>
      <x:c r="F232" s="11"/>
      <x:c r="G232" s="12" t="str">
        <x:f>IF(A232="","",SUMIFS('출고대장'!$D$7:$D$1006,'출고대장'!$A$7:$A$1006,A232))</x:f>
      </x:c>
      <x:c r="H232" s="12" t="str">
        <x:f>IF(A232="","",F232-G232)</x:f>
      </x:c>
      <x:c r="I232" s="12" t="str">
        <x:f>IF(A232="","",SUMIFS('출고대장'!$K$7:$K$1006,'출고대장'!$A$7:$A$1006,A232))</x:f>
      </x:c>
      <x:c r="J232" s="12" t="str">
        <x:f>IF(A232="","",SUMIFS('입금대장'!$C$7:$C$1006,'입금대장'!$A$7:$A$1006,A232,'입금대장'!$E$7:$E$1006,"정상"))</x:f>
      </x:c>
      <x:c r="K232" s="12" t="str">
        <x:f>IF(A232="","",I232-J232)</x:f>
      </x:c>
      <x:c r="L232" s="13" t="str">
        <x:f>IF(A232="","",IF(K232&lt;0,"선입금·초과입금",IF(I232=0,"청구 전",IF(K232=0,"정산 완료",IF(J232=0,"미입금","부분 입금")))))</x:f>
      </x:c>
      <x:c r="M232" s="9"/>
      <x:c r="N232" s="9"/>
    </x:row>
    <x:row r="233" ht="23" customHeight="1">
      <x:c r="A233" s="9"/>
      <x:c r="B233" s="10"/>
      <x:c r="C233" s="9"/>
      <x:c r="D233" s="9"/>
      <x:c r="E233" s="9"/>
      <x:c r="F233" s="11"/>
      <x:c r="G233" s="12" t="str">
        <x:f>IF(A233="","",SUMIFS('출고대장'!$D$7:$D$1006,'출고대장'!$A$7:$A$1006,A233))</x:f>
      </x:c>
      <x:c r="H233" s="12" t="str">
        <x:f>IF(A233="","",F233-G233)</x:f>
      </x:c>
      <x:c r="I233" s="12" t="str">
        <x:f>IF(A233="","",SUMIFS('출고대장'!$K$7:$K$1006,'출고대장'!$A$7:$A$1006,A233))</x:f>
      </x:c>
      <x:c r="J233" s="12" t="str">
        <x:f>IF(A233="","",SUMIFS('입금대장'!$C$7:$C$1006,'입금대장'!$A$7:$A$1006,A233,'입금대장'!$E$7:$E$1006,"정상"))</x:f>
      </x:c>
      <x:c r="K233" s="12" t="str">
        <x:f>IF(A233="","",I233-J233)</x:f>
      </x:c>
      <x:c r="L233" s="13" t="str">
        <x:f>IF(A233="","",IF(K233&lt;0,"선입금·초과입금",IF(I233=0,"청구 전",IF(K233=0,"정산 완료",IF(J233=0,"미입금","부분 입금")))))</x:f>
      </x:c>
      <x:c r="M233" s="9"/>
      <x:c r="N233" s="9"/>
    </x:row>
    <x:row r="234" ht="23" customHeight="1">
      <x:c r="A234" s="9"/>
      <x:c r="B234" s="10"/>
      <x:c r="C234" s="9"/>
      <x:c r="D234" s="9"/>
      <x:c r="E234" s="9"/>
      <x:c r="F234" s="11"/>
      <x:c r="G234" s="12" t="str">
        <x:f>IF(A234="","",SUMIFS('출고대장'!$D$7:$D$1006,'출고대장'!$A$7:$A$1006,A234))</x:f>
      </x:c>
      <x:c r="H234" s="12" t="str">
        <x:f>IF(A234="","",F234-G234)</x:f>
      </x:c>
      <x:c r="I234" s="12" t="str">
        <x:f>IF(A234="","",SUMIFS('출고대장'!$K$7:$K$1006,'출고대장'!$A$7:$A$1006,A234))</x:f>
      </x:c>
      <x:c r="J234" s="12" t="str">
        <x:f>IF(A234="","",SUMIFS('입금대장'!$C$7:$C$1006,'입금대장'!$A$7:$A$1006,A234,'입금대장'!$E$7:$E$1006,"정상"))</x:f>
      </x:c>
      <x:c r="K234" s="12" t="str">
        <x:f>IF(A234="","",I234-J234)</x:f>
      </x:c>
      <x:c r="L234" s="13" t="str">
        <x:f>IF(A234="","",IF(K234&lt;0,"선입금·초과입금",IF(I234=0,"청구 전",IF(K234=0,"정산 완료",IF(J234=0,"미입금","부분 입금")))))</x:f>
      </x:c>
      <x:c r="M234" s="9"/>
      <x:c r="N234" s="9"/>
    </x:row>
    <x:row r="235" ht="23" customHeight="1">
      <x:c r="A235" s="9"/>
      <x:c r="B235" s="10"/>
      <x:c r="C235" s="9"/>
      <x:c r="D235" s="9"/>
      <x:c r="E235" s="9"/>
      <x:c r="F235" s="11"/>
      <x:c r="G235" s="12" t="str">
        <x:f>IF(A235="","",SUMIFS('출고대장'!$D$7:$D$1006,'출고대장'!$A$7:$A$1006,A235))</x:f>
      </x:c>
      <x:c r="H235" s="12" t="str">
        <x:f>IF(A235="","",F235-G235)</x:f>
      </x:c>
      <x:c r="I235" s="12" t="str">
        <x:f>IF(A235="","",SUMIFS('출고대장'!$K$7:$K$1006,'출고대장'!$A$7:$A$1006,A235))</x:f>
      </x:c>
      <x:c r="J235" s="12" t="str">
        <x:f>IF(A235="","",SUMIFS('입금대장'!$C$7:$C$1006,'입금대장'!$A$7:$A$1006,A235,'입금대장'!$E$7:$E$1006,"정상"))</x:f>
      </x:c>
      <x:c r="K235" s="12" t="str">
        <x:f>IF(A235="","",I235-J235)</x:f>
      </x:c>
      <x:c r="L235" s="13" t="str">
        <x:f>IF(A235="","",IF(K235&lt;0,"선입금·초과입금",IF(I235=0,"청구 전",IF(K235=0,"정산 완료",IF(J235=0,"미입금","부분 입금")))))</x:f>
      </x:c>
      <x:c r="M235" s="9"/>
      <x:c r="N235" s="9"/>
    </x:row>
    <x:row r="236" ht="23" customHeight="1">
      <x:c r="A236" s="9"/>
      <x:c r="B236" s="10"/>
      <x:c r="C236" s="9"/>
      <x:c r="D236" s="9"/>
      <x:c r="E236" s="9"/>
      <x:c r="F236" s="11"/>
      <x:c r="G236" s="12" t="str">
        <x:f>IF(A236="","",SUMIFS('출고대장'!$D$7:$D$1006,'출고대장'!$A$7:$A$1006,A236))</x:f>
      </x:c>
      <x:c r="H236" s="12" t="str">
        <x:f>IF(A236="","",F236-G236)</x:f>
      </x:c>
      <x:c r="I236" s="12" t="str">
        <x:f>IF(A236="","",SUMIFS('출고대장'!$K$7:$K$1006,'출고대장'!$A$7:$A$1006,A236))</x:f>
      </x:c>
      <x:c r="J236" s="12" t="str">
        <x:f>IF(A236="","",SUMIFS('입금대장'!$C$7:$C$1006,'입금대장'!$A$7:$A$1006,A236,'입금대장'!$E$7:$E$1006,"정상"))</x:f>
      </x:c>
      <x:c r="K236" s="12" t="str">
        <x:f>IF(A236="","",I236-J236)</x:f>
      </x:c>
      <x:c r="L236" s="13" t="str">
        <x:f>IF(A236="","",IF(K236&lt;0,"선입금·초과입금",IF(I236=0,"청구 전",IF(K236=0,"정산 완료",IF(J236=0,"미입금","부분 입금")))))</x:f>
      </x:c>
      <x:c r="M236" s="9"/>
      <x:c r="N236" s="9"/>
    </x:row>
    <x:row r="237" ht="23" customHeight="1">
      <x:c r="A237" s="9"/>
      <x:c r="B237" s="10"/>
      <x:c r="C237" s="9"/>
      <x:c r="D237" s="9"/>
      <x:c r="E237" s="9"/>
      <x:c r="F237" s="11"/>
      <x:c r="G237" s="12" t="str">
        <x:f>IF(A237="","",SUMIFS('출고대장'!$D$7:$D$1006,'출고대장'!$A$7:$A$1006,A237))</x:f>
      </x:c>
      <x:c r="H237" s="12" t="str">
        <x:f>IF(A237="","",F237-G237)</x:f>
      </x:c>
      <x:c r="I237" s="12" t="str">
        <x:f>IF(A237="","",SUMIFS('출고대장'!$K$7:$K$1006,'출고대장'!$A$7:$A$1006,A237))</x:f>
      </x:c>
      <x:c r="J237" s="12" t="str">
        <x:f>IF(A237="","",SUMIFS('입금대장'!$C$7:$C$1006,'입금대장'!$A$7:$A$1006,A237,'입금대장'!$E$7:$E$1006,"정상"))</x:f>
      </x:c>
      <x:c r="K237" s="12" t="str">
        <x:f>IF(A237="","",I237-J237)</x:f>
      </x:c>
      <x:c r="L237" s="13" t="str">
        <x:f>IF(A237="","",IF(K237&lt;0,"선입금·초과입금",IF(I237=0,"청구 전",IF(K237=0,"정산 완료",IF(J237=0,"미입금","부분 입금")))))</x:f>
      </x:c>
      <x:c r="M237" s="9"/>
      <x:c r="N237" s="9"/>
    </x:row>
    <x:row r="238" ht="23" customHeight="1">
      <x:c r="A238" s="9"/>
      <x:c r="B238" s="10"/>
      <x:c r="C238" s="9"/>
      <x:c r="D238" s="9"/>
      <x:c r="E238" s="9"/>
      <x:c r="F238" s="11"/>
      <x:c r="G238" s="12" t="str">
        <x:f>IF(A238="","",SUMIFS('출고대장'!$D$7:$D$1006,'출고대장'!$A$7:$A$1006,A238))</x:f>
      </x:c>
      <x:c r="H238" s="12" t="str">
        <x:f>IF(A238="","",F238-G238)</x:f>
      </x:c>
      <x:c r="I238" s="12" t="str">
        <x:f>IF(A238="","",SUMIFS('출고대장'!$K$7:$K$1006,'출고대장'!$A$7:$A$1006,A238))</x:f>
      </x:c>
      <x:c r="J238" s="12" t="str">
        <x:f>IF(A238="","",SUMIFS('입금대장'!$C$7:$C$1006,'입금대장'!$A$7:$A$1006,A238,'입금대장'!$E$7:$E$1006,"정상"))</x:f>
      </x:c>
      <x:c r="K238" s="12" t="str">
        <x:f>IF(A238="","",I238-J238)</x:f>
      </x:c>
      <x:c r="L238" s="13" t="str">
        <x:f>IF(A238="","",IF(K238&lt;0,"선입금·초과입금",IF(I238=0,"청구 전",IF(K238=0,"정산 완료",IF(J238=0,"미입금","부분 입금")))))</x:f>
      </x:c>
      <x:c r="M238" s="9"/>
      <x:c r="N238" s="9"/>
    </x:row>
    <x:row r="239" ht="23" customHeight="1">
      <x:c r="A239" s="9"/>
      <x:c r="B239" s="10"/>
      <x:c r="C239" s="9"/>
      <x:c r="D239" s="9"/>
      <x:c r="E239" s="9"/>
      <x:c r="F239" s="11"/>
      <x:c r="G239" s="12" t="str">
        <x:f>IF(A239="","",SUMIFS('출고대장'!$D$7:$D$1006,'출고대장'!$A$7:$A$1006,A239))</x:f>
      </x:c>
      <x:c r="H239" s="12" t="str">
        <x:f>IF(A239="","",F239-G239)</x:f>
      </x:c>
      <x:c r="I239" s="12" t="str">
        <x:f>IF(A239="","",SUMIFS('출고대장'!$K$7:$K$1006,'출고대장'!$A$7:$A$1006,A239))</x:f>
      </x:c>
      <x:c r="J239" s="12" t="str">
        <x:f>IF(A239="","",SUMIFS('입금대장'!$C$7:$C$1006,'입금대장'!$A$7:$A$1006,A239,'입금대장'!$E$7:$E$1006,"정상"))</x:f>
      </x:c>
      <x:c r="K239" s="12" t="str">
        <x:f>IF(A239="","",I239-J239)</x:f>
      </x:c>
      <x:c r="L239" s="13" t="str">
        <x:f>IF(A239="","",IF(K239&lt;0,"선입금·초과입금",IF(I239=0,"청구 전",IF(K239=0,"정산 완료",IF(J239=0,"미입금","부분 입금")))))</x:f>
      </x:c>
      <x:c r="M239" s="9"/>
      <x:c r="N239" s="9"/>
    </x:row>
    <x:row r="240" ht="23" customHeight="1">
      <x:c r="A240" s="9"/>
      <x:c r="B240" s="10"/>
      <x:c r="C240" s="9"/>
      <x:c r="D240" s="9"/>
      <x:c r="E240" s="9"/>
      <x:c r="F240" s="11"/>
      <x:c r="G240" s="12" t="str">
        <x:f>IF(A240="","",SUMIFS('출고대장'!$D$7:$D$1006,'출고대장'!$A$7:$A$1006,A240))</x:f>
      </x:c>
      <x:c r="H240" s="12" t="str">
        <x:f>IF(A240="","",F240-G240)</x:f>
      </x:c>
      <x:c r="I240" s="12" t="str">
        <x:f>IF(A240="","",SUMIFS('출고대장'!$K$7:$K$1006,'출고대장'!$A$7:$A$1006,A240))</x:f>
      </x:c>
      <x:c r="J240" s="12" t="str">
        <x:f>IF(A240="","",SUMIFS('입금대장'!$C$7:$C$1006,'입금대장'!$A$7:$A$1006,A240,'입금대장'!$E$7:$E$1006,"정상"))</x:f>
      </x:c>
      <x:c r="K240" s="12" t="str">
        <x:f>IF(A240="","",I240-J240)</x:f>
      </x:c>
      <x:c r="L240" s="13" t="str">
        <x:f>IF(A240="","",IF(K240&lt;0,"선입금·초과입금",IF(I240=0,"청구 전",IF(K240=0,"정산 완료",IF(J240=0,"미입금","부분 입금")))))</x:f>
      </x:c>
      <x:c r="M240" s="9"/>
      <x:c r="N240" s="9"/>
    </x:row>
    <x:row r="241" ht="23" customHeight="1">
      <x:c r="A241" s="9"/>
      <x:c r="B241" s="10"/>
      <x:c r="C241" s="9"/>
      <x:c r="D241" s="9"/>
      <x:c r="E241" s="9"/>
      <x:c r="F241" s="11"/>
      <x:c r="G241" s="12" t="str">
        <x:f>IF(A241="","",SUMIFS('출고대장'!$D$7:$D$1006,'출고대장'!$A$7:$A$1006,A241))</x:f>
      </x:c>
      <x:c r="H241" s="12" t="str">
        <x:f>IF(A241="","",F241-G241)</x:f>
      </x:c>
      <x:c r="I241" s="12" t="str">
        <x:f>IF(A241="","",SUMIFS('출고대장'!$K$7:$K$1006,'출고대장'!$A$7:$A$1006,A241))</x:f>
      </x:c>
      <x:c r="J241" s="12" t="str">
        <x:f>IF(A241="","",SUMIFS('입금대장'!$C$7:$C$1006,'입금대장'!$A$7:$A$1006,A241,'입금대장'!$E$7:$E$1006,"정상"))</x:f>
      </x:c>
      <x:c r="K241" s="12" t="str">
        <x:f>IF(A241="","",I241-J241)</x:f>
      </x:c>
      <x:c r="L241" s="13" t="str">
        <x:f>IF(A241="","",IF(K241&lt;0,"선입금·초과입금",IF(I241=0,"청구 전",IF(K241=0,"정산 완료",IF(J241=0,"미입금","부분 입금")))))</x:f>
      </x:c>
      <x:c r="M241" s="9"/>
      <x:c r="N241" s="9"/>
    </x:row>
    <x:row r="242" ht="23" customHeight="1">
      <x:c r="A242" s="9"/>
      <x:c r="B242" s="10"/>
      <x:c r="C242" s="9"/>
      <x:c r="D242" s="9"/>
      <x:c r="E242" s="9"/>
      <x:c r="F242" s="11"/>
      <x:c r="G242" s="12" t="str">
        <x:f>IF(A242="","",SUMIFS('출고대장'!$D$7:$D$1006,'출고대장'!$A$7:$A$1006,A242))</x:f>
      </x:c>
      <x:c r="H242" s="12" t="str">
        <x:f>IF(A242="","",F242-G242)</x:f>
      </x:c>
      <x:c r="I242" s="12" t="str">
        <x:f>IF(A242="","",SUMIFS('출고대장'!$K$7:$K$1006,'출고대장'!$A$7:$A$1006,A242))</x:f>
      </x:c>
      <x:c r="J242" s="12" t="str">
        <x:f>IF(A242="","",SUMIFS('입금대장'!$C$7:$C$1006,'입금대장'!$A$7:$A$1006,A242,'입금대장'!$E$7:$E$1006,"정상"))</x:f>
      </x:c>
      <x:c r="K242" s="12" t="str">
        <x:f>IF(A242="","",I242-J242)</x:f>
      </x:c>
      <x:c r="L242" s="13" t="str">
        <x:f>IF(A242="","",IF(K242&lt;0,"선입금·초과입금",IF(I242=0,"청구 전",IF(K242=0,"정산 완료",IF(J242=0,"미입금","부분 입금")))))</x:f>
      </x:c>
      <x:c r="M242" s="9"/>
      <x:c r="N242" s="9"/>
    </x:row>
    <x:row r="243" ht="23" customHeight="1">
      <x:c r="A243" s="9"/>
      <x:c r="B243" s="10"/>
      <x:c r="C243" s="9"/>
      <x:c r="D243" s="9"/>
      <x:c r="E243" s="9"/>
      <x:c r="F243" s="11"/>
      <x:c r="G243" s="12" t="str">
        <x:f>IF(A243="","",SUMIFS('출고대장'!$D$7:$D$1006,'출고대장'!$A$7:$A$1006,A243))</x:f>
      </x:c>
      <x:c r="H243" s="12" t="str">
        <x:f>IF(A243="","",F243-G243)</x:f>
      </x:c>
      <x:c r="I243" s="12" t="str">
        <x:f>IF(A243="","",SUMIFS('출고대장'!$K$7:$K$1006,'출고대장'!$A$7:$A$1006,A243))</x:f>
      </x:c>
      <x:c r="J243" s="12" t="str">
        <x:f>IF(A243="","",SUMIFS('입금대장'!$C$7:$C$1006,'입금대장'!$A$7:$A$1006,A243,'입금대장'!$E$7:$E$1006,"정상"))</x:f>
      </x:c>
      <x:c r="K243" s="12" t="str">
        <x:f>IF(A243="","",I243-J243)</x:f>
      </x:c>
      <x:c r="L243" s="13" t="str">
        <x:f>IF(A243="","",IF(K243&lt;0,"선입금·초과입금",IF(I243=0,"청구 전",IF(K243=0,"정산 완료",IF(J243=0,"미입금","부분 입금")))))</x:f>
      </x:c>
      <x:c r="M243" s="9"/>
      <x:c r="N243" s="9"/>
    </x:row>
    <x:row r="244" ht="23" customHeight="1">
      <x:c r="A244" s="9"/>
      <x:c r="B244" s="10"/>
      <x:c r="C244" s="9"/>
      <x:c r="D244" s="9"/>
      <x:c r="E244" s="9"/>
      <x:c r="F244" s="11"/>
      <x:c r="G244" s="12" t="str">
        <x:f>IF(A244="","",SUMIFS('출고대장'!$D$7:$D$1006,'출고대장'!$A$7:$A$1006,A244))</x:f>
      </x:c>
      <x:c r="H244" s="12" t="str">
        <x:f>IF(A244="","",F244-G244)</x:f>
      </x:c>
      <x:c r="I244" s="12" t="str">
        <x:f>IF(A244="","",SUMIFS('출고대장'!$K$7:$K$1006,'출고대장'!$A$7:$A$1006,A244))</x:f>
      </x:c>
      <x:c r="J244" s="12" t="str">
        <x:f>IF(A244="","",SUMIFS('입금대장'!$C$7:$C$1006,'입금대장'!$A$7:$A$1006,A244,'입금대장'!$E$7:$E$1006,"정상"))</x:f>
      </x:c>
      <x:c r="K244" s="12" t="str">
        <x:f>IF(A244="","",I244-J244)</x:f>
      </x:c>
      <x:c r="L244" s="13" t="str">
        <x:f>IF(A244="","",IF(K244&lt;0,"선입금·초과입금",IF(I244=0,"청구 전",IF(K244=0,"정산 완료",IF(J244=0,"미입금","부분 입금")))))</x:f>
      </x:c>
      <x:c r="M244" s="9"/>
      <x:c r="N244" s="9"/>
    </x:row>
    <x:row r="245" ht="23" customHeight="1">
      <x:c r="A245" s="9"/>
      <x:c r="B245" s="10"/>
      <x:c r="C245" s="9"/>
      <x:c r="D245" s="9"/>
      <x:c r="E245" s="9"/>
      <x:c r="F245" s="11"/>
      <x:c r="G245" s="12" t="str">
        <x:f>IF(A245="","",SUMIFS('출고대장'!$D$7:$D$1006,'출고대장'!$A$7:$A$1006,A245))</x:f>
      </x:c>
      <x:c r="H245" s="12" t="str">
        <x:f>IF(A245="","",F245-G245)</x:f>
      </x:c>
      <x:c r="I245" s="12" t="str">
        <x:f>IF(A245="","",SUMIFS('출고대장'!$K$7:$K$1006,'출고대장'!$A$7:$A$1006,A245))</x:f>
      </x:c>
      <x:c r="J245" s="12" t="str">
        <x:f>IF(A245="","",SUMIFS('입금대장'!$C$7:$C$1006,'입금대장'!$A$7:$A$1006,A245,'입금대장'!$E$7:$E$1006,"정상"))</x:f>
      </x:c>
      <x:c r="K245" s="12" t="str">
        <x:f>IF(A245="","",I245-J245)</x:f>
      </x:c>
      <x:c r="L245" s="13" t="str">
        <x:f>IF(A245="","",IF(K245&lt;0,"선입금·초과입금",IF(I245=0,"청구 전",IF(K245=0,"정산 완료",IF(J245=0,"미입금","부분 입금")))))</x:f>
      </x:c>
      <x:c r="M245" s="9"/>
      <x:c r="N245" s="9"/>
    </x:row>
    <x:row r="246" ht="23" customHeight="1">
      <x:c r="A246" s="9"/>
      <x:c r="B246" s="10"/>
      <x:c r="C246" s="9"/>
      <x:c r="D246" s="9"/>
      <x:c r="E246" s="9"/>
      <x:c r="F246" s="11"/>
      <x:c r="G246" s="12" t="str">
        <x:f>IF(A246="","",SUMIFS('출고대장'!$D$7:$D$1006,'출고대장'!$A$7:$A$1006,A246))</x:f>
      </x:c>
      <x:c r="H246" s="12" t="str">
        <x:f>IF(A246="","",F246-G246)</x:f>
      </x:c>
      <x:c r="I246" s="12" t="str">
        <x:f>IF(A246="","",SUMIFS('출고대장'!$K$7:$K$1006,'출고대장'!$A$7:$A$1006,A246))</x:f>
      </x:c>
      <x:c r="J246" s="12" t="str">
        <x:f>IF(A246="","",SUMIFS('입금대장'!$C$7:$C$1006,'입금대장'!$A$7:$A$1006,A246,'입금대장'!$E$7:$E$1006,"정상"))</x:f>
      </x:c>
      <x:c r="K246" s="12" t="str">
        <x:f>IF(A246="","",I246-J246)</x:f>
      </x:c>
      <x:c r="L246" s="13" t="str">
        <x:f>IF(A246="","",IF(K246&lt;0,"선입금·초과입금",IF(I246=0,"청구 전",IF(K246=0,"정산 완료",IF(J246=0,"미입금","부분 입금")))))</x:f>
      </x:c>
      <x:c r="M246" s="9"/>
      <x:c r="N246" s="9"/>
    </x:row>
    <x:row r="247" ht="23" customHeight="1">
      <x:c r="A247" s="9"/>
      <x:c r="B247" s="10"/>
      <x:c r="C247" s="9"/>
      <x:c r="D247" s="9"/>
      <x:c r="E247" s="9"/>
      <x:c r="F247" s="11"/>
      <x:c r="G247" s="12" t="str">
        <x:f>IF(A247="","",SUMIFS('출고대장'!$D$7:$D$1006,'출고대장'!$A$7:$A$1006,A247))</x:f>
      </x:c>
      <x:c r="H247" s="12" t="str">
        <x:f>IF(A247="","",F247-G247)</x:f>
      </x:c>
      <x:c r="I247" s="12" t="str">
        <x:f>IF(A247="","",SUMIFS('출고대장'!$K$7:$K$1006,'출고대장'!$A$7:$A$1006,A247))</x:f>
      </x:c>
      <x:c r="J247" s="12" t="str">
        <x:f>IF(A247="","",SUMIFS('입금대장'!$C$7:$C$1006,'입금대장'!$A$7:$A$1006,A247,'입금대장'!$E$7:$E$1006,"정상"))</x:f>
      </x:c>
      <x:c r="K247" s="12" t="str">
        <x:f>IF(A247="","",I247-J247)</x:f>
      </x:c>
      <x:c r="L247" s="13" t="str">
        <x:f>IF(A247="","",IF(K247&lt;0,"선입금·초과입금",IF(I247=0,"청구 전",IF(K247=0,"정산 완료",IF(J247=0,"미입금","부분 입금")))))</x:f>
      </x:c>
      <x:c r="M247" s="9"/>
      <x:c r="N247" s="9"/>
    </x:row>
    <x:row r="248" ht="23" customHeight="1">
      <x:c r="A248" s="9"/>
      <x:c r="B248" s="10"/>
      <x:c r="C248" s="9"/>
      <x:c r="D248" s="9"/>
      <x:c r="E248" s="9"/>
      <x:c r="F248" s="11"/>
      <x:c r="G248" s="12" t="str">
        <x:f>IF(A248="","",SUMIFS('출고대장'!$D$7:$D$1006,'출고대장'!$A$7:$A$1006,A248))</x:f>
      </x:c>
      <x:c r="H248" s="12" t="str">
        <x:f>IF(A248="","",F248-G248)</x:f>
      </x:c>
      <x:c r="I248" s="12" t="str">
        <x:f>IF(A248="","",SUMIFS('출고대장'!$K$7:$K$1006,'출고대장'!$A$7:$A$1006,A248))</x:f>
      </x:c>
      <x:c r="J248" s="12" t="str">
        <x:f>IF(A248="","",SUMIFS('입금대장'!$C$7:$C$1006,'입금대장'!$A$7:$A$1006,A248,'입금대장'!$E$7:$E$1006,"정상"))</x:f>
      </x:c>
      <x:c r="K248" s="12" t="str">
        <x:f>IF(A248="","",I248-J248)</x:f>
      </x:c>
      <x:c r="L248" s="13" t="str">
        <x:f>IF(A248="","",IF(K248&lt;0,"선입금·초과입금",IF(I248=0,"청구 전",IF(K248=0,"정산 완료",IF(J248=0,"미입금","부분 입금")))))</x:f>
      </x:c>
      <x:c r="M248" s="9"/>
      <x:c r="N248" s="9"/>
    </x:row>
    <x:row r="249" ht="23" customHeight="1">
      <x:c r="A249" s="9"/>
      <x:c r="B249" s="10"/>
      <x:c r="C249" s="9"/>
      <x:c r="D249" s="9"/>
      <x:c r="E249" s="9"/>
      <x:c r="F249" s="11"/>
      <x:c r="G249" s="12" t="str">
        <x:f>IF(A249="","",SUMIFS('출고대장'!$D$7:$D$1006,'출고대장'!$A$7:$A$1006,A249))</x:f>
      </x:c>
      <x:c r="H249" s="12" t="str">
        <x:f>IF(A249="","",F249-G249)</x:f>
      </x:c>
      <x:c r="I249" s="12" t="str">
        <x:f>IF(A249="","",SUMIFS('출고대장'!$K$7:$K$1006,'출고대장'!$A$7:$A$1006,A249))</x:f>
      </x:c>
      <x:c r="J249" s="12" t="str">
        <x:f>IF(A249="","",SUMIFS('입금대장'!$C$7:$C$1006,'입금대장'!$A$7:$A$1006,A249,'입금대장'!$E$7:$E$1006,"정상"))</x:f>
      </x:c>
      <x:c r="K249" s="12" t="str">
        <x:f>IF(A249="","",I249-J249)</x:f>
      </x:c>
      <x:c r="L249" s="13" t="str">
        <x:f>IF(A249="","",IF(K249&lt;0,"선입금·초과입금",IF(I249=0,"청구 전",IF(K249=0,"정산 완료",IF(J249=0,"미입금","부분 입금")))))</x:f>
      </x:c>
      <x:c r="M249" s="9"/>
      <x:c r="N249" s="9"/>
    </x:row>
    <x:row r="250" ht="23" customHeight="1">
      <x:c r="A250" s="9"/>
      <x:c r="B250" s="10"/>
      <x:c r="C250" s="9"/>
      <x:c r="D250" s="9"/>
      <x:c r="E250" s="9"/>
      <x:c r="F250" s="11"/>
      <x:c r="G250" s="12" t="str">
        <x:f>IF(A250="","",SUMIFS('출고대장'!$D$7:$D$1006,'출고대장'!$A$7:$A$1006,A250))</x:f>
      </x:c>
      <x:c r="H250" s="12" t="str">
        <x:f>IF(A250="","",F250-G250)</x:f>
      </x:c>
      <x:c r="I250" s="12" t="str">
        <x:f>IF(A250="","",SUMIFS('출고대장'!$K$7:$K$1006,'출고대장'!$A$7:$A$1006,A250))</x:f>
      </x:c>
      <x:c r="J250" s="12" t="str">
        <x:f>IF(A250="","",SUMIFS('입금대장'!$C$7:$C$1006,'입금대장'!$A$7:$A$1006,A250,'입금대장'!$E$7:$E$1006,"정상"))</x:f>
      </x:c>
      <x:c r="K250" s="12" t="str">
        <x:f>IF(A250="","",I250-J250)</x:f>
      </x:c>
      <x:c r="L250" s="13" t="str">
        <x:f>IF(A250="","",IF(K250&lt;0,"선입금·초과입금",IF(I250=0,"청구 전",IF(K250=0,"정산 완료",IF(J250=0,"미입금","부분 입금")))))</x:f>
      </x:c>
      <x:c r="M250" s="9"/>
      <x:c r="N250" s="9"/>
    </x:row>
    <x:row r="251" ht="23" customHeight="1">
      <x:c r="A251" s="9"/>
      <x:c r="B251" s="10"/>
      <x:c r="C251" s="9"/>
      <x:c r="D251" s="9"/>
      <x:c r="E251" s="9"/>
      <x:c r="F251" s="11"/>
      <x:c r="G251" s="12" t="str">
        <x:f>IF(A251="","",SUMIFS('출고대장'!$D$7:$D$1006,'출고대장'!$A$7:$A$1006,A251))</x:f>
      </x:c>
      <x:c r="H251" s="12" t="str">
        <x:f>IF(A251="","",F251-G251)</x:f>
      </x:c>
      <x:c r="I251" s="12" t="str">
        <x:f>IF(A251="","",SUMIFS('출고대장'!$K$7:$K$1006,'출고대장'!$A$7:$A$1006,A251))</x:f>
      </x:c>
      <x:c r="J251" s="12" t="str">
        <x:f>IF(A251="","",SUMIFS('입금대장'!$C$7:$C$1006,'입금대장'!$A$7:$A$1006,A251,'입금대장'!$E$7:$E$1006,"정상"))</x:f>
      </x:c>
      <x:c r="K251" s="12" t="str">
        <x:f>IF(A251="","",I251-J251)</x:f>
      </x:c>
      <x:c r="L251" s="13" t="str">
        <x:f>IF(A251="","",IF(K251&lt;0,"선입금·초과입금",IF(I251=0,"청구 전",IF(K251=0,"정산 완료",IF(J251=0,"미입금","부분 입금")))))</x:f>
      </x:c>
      <x:c r="M251" s="9"/>
      <x:c r="N251" s="9"/>
    </x:row>
    <x:row r="252" ht="23" customHeight="1">
      <x:c r="A252" s="9"/>
      <x:c r="B252" s="10"/>
      <x:c r="C252" s="9"/>
      <x:c r="D252" s="9"/>
      <x:c r="E252" s="9"/>
      <x:c r="F252" s="11"/>
      <x:c r="G252" s="12" t="str">
        <x:f>IF(A252="","",SUMIFS('출고대장'!$D$7:$D$1006,'출고대장'!$A$7:$A$1006,A252))</x:f>
      </x:c>
      <x:c r="H252" s="12" t="str">
        <x:f>IF(A252="","",F252-G252)</x:f>
      </x:c>
      <x:c r="I252" s="12" t="str">
        <x:f>IF(A252="","",SUMIFS('출고대장'!$K$7:$K$1006,'출고대장'!$A$7:$A$1006,A252))</x:f>
      </x:c>
      <x:c r="J252" s="12" t="str">
        <x:f>IF(A252="","",SUMIFS('입금대장'!$C$7:$C$1006,'입금대장'!$A$7:$A$1006,A252,'입금대장'!$E$7:$E$1006,"정상"))</x:f>
      </x:c>
      <x:c r="K252" s="12" t="str">
        <x:f>IF(A252="","",I252-J252)</x:f>
      </x:c>
      <x:c r="L252" s="13" t="str">
        <x:f>IF(A252="","",IF(K252&lt;0,"선입금·초과입금",IF(I252=0,"청구 전",IF(K252=0,"정산 완료",IF(J252=0,"미입금","부분 입금")))))</x:f>
      </x:c>
      <x:c r="M252" s="9"/>
      <x:c r="N252" s="9"/>
    </x:row>
    <x:row r="253" ht="23" customHeight="1">
      <x:c r="A253" s="9"/>
      <x:c r="B253" s="10"/>
      <x:c r="C253" s="9"/>
      <x:c r="D253" s="9"/>
      <x:c r="E253" s="9"/>
      <x:c r="F253" s="11"/>
      <x:c r="G253" s="12" t="str">
        <x:f>IF(A253="","",SUMIFS('출고대장'!$D$7:$D$1006,'출고대장'!$A$7:$A$1006,A253))</x:f>
      </x:c>
      <x:c r="H253" s="12" t="str">
        <x:f>IF(A253="","",F253-G253)</x:f>
      </x:c>
      <x:c r="I253" s="12" t="str">
        <x:f>IF(A253="","",SUMIFS('출고대장'!$K$7:$K$1006,'출고대장'!$A$7:$A$1006,A253))</x:f>
      </x:c>
      <x:c r="J253" s="12" t="str">
        <x:f>IF(A253="","",SUMIFS('입금대장'!$C$7:$C$1006,'입금대장'!$A$7:$A$1006,A253,'입금대장'!$E$7:$E$1006,"정상"))</x:f>
      </x:c>
      <x:c r="K253" s="12" t="str">
        <x:f>IF(A253="","",I253-J253)</x:f>
      </x:c>
      <x:c r="L253" s="13" t="str">
        <x:f>IF(A253="","",IF(K253&lt;0,"선입금·초과입금",IF(I253=0,"청구 전",IF(K253=0,"정산 완료",IF(J253=0,"미입금","부분 입금")))))</x:f>
      </x:c>
      <x:c r="M253" s="9"/>
      <x:c r="N253" s="9"/>
    </x:row>
    <x:row r="254" ht="23" customHeight="1">
      <x:c r="A254" s="9"/>
      <x:c r="B254" s="10"/>
      <x:c r="C254" s="9"/>
      <x:c r="D254" s="9"/>
      <x:c r="E254" s="9"/>
      <x:c r="F254" s="11"/>
      <x:c r="G254" s="12" t="str">
        <x:f>IF(A254="","",SUMIFS('출고대장'!$D$7:$D$1006,'출고대장'!$A$7:$A$1006,A254))</x:f>
      </x:c>
      <x:c r="H254" s="12" t="str">
        <x:f>IF(A254="","",F254-G254)</x:f>
      </x:c>
      <x:c r="I254" s="12" t="str">
        <x:f>IF(A254="","",SUMIFS('출고대장'!$K$7:$K$1006,'출고대장'!$A$7:$A$1006,A254))</x:f>
      </x:c>
      <x:c r="J254" s="12" t="str">
        <x:f>IF(A254="","",SUMIFS('입금대장'!$C$7:$C$1006,'입금대장'!$A$7:$A$1006,A254,'입금대장'!$E$7:$E$1006,"정상"))</x:f>
      </x:c>
      <x:c r="K254" s="12" t="str">
        <x:f>IF(A254="","",I254-J254)</x:f>
      </x:c>
      <x:c r="L254" s="13" t="str">
        <x:f>IF(A254="","",IF(K254&lt;0,"선입금·초과입금",IF(I254=0,"청구 전",IF(K254=0,"정산 완료",IF(J254=0,"미입금","부분 입금")))))</x:f>
      </x:c>
      <x:c r="M254" s="9"/>
      <x:c r="N254" s="9"/>
    </x:row>
    <x:row r="255" ht="23" customHeight="1">
      <x:c r="A255" s="9"/>
      <x:c r="B255" s="10"/>
      <x:c r="C255" s="9"/>
      <x:c r="D255" s="9"/>
      <x:c r="E255" s="9"/>
      <x:c r="F255" s="11"/>
      <x:c r="G255" s="12" t="str">
        <x:f>IF(A255="","",SUMIFS('출고대장'!$D$7:$D$1006,'출고대장'!$A$7:$A$1006,A255))</x:f>
      </x:c>
      <x:c r="H255" s="12" t="str">
        <x:f>IF(A255="","",F255-G255)</x:f>
      </x:c>
      <x:c r="I255" s="12" t="str">
        <x:f>IF(A255="","",SUMIFS('출고대장'!$K$7:$K$1006,'출고대장'!$A$7:$A$1006,A255))</x:f>
      </x:c>
      <x:c r="J255" s="12" t="str">
        <x:f>IF(A255="","",SUMIFS('입금대장'!$C$7:$C$1006,'입금대장'!$A$7:$A$1006,A255,'입금대장'!$E$7:$E$1006,"정상"))</x:f>
      </x:c>
      <x:c r="K255" s="12" t="str">
        <x:f>IF(A255="","",I255-J255)</x:f>
      </x:c>
      <x:c r="L255" s="13" t="str">
        <x:f>IF(A255="","",IF(K255&lt;0,"선입금·초과입금",IF(I255=0,"청구 전",IF(K255=0,"정산 완료",IF(J255=0,"미입금","부분 입금")))))</x:f>
      </x:c>
      <x:c r="M255" s="9"/>
      <x:c r="N255" s="9"/>
    </x:row>
    <x:row r="256" ht="23" customHeight="1">
      <x:c r="A256" s="9"/>
      <x:c r="B256" s="10"/>
      <x:c r="C256" s="9"/>
      <x:c r="D256" s="9"/>
      <x:c r="E256" s="9"/>
      <x:c r="F256" s="11"/>
      <x:c r="G256" s="12" t="str">
        <x:f>IF(A256="","",SUMIFS('출고대장'!$D$7:$D$1006,'출고대장'!$A$7:$A$1006,A256))</x:f>
      </x:c>
      <x:c r="H256" s="12" t="str">
        <x:f>IF(A256="","",F256-G256)</x:f>
      </x:c>
      <x:c r="I256" s="12" t="str">
        <x:f>IF(A256="","",SUMIFS('출고대장'!$K$7:$K$1006,'출고대장'!$A$7:$A$1006,A256))</x:f>
      </x:c>
      <x:c r="J256" s="12" t="str">
        <x:f>IF(A256="","",SUMIFS('입금대장'!$C$7:$C$1006,'입금대장'!$A$7:$A$1006,A256,'입금대장'!$E$7:$E$1006,"정상"))</x:f>
      </x:c>
      <x:c r="K256" s="12" t="str">
        <x:f>IF(A256="","",I256-J256)</x:f>
      </x:c>
      <x:c r="L256" s="13" t="str">
        <x:f>IF(A256="","",IF(K256&lt;0,"선입금·초과입금",IF(I256=0,"청구 전",IF(K256=0,"정산 완료",IF(J256=0,"미입금","부분 입금")))))</x:f>
      </x:c>
      <x:c r="M256" s="9"/>
      <x:c r="N256" s="9"/>
    </x:row>
    <x:row r="257" ht="23" customHeight="1">
      <x:c r="A257" s="9"/>
      <x:c r="B257" s="10"/>
      <x:c r="C257" s="9"/>
      <x:c r="D257" s="9"/>
      <x:c r="E257" s="9"/>
      <x:c r="F257" s="11"/>
      <x:c r="G257" s="12" t="str">
        <x:f>IF(A257="","",SUMIFS('출고대장'!$D$7:$D$1006,'출고대장'!$A$7:$A$1006,A257))</x:f>
      </x:c>
      <x:c r="H257" s="12" t="str">
        <x:f>IF(A257="","",F257-G257)</x:f>
      </x:c>
      <x:c r="I257" s="12" t="str">
        <x:f>IF(A257="","",SUMIFS('출고대장'!$K$7:$K$1006,'출고대장'!$A$7:$A$1006,A257))</x:f>
      </x:c>
      <x:c r="J257" s="12" t="str">
        <x:f>IF(A257="","",SUMIFS('입금대장'!$C$7:$C$1006,'입금대장'!$A$7:$A$1006,A257,'입금대장'!$E$7:$E$1006,"정상"))</x:f>
      </x:c>
      <x:c r="K257" s="12" t="str">
        <x:f>IF(A257="","",I257-J257)</x:f>
      </x:c>
      <x:c r="L257" s="13" t="str">
        <x:f>IF(A257="","",IF(K257&lt;0,"선입금·초과입금",IF(I257=0,"청구 전",IF(K257=0,"정산 완료",IF(J257=0,"미입금","부분 입금")))))</x:f>
      </x:c>
      <x:c r="M257" s="9"/>
      <x:c r="N257" s="9"/>
    </x:row>
    <x:row r="258" ht="23" customHeight="1">
      <x:c r="A258" s="9"/>
      <x:c r="B258" s="10"/>
      <x:c r="C258" s="9"/>
      <x:c r="D258" s="9"/>
      <x:c r="E258" s="9"/>
      <x:c r="F258" s="11"/>
      <x:c r="G258" s="12" t="str">
        <x:f>IF(A258="","",SUMIFS('출고대장'!$D$7:$D$1006,'출고대장'!$A$7:$A$1006,A258))</x:f>
      </x:c>
      <x:c r="H258" s="12" t="str">
        <x:f>IF(A258="","",F258-G258)</x:f>
      </x:c>
      <x:c r="I258" s="12" t="str">
        <x:f>IF(A258="","",SUMIFS('출고대장'!$K$7:$K$1006,'출고대장'!$A$7:$A$1006,A258))</x:f>
      </x:c>
      <x:c r="J258" s="12" t="str">
        <x:f>IF(A258="","",SUMIFS('입금대장'!$C$7:$C$1006,'입금대장'!$A$7:$A$1006,A258,'입금대장'!$E$7:$E$1006,"정상"))</x:f>
      </x:c>
      <x:c r="K258" s="12" t="str">
        <x:f>IF(A258="","",I258-J258)</x:f>
      </x:c>
      <x:c r="L258" s="13" t="str">
        <x:f>IF(A258="","",IF(K258&lt;0,"선입금·초과입금",IF(I258=0,"청구 전",IF(K258=0,"정산 완료",IF(J258=0,"미입금","부분 입금")))))</x:f>
      </x:c>
      <x:c r="M258" s="9"/>
      <x:c r="N258" s="9"/>
    </x:row>
    <x:row r="259" ht="23" customHeight="1">
      <x:c r="A259" s="9"/>
      <x:c r="B259" s="10"/>
      <x:c r="C259" s="9"/>
      <x:c r="D259" s="9"/>
      <x:c r="E259" s="9"/>
      <x:c r="F259" s="11"/>
      <x:c r="G259" s="12" t="str">
        <x:f>IF(A259="","",SUMIFS('출고대장'!$D$7:$D$1006,'출고대장'!$A$7:$A$1006,A259))</x:f>
      </x:c>
      <x:c r="H259" s="12" t="str">
        <x:f>IF(A259="","",F259-G259)</x:f>
      </x:c>
      <x:c r="I259" s="12" t="str">
        <x:f>IF(A259="","",SUMIFS('출고대장'!$K$7:$K$1006,'출고대장'!$A$7:$A$1006,A259))</x:f>
      </x:c>
      <x:c r="J259" s="12" t="str">
        <x:f>IF(A259="","",SUMIFS('입금대장'!$C$7:$C$1006,'입금대장'!$A$7:$A$1006,A259,'입금대장'!$E$7:$E$1006,"정상"))</x:f>
      </x:c>
      <x:c r="K259" s="12" t="str">
        <x:f>IF(A259="","",I259-J259)</x:f>
      </x:c>
      <x:c r="L259" s="13" t="str">
        <x:f>IF(A259="","",IF(K259&lt;0,"선입금·초과입금",IF(I259=0,"청구 전",IF(K259=0,"정산 완료",IF(J259=0,"미입금","부분 입금")))))</x:f>
      </x:c>
      <x:c r="M259" s="9"/>
      <x:c r="N259" s="9"/>
    </x:row>
    <x:row r="260" ht="23" customHeight="1">
      <x:c r="A260" s="9"/>
      <x:c r="B260" s="10"/>
      <x:c r="C260" s="9"/>
      <x:c r="D260" s="9"/>
      <x:c r="E260" s="9"/>
      <x:c r="F260" s="11"/>
      <x:c r="G260" s="12" t="str">
        <x:f>IF(A260="","",SUMIFS('출고대장'!$D$7:$D$1006,'출고대장'!$A$7:$A$1006,A260))</x:f>
      </x:c>
      <x:c r="H260" s="12" t="str">
        <x:f>IF(A260="","",F260-G260)</x:f>
      </x:c>
      <x:c r="I260" s="12" t="str">
        <x:f>IF(A260="","",SUMIFS('출고대장'!$K$7:$K$1006,'출고대장'!$A$7:$A$1006,A260))</x:f>
      </x:c>
      <x:c r="J260" s="12" t="str">
        <x:f>IF(A260="","",SUMIFS('입금대장'!$C$7:$C$1006,'입금대장'!$A$7:$A$1006,A260,'입금대장'!$E$7:$E$1006,"정상"))</x:f>
      </x:c>
      <x:c r="K260" s="12" t="str">
        <x:f>IF(A260="","",I260-J260)</x:f>
      </x:c>
      <x:c r="L260" s="13" t="str">
        <x:f>IF(A260="","",IF(K260&lt;0,"선입금·초과입금",IF(I260=0,"청구 전",IF(K260=0,"정산 완료",IF(J260=0,"미입금","부분 입금")))))</x:f>
      </x:c>
      <x:c r="M260" s="9"/>
      <x:c r="N260" s="9"/>
    </x:row>
    <x:row r="261" ht="23" customHeight="1">
      <x:c r="A261" s="9"/>
      <x:c r="B261" s="10"/>
      <x:c r="C261" s="9"/>
      <x:c r="D261" s="9"/>
      <x:c r="E261" s="9"/>
      <x:c r="F261" s="11"/>
      <x:c r="G261" s="12" t="str">
        <x:f>IF(A261="","",SUMIFS('출고대장'!$D$7:$D$1006,'출고대장'!$A$7:$A$1006,A261))</x:f>
      </x:c>
      <x:c r="H261" s="12" t="str">
        <x:f>IF(A261="","",F261-G261)</x:f>
      </x:c>
      <x:c r="I261" s="12" t="str">
        <x:f>IF(A261="","",SUMIFS('출고대장'!$K$7:$K$1006,'출고대장'!$A$7:$A$1006,A261))</x:f>
      </x:c>
      <x:c r="J261" s="12" t="str">
        <x:f>IF(A261="","",SUMIFS('입금대장'!$C$7:$C$1006,'입금대장'!$A$7:$A$1006,A261,'입금대장'!$E$7:$E$1006,"정상"))</x:f>
      </x:c>
      <x:c r="K261" s="12" t="str">
        <x:f>IF(A261="","",I261-J261)</x:f>
      </x:c>
      <x:c r="L261" s="13" t="str">
        <x:f>IF(A261="","",IF(K261&lt;0,"선입금·초과입금",IF(I261=0,"청구 전",IF(K261=0,"정산 완료",IF(J261=0,"미입금","부분 입금")))))</x:f>
      </x:c>
      <x:c r="M261" s="9"/>
      <x:c r="N261" s="9"/>
    </x:row>
    <x:row r="262" ht="23" customHeight="1">
      <x:c r="A262" s="9"/>
      <x:c r="B262" s="10"/>
      <x:c r="C262" s="9"/>
      <x:c r="D262" s="9"/>
      <x:c r="E262" s="9"/>
      <x:c r="F262" s="11"/>
      <x:c r="G262" s="12" t="str">
        <x:f>IF(A262="","",SUMIFS('출고대장'!$D$7:$D$1006,'출고대장'!$A$7:$A$1006,A262))</x:f>
      </x:c>
      <x:c r="H262" s="12" t="str">
        <x:f>IF(A262="","",F262-G262)</x:f>
      </x:c>
      <x:c r="I262" s="12" t="str">
        <x:f>IF(A262="","",SUMIFS('출고대장'!$K$7:$K$1006,'출고대장'!$A$7:$A$1006,A262))</x:f>
      </x:c>
      <x:c r="J262" s="12" t="str">
        <x:f>IF(A262="","",SUMIFS('입금대장'!$C$7:$C$1006,'입금대장'!$A$7:$A$1006,A262,'입금대장'!$E$7:$E$1006,"정상"))</x:f>
      </x:c>
      <x:c r="K262" s="12" t="str">
        <x:f>IF(A262="","",I262-J262)</x:f>
      </x:c>
      <x:c r="L262" s="13" t="str">
        <x:f>IF(A262="","",IF(K262&lt;0,"선입금·초과입금",IF(I262=0,"청구 전",IF(K262=0,"정산 완료",IF(J262=0,"미입금","부분 입금")))))</x:f>
      </x:c>
      <x:c r="M262" s="9"/>
      <x:c r="N262" s="9"/>
    </x:row>
    <x:row r="263" ht="23" customHeight="1">
      <x:c r="A263" s="9"/>
      <x:c r="B263" s="10"/>
      <x:c r="C263" s="9"/>
      <x:c r="D263" s="9"/>
      <x:c r="E263" s="9"/>
      <x:c r="F263" s="11"/>
      <x:c r="G263" s="12" t="str">
        <x:f>IF(A263="","",SUMIFS('출고대장'!$D$7:$D$1006,'출고대장'!$A$7:$A$1006,A263))</x:f>
      </x:c>
      <x:c r="H263" s="12" t="str">
        <x:f>IF(A263="","",F263-G263)</x:f>
      </x:c>
      <x:c r="I263" s="12" t="str">
        <x:f>IF(A263="","",SUMIFS('출고대장'!$K$7:$K$1006,'출고대장'!$A$7:$A$1006,A263))</x:f>
      </x:c>
      <x:c r="J263" s="12" t="str">
        <x:f>IF(A263="","",SUMIFS('입금대장'!$C$7:$C$1006,'입금대장'!$A$7:$A$1006,A263,'입금대장'!$E$7:$E$1006,"정상"))</x:f>
      </x:c>
      <x:c r="K263" s="12" t="str">
        <x:f>IF(A263="","",I263-J263)</x:f>
      </x:c>
      <x:c r="L263" s="13" t="str">
        <x:f>IF(A263="","",IF(K263&lt;0,"선입금·초과입금",IF(I263=0,"청구 전",IF(K263=0,"정산 완료",IF(J263=0,"미입금","부분 입금")))))</x:f>
      </x:c>
      <x:c r="M263" s="9"/>
      <x:c r="N263" s="9"/>
    </x:row>
    <x:row r="264" ht="23" customHeight="1">
      <x:c r="A264" s="9"/>
      <x:c r="B264" s="10"/>
      <x:c r="C264" s="9"/>
      <x:c r="D264" s="9"/>
      <x:c r="E264" s="9"/>
      <x:c r="F264" s="11"/>
      <x:c r="G264" s="12" t="str">
        <x:f>IF(A264="","",SUMIFS('출고대장'!$D$7:$D$1006,'출고대장'!$A$7:$A$1006,A264))</x:f>
      </x:c>
      <x:c r="H264" s="12" t="str">
        <x:f>IF(A264="","",F264-G264)</x:f>
      </x:c>
      <x:c r="I264" s="12" t="str">
        <x:f>IF(A264="","",SUMIFS('출고대장'!$K$7:$K$1006,'출고대장'!$A$7:$A$1006,A264))</x:f>
      </x:c>
      <x:c r="J264" s="12" t="str">
        <x:f>IF(A264="","",SUMIFS('입금대장'!$C$7:$C$1006,'입금대장'!$A$7:$A$1006,A264,'입금대장'!$E$7:$E$1006,"정상"))</x:f>
      </x:c>
      <x:c r="K264" s="12" t="str">
        <x:f>IF(A264="","",I264-J264)</x:f>
      </x:c>
      <x:c r="L264" s="13" t="str">
        <x:f>IF(A264="","",IF(K264&lt;0,"선입금·초과입금",IF(I264=0,"청구 전",IF(K264=0,"정산 완료",IF(J264=0,"미입금","부분 입금")))))</x:f>
      </x:c>
      <x:c r="M264" s="9"/>
      <x:c r="N264" s="9"/>
    </x:row>
    <x:row r="265" ht="23" customHeight="1">
      <x:c r="A265" s="9"/>
      <x:c r="B265" s="10"/>
      <x:c r="C265" s="9"/>
      <x:c r="D265" s="9"/>
      <x:c r="E265" s="9"/>
      <x:c r="F265" s="11"/>
      <x:c r="G265" s="12" t="str">
        <x:f>IF(A265="","",SUMIFS('출고대장'!$D$7:$D$1006,'출고대장'!$A$7:$A$1006,A265))</x:f>
      </x:c>
      <x:c r="H265" s="12" t="str">
        <x:f>IF(A265="","",F265-G265)</x:f>
      </x:c>
      <x:c r="I265" s="12" t="str">
        <x:f>IF(A265="","",SUMIFS('출고대장'!$K$7:$K$1006,'출고대장'!$A$7:$A$1006,A265))</x:f>
      </x:c>
      <x:c r="J265" s="12" t="str">
        <x:f>IF(A265="","",SUMIFS('입금대장'!$C$7:$C$1006,'입금대장'!$A$7:$A$1006,A265,'입금대장'!$E$7:$E$1006,"정상"))</x:f>
      </x:c>
      <x:c r="K265" s="12" t="str">
        <x:f>IF(A265="","",I265-J265)</x:f>
      </x:c>
      <x:c r="L265" s="13" t="str">
        <x:f>IF(A265="","",IF(K265&lt;0,"선입금·초과입금",IF(I265=0,"청구 전",IF(K265=0,"정산 완료",IF(J265=0,"미입금","부분 입금")))))</x:f>
      </x:c>
      <x:c r="M265" s="9"/>
      <x:c r="N265" s="9"/>
    </x:row>
    <x:row r="266" ht="23" customHeight="1">
      <x:c r="A266" s="9"/>
      <x:c r="B266" s="10"/>
      <x:c r="C266" s="9"/>
      <x:c r="D266" s="9"/>
      <x:c r="E266" s="9"/>
      <x:c r="F266" s="11"/>
      <x:c r="G266" s="12" t="str">
        <x:f>IF(A266="","",SUMIFS('출고대장'!$D$7:$D$1006,'출고대장'!$A$7:$A$1006,A266))</x:f>
      </x:c>
      <x:c r="H266" s="12" t="str">
        <x:f>IF(A266="","",F266-G266)</x:f>
      </x:c>
      <x:c r="I266" s="12" t="str">
        <x:f>IF(A266="","",SUMIFS('출고대장'!$K$7:$K$1006,'출고대장'!$A$7:$A$1006,A266))</x:f>
      </x:c>
      <x:c r="J266" s="12" t="str">
        <x:f>IF(A266="","",SUMIFS('입금대장'!$C$7:$C$1006,'입금대장'!$A$7:$A$1006,A266,'입금대장'!$E$7:$E$1006,"정상"))</x:f>
      </x:c>
      <x:c r="K266" s="12" t="str">
        <x:f>IF(A266="","",I266-J266)</x:f>
      </x:c>
      <x:c r="L266" s="13" t="str">
        <x:f>IF(A266="","",IF(K266&lt;0,"선입금·초과입금",IF(I266=0,"청구 전",IF(K266=0,"정산 완료",IF(J266=0,"미입금","부분 입금")))))</x:f>
      </x:c>
      <x:c r="M266" s="9"/>
      <x:c r="N266" s="9"/>
    </x:row>
    <x:row r="267" ht="23" customHeight="1">
      <x:c r="A267" s="9"/>
      <x:c r="B267" s="10"/>
      <x:c r="C267" s="9"/>
      <x:c r="D267" s="9"/>
      <x:c r="E267" s="9"/>
      <x:c r="F267" s="11"/>
      <x:c r="G267" s="12" t="str">
        <x:f>IF(A267="","",SUMIFS('출고대장'!$D$7:$D$1006,'출고대장'!$A$7:$A$1006,A267))</x:f>
      </x:c>
      <x:c r="H267" s="12" t="str">
        <x:f>IF(A267="","",F267-G267)</x:f>
      </x:c>
      <x:c r="I267" s="12" t="str">
        <x:f>IF(A267="","",SUMIFS('출고대장'!$K$7:$K$1006,'출고대장'!$A$7:$A$1006,A267))</x:f>
      </x:c>
      <x:c r="J267" s="12" t="str">
        <x:f>IF(A267="","",SUMIFS('입금대장'!$C$7:$C$1006,'입금대장'!$A$7:$A$1006,A267,'입금대장'!$E$7:$E$1006,"정상"))</x:f>
      </x:c>
      <x:c r="K267" s="12" t="str">
        <x:f>IF(A267="","",I267-J267)</x:f>
      </x:c>
      <x:c r="L267" s="13" t="str">
        <x:f>IF(A267="","",IF(K267&lt;0,"선입금·초과입금",IF(I267=0,"청구 전",IF(K267=0,"정산 완료",IF(J267=0,"미입금","부분 입금")))))</x:f>
      </x:c>
      <x:c r="M267" s="9"/>
      <x:c r="N267" s="9"/>
    </x:row>
    <x:row r="268" ht="23" customHeight="1">
      <x:c r="A268" s="9"/>
      <x:c r="B268" s="10"/>
      <x:c r="C268" s="9"/>
      <x:c r="D268" s="9"/>
      <x:c r="E268" s="9"/>
      <x:c r="F268" s="11"/>
      <x:c r="G268" s="12" t="str">
        <x:f>IF(A268="","",SUMIFS('출고대장'!$D$7:$D$1006,'출고대장'!$A$7:$A$1006,A268))</x:f>
      </x:c>
      <x:c r="H268" s="12" t="str">
        <x:f>IF(A268="","",F268-G268)</x:f>
      </x:c>
      <x:c r="I268" s="12" t="str">
        <x:f>IF(A268="","",SUMIFS('출고대장'!$K$7:$K$1006,'출고대장'!$A$7:$A$1006,A268))</x:f>
      </x:c>
      <x:c r="J268" s="12" t="str">
        <x:f>IF(A268="","",SUMIFS('입금대장'!$C$7:$C$1006,'입금대장'!$A$7:$A$1006,A268,'입금대장'!$E$7:$E$1006,"정상"))</x:f>
      </x:c>
      <x:c r="K268" s="12" t="str">
        <x:f>IF(A268="","",I268-J268)</x:f>
      </x:c>
      <x:c r="L268" s="13" t="str">
        <x:f>IF(A268="","",IF(K268&lt;0,"선입금·초과입금",IF(I268=0,"청구 전",IF(K268=0,"정산 완료",IF(J268=0,"미입금","부분 입금")))))</x:f>
      </x:c>
      <x:c r="M268" s="9"/>
      <x:c r="N268" s="9"/>
    </x:row>
    <x:row r="269" ht="23" customHeight="1">
      <x:c r="A269" s="9"/>
      <x:c r="B269" s="10"/>
      <x:c r="C269" s="9"/>
      <x:c r="D269" s="9"/>
      <x:c r="E269" s="9"/>
      <x:c r="F269" s="11"/>
      <x:c r="G269" s="12" t="str">
        <x:f>IF(A269="","",SUMIFS('출고대장'!$D$7:$D$1006,'출고대장'!$A$7:$A$1006,A269))</x:f>
      </x:c>
      <x:c r="H269" s="12" t="str">
        <x:f>IF(A269="","",F269-G269)</x:f>
      </x:c>
      <x:c r="I269" s="12" t="str">
        <x:f>IF(A269="","",SUMIFS('출고대장'!$K$7:$K$1006,'출고대장'!$A$7:$A$1006,A269))</x:f>
      </x:c>
      <x:c r="J269" s="12" t="str">
        <x:f>IF(A269="","",SUMIFS('입금대장'!$C$7:$C$1006,'입금대장'!$A$7:$A$1006,A269,'입금대장'!$E$7:$E$1006,"정상"))</x:f>
      </x:c>
      <x:c r="K269" s="12" t="str">
        <x:f>IF(A269="","",I269-J269)</x:f>
      </x:c>
      <x:c r="L269" s="13" t="str">
        <x:f>IF(A269="","",IF(K269&lt;0,"선입금·초과입금",IF(I269=0,"청구 전",IF(K269=0,"정산 완료",IF(J269=0,"미입금","부분 입금")))))</x:f>
      </x:c>
      <x:c r="M269" s="9"/>
      <x:c r="N269" s="9"/>
    </x:row>
    <x:row r="270" ht="23" customHeight="1">
      <x:c r="A270" s="9"/>
      <x:c r="B270" s="10"/>
      <x:c r="C270" s="9"/>
      <x:c r="D270" s="9"/>
      <x:c r="E270" s="9"/>
      <x:c r="F270" s="11"/>
      <x:c r="G270" s="12" t="str">
        <x:f>IF(A270="","",SUMIFS('출고대장'!$D$7:$D$1006,'출고대장'!$A$7:$A$1006,A270))</x:f>
      </x:c>
      <x:c r="H270" s="12" t="str">
        <x:f>IF(A270="","",F270-G270)</x:f>
      </x:c>
      <x:c r="I270" s="12" t="str">
        <x:f>IF(A270="","",SUMIFS('출고대장'!$K$7:$K$1006,'출고대장'!$A$7:$A$1006,A270))</x:f>
      </x:c>
      <x:c r="J270" s="12" t="str">
        <x:f>IF(A270="","",SUMIFS('입금대장'!$C$7:$C$1006,'입금대장'!$A$7:$A$1006,A270,'입금대장'!$E$7:$E$1006,"정상"))</x:f>
      </x:c>
      <x:c r="K270" s="12" t="str">
        <x:f>IF(A270="","",I270-J270)</x:f>
      </x:c>
      <x:c r="L270" s="13" t="str">
        <x:f>IF(A270="","",IF(K270&lt;0,"선입금·초과입금",IF(I270=0,"청구 전",IF(K270=0,"정산 완료",IF(J270=0,"미입금","부분 입금")))))</x:f>
      </x:c>
      <x:c r="M270" s="9"/>
      <x:c r="N270" s="9"/>
    </x:row>
    <x:row r="271" ht="23" customHeight="1">
      <x:c r="A271" s="9"/>
      <x:c r="B271" s="10"/>
      <x:c r="C271" s="9"/>
      <x:c r="D271" s="9"/>
      <x:c r="E271" s="9"/>
      <x:c r="F271" s="11"/>
      <x:c r="G271" s="12" t="str">
        <x:f>IF(A271="","",SUMIFS('출고대장'!$D$7:$D$1006,'출고대장'!$A$7:$A$1006,A271))</x:f>
      </x:c>
      <x:c r="H271" s="12" t="str">
        <x:f>IF(A271="","",F271-G271)</x:f>
      </x:c>
      <x:c r="I271" s="12" t="str">
        <x:f>IF(A271="","",SUMIFS('출고대장'!$K$7:$K$1006,'출고대장'!$A$7:$A$1006,A271))</x:f>
      </x:c>
      <x:c r="J271" s="12" t="str">
        <x:f>IF(A271="","",SUMIFS('입금대장'!$C$7:$C$1006,'입금대장'!$A$7:$A$1006,A271,'입금대장'!$E$7:$E$1006,"정상"))</x:f>
      </x:c>
      <x:c r="K271" s="12" t="str">
        <x:f>IF(A271="","",I271-J271)</x:f>
      </x:c>
      <x:c r="L271" s="13" t="str">
        <x:f>IF(A271="","",IF(K271&lt;0,"선입금·초과입금",IF(I271=0,"청구 전",IF(K271=0,"정산 완료",IF(J271=0,"미입금","부분 입금")))))</x:f>
      </x:c>
      <x:c r="M271" s="9"/>
      <x:c r="N271" s="9"/>
    </x:row>
    <x:row r="272" ht="23" customHeight="1">
      <x:c r="A272" s="9"/>
      <x:c r="B272" s="10"/>
      <x:c r="C272" s="9"/>
      <x:c r="D272" s="9"/>
      <x:c r="E272" s="9"/>
      <x:c r="F272" s="11"/>
      <x:c r="G272" s="12" t="str">
        <x:f>IF(A272="","",SUMIFS('출고대장'!$D$7:$D$1006,'출고대장'!$A$7:$A$1006,A272))</x:f>
      </x:c>
      <x:c r="H272" s="12" t="str">
        <x:f>IF(A272="","",F272-G272)</x:f>
      </x:c>
      <x:c r="I272" s="12" t="str">
        <x:f>IF(A272="","",SUMIFS('출고대장'!$K$7:$K$1006,'출고대장'!$A$7:$A$1006,A272))</x:f>
      </x:c>
      <x:c r="J272" s="12" t="str">
        <x:f>IF(A272="","",SUMIFS('입금대장'!$C$7:$C$1006,'입금대장'!$A$7:$A$1006,A272,'입금대장'!$E$7:$E$1006,"정상"))</x:f>
      </x:c>
      <x:c r="K272" s="12" t="str">
        <x:f>IF(A272="","",I272-J272)</x:f>
      </x:c>
      <x:c r="L272" s="13" t="str">
        <x:f>IF(A272="","",IF(K272&lt;0,"선입금·초과입금",IF(I272=0,"청구 전",IF(K272=0,"정산 완료",IF(J272=0,"미입금","부분 입금")))))</x:f>
      </x:c>
      <x:c r="M272" s="9"/>
      <x:c r="N272" s="9"/>
    </x:row>
    <x:row r="273" ht="23" customHeight="1">
      <x:c r="A273" s="9"/>
      <x:c r="B273" s="10"/>
      <x:c r="C273" s="9"/>
      <x:c r="D273" s="9"/>
      <x:c r="E273" s="9"/>
      <x:c r="F273" s="11"/>
      <x:c r="G273" s="12" t="str">
        <x:f>IF(A273="","",SUMIFS('출고대장'!$D$7:$D$1006,'출고대장'!$A$7:$A$1006,A273))</x:f>
      </x:c>
      <x:c r="H273" s="12" t="str">
        <x:f>IF(A273="","",F273-G273)</x:f>
      </x:c>
      <x:c r="I273" s="12" t="str">
        <x:f>IF(A273="","",SUMIFS('출고대장'!$K$7:$K$1006,'출고대장'!$A$7:$A$1006,A273))</x:f>
      </x:c>
      <x:c r="J273" s="12" t="str">
        <x:f>IF(A273="","",SUMIFS('입금대장'!$C$7:$C$1006,'입금대장'!$A$7:$A$1006,A273,'입금대장'!$E$7:$E$1006,"정상"))</x:f>
      </x:c>
      <x:c r="K273" s="12" t="str">
        <x:f>IF(A273="","",I273-J273)</x:f>
      </x:c>
      <x:c r="L273" s="13" t="str">
        <x:f>IF(A273="","",IF(K273&lt;0,"선입금·초과입금",IF(I273=0,"청구 전",IF(K273=0,"정산 완료",IF(J273=0,"미입금","부분 입금")))))</x:f>
      </x:c>
      <x:c r="M273" s="9"/>
      <x:c r="N273" s="9"/>
    </x:row>
    <x:row r="274" ht="23" customHeight="1">
      <x:c r="A274" s="9"/>
      <x:c r="B274" s="10"/>
      <x:c r="C274" s="9"/>
      <x:c r="D274" s="9"/>
      <x:c r="E274" s="9"/>
      <x:c r="F274" s="11"/>
      <x:c r="G274" s="12" t="str">
        <x:f>IF(A274="","",SUMIFS('출고대장'!$D$7:$D$1006,'출고대장'!$A$7:$A$1006,A274))</x:f>
      </x:c>
      <x:c r="H274" s="12" t="str">
        <x:f>IF(A274="","",F274-G274)</x:f>
      </x:c>
      <x:c r="I274" s="12" t="str">
        <x:f>IF(A274="","",SUMIFS('출고대장'!$K$7:$K$1006,'출고대장'!$A$7:$A$1006,A274))</x:f>
      </x:c>
      <x:c r="J274" s="12" t="str">
        <x:f>IF(A274="","",SUMIFS('입금대장'!$C$7:$C$1006,'입금대장'!$A$7:$A$1006,A274,'입금대장'!$E$7:$E$1006,"정상"))</x:f>
      </x:c>
      <x:c r="K274" s="12" t="str">
        <x:f>IF(A274="","",I274-J274)</x:f>
      </x:c>
      <x:c r="L274" s="13" t="str">
        <x:f>IF(A274="","",IF(K274&lt;0,"선입금·초과입금",IF(I274=0,"청구 전",IF(K274=0,"정산 완료",IF(J274=0,"미입금","부분 입금")))))</x:f>
      </x:c>
      <x:c r="M274" s="9"/>
      <x:c r="N274" s="9"/>
    </x:row>
    <x:row r="275" ht="23" customHeight="1">
      <x:c r="A275" s="9"/>
      <x:c r="B275" s="10"/>
      <x:c r="C275" s="9"/>
      <x:c r="D275" s="9"/>
      <x:c r="E275" s="9"/>
      <x:c r="F275" s="11"/>
      <x:c r="G275" s="12" t="str">
        <x:f>IF(A275="","",SUMIFS('출고대장'!$D$7:$D$1006,'출고대장'!$A$7:$A$1006,A275))</x:f>
      </x:c>
      <x:c r="H275" s="12" t="str">
        <x:f>IF(A275="","",F275-G275)</x:f>
      </x:c>
      <x:c r="I275" s="12" t="str">
        <x:f>IF(A275="","",SUMIFS('출고대장'!$K$7:$K$1006,'출고대장'!$A$7:$A$1006,A275))</x:f>
      </x:c>
      <x:c r="J275" s="12" t="str">
        <x:f>IF(A275="","",SUMIFS('입금대장'!$C$7:$C$1006,'입금대장'!$A$7:$A$1006,A275,'입금대장'!$E$7:$E$1006,"정상"))</x:f>
      </x:c>
      <x:c r="K275" s="12" t="str">
        <x:f>IF(A275="","",I275-J275)</x:f>
      </x:c>
      <x:c r="L275" s="13" t="str">
        <x:f>IF(A275="","",IF(K275&lt;0,"선입금·초과입금",IF(I275=0,"청구 전",IF(K275=0,"정산 완료",IF(J275=0,"미입금","부분 입금")))))</x:f>
      </x:c>
      <x:c r="M275" s="9"/>
      <x:c r="N275" s="9"/>
    </x:row>
    <x:row r="276" ht="23" customHeight="1">
      <x:c r="A276" s="9"/>
      <x:c r="B276" s="10"/>
      <x:c r="C276" s="9"/>
      <x:c r="D276" s="9"/>
      <x:c r="E276" s="9"/>
      <x:c r="F276" s="11"/>
      <x:c r="G276" s="12" t="str">
        <x:f>IF(A276="","",SUMIFS('출고대장'!$D$7:$D$1006,'출고대장'!$A$7:$A$1006,A276))</x:f>
      </x:c>
      <x:c r="H276" s="12" t="str">
        <x:f>IF(A276="","",F276-G276)</x:f>
      </x:c>
      <x:c r="I276" s="12" t="str">
        <x:f>IF(A276="","",SUMIFS('출고대장'!$K$7:$K$1006,'출고대장'!$A$7:$A$1006,A276))</x:f>
      </x:c>
      <x:c r="J276" s="12" t="str">
        <x:f>IF(A276="","",SUMIFS('입금대장'!$C$7:$C$1006,'입금대장'!$A$7:$A$1006,A276,'입금대장'!$E$7:$E$1006,"정상"))</x:f>
      </x:c>
      <x:c r="K276" s="12" t="str">
        <x:f>IF(A276="","",I276-J276)</x:f>
      </x:c>
      <x:c r="L276" s="13" t="str">
        <x:f>IF(A276="","",IF(K276&lt;0,"선입금·초과입금",IF(I276=0,"청구 전",IF(K276=0,"정산 완료",IF(J276=0,"미입금","부분 입금")))))</x:f>
      </x:c>
      <x:c r="M276" s="9"/>
      <x:c r="N276" s="9"/>
    </x:row>
    <x:row r="277" ht="23" customHeight="1">
      <x:c r="A277" s="9"/>
      <x:c r="B277" s="10"/>
      <x:c r="C277" s="9"/>
      <x:c r="D277" s="9"/>
      <x:c r="E277" s="9"/>
      <x:c r="F277" s="11"/>
      <x:c r="G277" s="12" t="str">
        <x:f>IF(A277="","",SUMIFS('출고대장'!$D$7:$D$1006,'출고대장'!$A$7:$A$1006,A277))</x:f>
      </x:c>
      <x:c r="H277" s="12" t="str">
        <x:f>IF(A277="","",F277-G277)</x:f>
      </x:c>
      <x:c r="I277" s="12" t="str">
        <x:f>IF(A277="","",SUMIFS('출고대장'!$K$7:$K$1006,'출고대장'!$A$7:$A$1006,A277))</x:f>
      </x:c>
      <x:c r="J277" s="12" t="str">
        <x:f>IF(A277="","",SUMIFS('입금대장'!$C$7:$C$1006,'입금대장'!$A$7:$A$1006,A277,'입금대장'!$E$7:$E$1006,"정상"))</x:f>
      </x:c>
      <x:c r="K277" s="12" t="str">
        <x:f>IF(A277="","",I277-J277)</x:f>
      </x:c>
      <x:c r="L277" s="13" t="str">
        <x:f>IF(A277="","",IF(K277&lt;0,"선입금·초과입금",IF(I277=0,"청구 전",IF(K277=0,"정산 완료",IF(J277=0,"미입금","부분 입금")))))</x:f>
      </x:c>
      <x:c r="M277" s="9"/>
      <x:c r="N277" s="9"/>
    </x:row>
    <x:row r="278" ht="23" customHeight="1">
      <x:c r="A278" s="9"/>
      <x:c r="B278" s="10"/>
      <x:c r="C278" s="9"/>
      <x:c r="D278" s="9"/>
      <x:c r="E278" s="9"/>
      <x:c r="F278" s="11"/>
      <x:c r="G278" s="12" t="str">
        <x:f>IF(A278="","",SUMIFS('출고대장'!$D$7:$D$1006,'출고대장'!$A$7:$A$1006,A278))</x:f>
      </x:c>
      <x:c r="H278" s="12" t="str">
        <x:f>IF(A278="","",F278-G278)</x:f>
      </x:c>
      <x:c r="I278" s="12" t="str">
        <x:f>IF(A278="","",SUMIFS('출고대장'!$K$7:$K$1006,'출고대장'!$A$7:$A$1006,A278))</x:f>
      </x:c>
      <x:c r="J278" s="12" t="str">
        <x:f>IF(A278="","",SUMIFS('입금대장'!$C$7:$C$1006,'입금대장'!$A$7:$A$1006,A278,'입금대장'!$E$7:$E$1006,"정상"))</x:f>
      </x:c>
      <x:c r="K278" s="12" t="str">
        <x:f>IF(A278="","",I278-J278)</x:f>
      </x:c>
      <x:c r="L278" s="13" t="str">
        <x:f>IF(A278="","",IF(K278&lt;0,"선입금·초과입금",IF(I278=0,"청구 전",IF(K278=0,"정산 완료",IF(J278=0,"미입금","부분 입금")))))</x:f>
      </x:c>
      <x:c r="M278" s="9"/>
      <x:c r="N278" s="9"/>
    </x:row>
    <x:row r="279" ht="23" customHeight="1">
      <x:c r="A279" s="9"/>
      <x:c r="B279" s="10"/>
      <x:c r="C279" s="9"/>
      <x:c r="D279" s="9"/>
      <x:c r="E279" s="9"/>
      <x:c r="F279" s="11"/>
      <x:c r="G279" s="12" t="str">
        <x:f>IF(A279="","",SUMIFS('출고대장'!$D$7:$D$1006,'출고대장'!$A$7:$A$1006,A279))</x:f>
      </x:c>
      <x:c r="H279" s="12" t="str">
        <x:f>IF(A279="","",F279-G279)</x:f>
      </x:c>
      <x:c r="I279" s="12" t="str">
        <x:f>IF(A279="","",SUMIFS('출고대장'!$K$7:$K$1006,'출고대장'!$A$7:$A$1006,A279))</x:f>
      </x:c>
      <x:c r="J279" s="12" t="str">
        <x:f>IF(A279="","",SUMIFS('입금대장'!$C$7:$C$1006,'입금대장'!$A$7:$A$1006,A279,'입금대장'!$E$7:$E$1006,"정상"))</x:f>
      </x:c>
      <x:c r="K279" s="12" t="str">
        <x:f>IF(A279="","",I279-J279)</x:f>
      </x:c>
      <x:c r="L279" s="13" t="str">
        <x:f>IF(A279="","",IF(K279&lt;0,"선입금·초과입금",IF(I279=0,"청구 전",IF(K279=0,"정산 완료",IF(J279=0,"미입금","부분 입금")))))</x:f>
      </x:c>
      <x:c r="M279" s="9"/>
      <x:c r="N279" s="9"/>
    </x:row>
    <x:row r="280" ht="23" customHeight="1">
      <x:c r="A280" s="9"/>
      <x:c r="B280" s="10"/>
      <x:c r="C280" s="9"/>
      <x:c r="D280" s="9"/>
      <x:c r="E280" s="9"/>
      <x:c r="F280" s="11"/>
      <x:c r="G280" s="12" t="str">
        <x:f>IF(A280="","",SUMIFS('출고대장'!$D$7:$D$1006,'출고대장'!$A$7:$A$1006,A280))</x:f>
      </x:c>
      <x:c r="H280" s="12" t="str">
        <x:f>IF(A280="","",F280-G280)</x:f>
      </x:c>
      <x:c r="I280" s="12" t="str">
        <x:f>IF(A280="","",SUMIFS('출고대장'!$K$7:$K$1006,'출고대장'!$A$7:$A$1006,A280))</x:f>
      </x:c>
      <x:c r="J280" s="12" t="str">
        <x:f>IF(A280="","",SUMIFS('입금대장'!$C$7:$C$1006,'입금대장'!$A$7:$A$1006,A280,'입금대장'!$E$7:$E$1006,"정상"))</x:f>
      </x:c>
      <x:c r="K280" s="12" t="str">
        <x:f>IF(A280="","",I280-J280)</x:f>
      </x:c>
      <x:c r="L280" s="13" t="str">
        <x:f>IF(A280="","",IF(K280&lt;0,"선입금·초과입금",IF(I280=0,"청구 전",IF(K280=0,"정산 완료",IF(J280=0,"미입금","부분 입금")))))</x:f>
      </x:c>
      <x:c r="M280" s="9"/>
      <x:c r="N280" s="9"/>
    </x:row>
    <x:row r="281" ht="23" customHeight="1">
      <x:c r="A281" s="9"/>
      <x:c r="B281" s="10"/>
      <x:c r="C281" s="9"/>
      <x:c r="D281" s="9"/>
      <x:c r="E281" s="9"/>
      <x:c r="F281" s="11"/>
      <x:c r="G281" s="12" t="str">
        <x:f>IF(A281="","",SUMIFS('출고대장'!$D$7:$D$1006,'출고대장'!$A$7:$A$1006,A281))</x:f>
      </x:c>
      <x:c r="H281" s="12" t="str">
        <x:f>IF(A281="","",F281-G281)</x:f>
      </x:c>
      <x:c r="I281" s="12" t="str">
        <x:f>IF(A281="","",SUMIFS('출고대장'!$K$7:$K$1006,'출고대장'!$A$7:$A$1006,A281))</x:f>
      </x:c>
      <x:c r="J281" s="12" t="str">
        <x:f>IF(A281="","",SUMIFS('입금대장'!$C$7:$C$1006,'입금대장'!$A$7:$A$1006,A281,'입금대장'!$E$7:$E$1006,"정상"))</x:f>
      </x:c>
      <x:c r="K281" s="12" t="str">
        <x:f>IF(A281="","",I281-J281)</x:f>
      </x:c>
      <x:c r="L281" s="13" t="str">
        <x:f>IF(A281="","",IF(K281&lt;0,"선입금·초과입금",IF(I281=0,"청구 전",IF(K281=0,"정산 완료",IF(J281=0,"미입금","부분 입금")))))</x:f>
      </x:c>
      <x:c r="M281" s="9"/>
      <x:c r="N281" s="9"/>
    </x:row>
    <x:row r="282" ht="23" customHeight="1">
      <x:c r="A282" s="9"/>
      <x:c r="B282" s="10"/>
      <x:c r="C282" s="9"/>
      <x:c r="D282" s="9"/>
      <x:c r="E282" s="9"/>
      <x:c r="F282" s="11"/>
      <x:c r="G282" s="12" t="str">
        <x:f>IF(A282="","",SUMIFS('출고대장'!$D$7:$D$1006,'출고대장'!$A$7:$A$1006,A282))</x:f>
      </x:c>
      <x:c r="H282" s="12" t="str">
        <x:f>IF(A282="","",F282-G282)</x:f>
      </x:c>
      <x:c r="I282" s="12" t="str">
        <x:f>IF(A282="","",SUMIFS('출고대장'!$K$7:$K$1006,'출고대장'!$A$7:$A$1006,A282))</x:f>
      </x:c>
      <x:c r="J282" s="12" t="str">
        <x:f>IF(A282="","",SUMIFS('입금대장'!$C$7:$C$1006,'입금대장'!$A$7:$A$1006,A282,'입금대장'!$E$7:$E$1006,"정상"))</x:f>
      </x:c>
      <x:c r="K282" s="12" t="str">
        <x:f>IF(A282="","",I282-J282)</x:f>
      </x:c>
      <x:c r="L282" s="13" t="str">
        <x:f>IF(A282="","",IF(K282&lt;0,"선입금·초과입금",IF(I282=0,"청구 전",IF(K282=0,"정산 완료",IF(J282=0,"미입금","부분 입금")))))</x:f>
      </x:c>
      <x:c r="M282" s="9"/>
      <x:c r="N282" s="9"/>
    </x:row>
    <x:row r="283" ht="23" customHeight="1">
      <x:c r="A283" s="9"/>
      <x:c r="B283" s="10"/>
      <x:c r="C283" s="9"/>
      <x:c r="D283" s="9"/>
      <x:c r="E283" s="9"/>
      <x:c r="F283" s="11"/>
      <x:c r="G283" s="12" t="str">
        <x:f>IF(A283="","",SUMIFS('출고대장'!$D$7:$D$1006,'출고대장'!$A$7:$A$1006,A283))</x:f>
      </x:c>
      <x:c r="H283" s="12" t="str">
        <x:f>IF(A283="","",F283-G283)</x:f>
      </x:c>
      <x:c r="I283" s="12" t="str">
        <x:f>IF(A283="","",SUMIFS('출고대장'!$K$7:$K$1006,'출고대장'!$A$7:$A$1006,A283))</x:f>
      </x:c>
      <x:c r="J283" s="12" t="str">
        <x:f>IF(A283="","",SUMIFS('입금대장'!$C$7:$C$1006,'입금대장'!$A$7:$A$1006,A283,'입금대장'!$E$7:$E$1006,"정상"))</x:f>
      </x:c>
      <x:c r="K283" s="12" t="str">
        <x:f>IF(A283="","",I283-J283)</x:f>
      </x:c>
      <x:c r="L283" s="13" t="str">
        <x:f>IF(A283="","",IF(K283&lt;0,"선입금·초과입금",IF(I283=0,"청구 전",IF(K283=0,"정산 완료",IF(J283=0,"미입금","부분 입금")))))</x:f>
      </x:c>
      <x:c r="M283" s="9"/>
      <x:c r="N283" s="9"/>
    </x:row>
    <x:row r="284" ht="23" customHeight="1">
      <x:c r="A284" s="9"/>
      <x:c r="B284" s="10"/>
      <x:c r="C284" s="9"/>
      <x:c r="D284" s="9"/>
      <x:c r="E284" s="9"/>
      <x:c r="F284" s="11"/>
      <x:c r="G284" s="12" t="str">
        <x:f>IF(A284="","",SUMIFS('출고대장'!$D$7:$D$1006,'출고대장'!$A$7:$A$1006,A284))</x:f>
      </x:c>
      <x:c r="H284" s="12" t="str">
        <x:f>IF(A284="","",F284-G284)</x:f>
      </x:c>
      <x:c r="I284" s="12" t="str">
        <x:f>IF(A284="","",SUMIFS('출고대장'!$K$7:$K$1006,'출고대장'!$A$7:$A$1006,A284))</x:f>
      </x:c>
      <x:c r="J284" s="12" t="str">
        <x:f>IF(A284="","",SUMIFS('입금대장'!$C$7:$C$1006,'입금대장'!$A$7:$A$1006,A284,'입금대장'!$E$7:$E$1006,"정상"))</x:f>
      </x:c>
      <x:c r="K284" s="12" t="str">
        <x:f>IF(A284="","",I284-J284)</x:f>
      </x:c>
      <x:c r="L284" s="13" t="str">
        <x:f>IF(A284="","",IF(K284&lt;0,"선입금·초과입금",IF(I284=0,"청구 전",IF(K284=0,"정산 완료",IF(J284=0,"미입금","부분 입금")))))</x:f>
      </x:c>
      <x:c r="M284" s="9"/>
      <x:c r="N284" s="9"/>
    </x:row>
    <x:row r="285" ht="23" customHeight="1">
      <x:c r="A285" s="9"/>
      <x:c r="B285" s="10"/>
      <x:c r="C285" s="9"/>
      <x:c r="D285" s="9"/>
      <x:c r="E285" s="9"/>
      <x:c r="F285" s="11"/>
      <x:c r="G285" s="12" t="str">
        <x:f>IF(A285="","",SUMIFS('출고대장'!$D$7:$D$1006,'출고대장'!$A$7:$A$1006,A285))</x:f>
      </x:c>
      <x:c r="H285" s="12" t="str">
        <x:f>IF(A285="","",F285-G285)</x:f>
      </x:c>
      <x:c r="I285" s="12" t="str">
        <x:f>IF(A285="","",SUMIFS('출고대장'!$K$7:$K$1006,'출고대장'!$A$7:$A$1006,A285))</x:f>
      </x:c>
      <x:c r="J285" s="12" t="str">
        <x:f>IF(A285="","",SUMIFS('입금대장'!$C$7:$C$1006,'입금대장'!$A$7:$A$1006,A285,'입금대장'!$E$7:$E$1006,"정상"))</x:f>
      </x:c>
      <x:c r="K285" s="12" t="str">
        <x:f>IF(A285="","",I285-J285)</x:f>
      </x:c>
      <x:c r="L285" s="13" t="str">
        <x:f>IF(A285="","",IF(K285&lt;0,"선입금·초과입금",IF(I285=0,"청구 전",IF(K285=0,"정산 완료",IF(J285=0,"미입금","부분 입금")))))</x:f>
      </x:c>
      <x:c r="M285" s="9"/>
      <x:c r="N285" s="9"/>
    </x:row>
    <x:row r="286" ht="23" customHeight="1">
      <x:c r="A286" s="9"/>
      <x:c r="B286" s="10"/>
      <x:c r="C286" s="9"/>
      <x:c r="D286" s="9"/>
      <x:c r="E286" s="9"/>
      <x:c r="F286" s="11"/>
      <x:c r="G286" s="12" t="str">
        <x:f>IF(A286="","",SUMIFS('출고대장'!$D$7:$D$1006,'출고대장'!$A$7:$A$1006,A286))</x:f>
      </x:c>
      <x:c r="H286" s="12" t="str">
        <x:f>IF(A286="","",F286-G286)</x:f>
      </x:c>
      <x:c r="I286" s="12" t="str">
        <x:f>IF(A286="","",SUMIFS('출고대장'!$K$7:$K$1006,'출고대장'!$A$7:$A$1006,A286))</x:f>
      </x:c>
      <x:c r="J286" s="12" t="str">
        <x:f>IF(A286="","",SUMIFS('입금대장'!$C$7:$C$1006,'입금대장'!$A$7:$A$1006,A286,'입금대장'!$E$7:$E$1006,"정상"))</x:f>
      </x:c>
      <x:c r="K286" s="12" t="str">
        <x:f>IF(A286="","",I286-J286)</x:f>
      </x:c>
      <x:c r="L286" s="13" t="str">
        <x:f>IF(A286="","",IF(K286&lt;0,"선입금·초과입금",IF(I286=0,"청구 전",IF(K286=0,"정산 완료",IF(J286=0,"미입금","부분 입금")))))</x:f>
      </x:c>
      <x:c r="M286" s="9"/>
      <x:c r="N286" s="9"/>
    </x:row>
    <x:row r="287" ht="23" customHeight="1">
      <x:c r="A287" s="9"/>
      <x:c r="B287" s="10"/>
      <x:c r="C287" s="9"/>
      <x:c r="D287" s="9"/>
      <x:c r="E287" s="9"/>
      <x:c r="F287" s="11"/>
      <x:c r="G287" s="12" t="str">
        <x:f>IF(A287="","",SUMIFS('출고대장'!$D$7:$D$1006,'출고대장'!$A$7:$A$1006,A287))</x:f>
      </x:c>
      <x:c r="H287" s="12" t="str">
        <x:f>IF(A287="","",F287-G287)</x:f>
      </x:c>
      <x:c r="I287" s="12" t="str">
        <x:f>IF(A287="","",SUMIFS('출고대장'!$K$7:$K$1006,'출고대장'!$A$7:$A$1006,A287))</x:f>
      </x:c>
      <x:c r="J287" s="12" t="str">
        <x:f>IF(A287="","",SUMIFS('입금대장'!$C$7:$C$1006,'입금대장'!$A$7:$A$1006,A287,'입금대장'!$E$7:$E$1006,"정상"))</x:f>
      </x:c>
      <x:c r="K287" s="12" t="str">
        <x:f>IF(A287="","",I287-J287)</x:f>
      </x:c>
      <x:c r="L287" s="13" t="str">
        <x:f>IF(A287="","",IF(K287&lt;0,"선입금·초과입금",IF(I287=0,"청구 전",IF(K287=0,"정산 완료",IF(J287=0,"미입금","부분 입금")))))</x:f>
      </x:c>
      <x:c r="M287" s="9"/>
      <x:c r="N287" s="9"/>
    </x:row>
    <x:row r="288" ht="23" customHeight="1">
      <x:c r="A288" s="9"/>
      <x:c r="B288" s="10"/>
      <x:c r="C288" s="9"/>
      <x:c r="D288" s="9"/>
      <x:c r="E288" s="9"/>
      <x:c r="F288" s="11"/>
      <x:c r="G288" s="12" t="str">
        <x:f>IF(A288="","",SUMIFS('출고대장'!$D$7:$D$1006,'출고대장'!$A$7:$A$1006,A288))</x:f>
      </x:c>
      <x:c r="H288" s="12" t="str">
        <x:f>IF(A288="","",F288-G288)</x:f>
      </x:c>
      <x:c r="I288" s="12" t="str">
        <x:f>IF(A288="","",SUMIFS('출고대장'!$K$7:$K$1006,'출고대장'!$A$7:$A$1006,A288))</x:f>
      </x:c>
      <x:c r="J288" s="12" t="str">
        <x:f>IF(A288="","",SUMIFS('입금대장'!$C$7:$C$1006,'입금대장'!$A$7:$A$1006,A288,'입금대장'!$E$7:$E$1006,"정상"))</x:f>
      </x:c>
      <x:c r="K288" s="12" t="str">
        <x:f>IF(A288="","",I288-J288)</x:f>
      </x:c>
      <x:c r="L288" s="13" t="str">
        <x:f>IF(A288="","",IF(K288&lt;0,"선입금·초과입금",IF(I288=0,"청구 전",IF(K288=0,"정산 완료",IF(J288=0,"미입금","부분 입금")))))</x:f>
      </x:c>
      <x:c r="M288" s="9"/>
      <x:c r="N288" s="9"/>
    </x:row>
    <x:row r="289" ht="23" customHeight="1">
      <x:c r="A289" s="9"/>
      <x:c r="B289" s="10"/>
      <x:c r="C289" s="9"/>
      <x:c r="D289" s="9"/>
      <x:c r="E289" s="9"/>
      <x:c r="F289" s="11"/>
      <x:c r="G289" s="12" t="str">
        <x:f>IF(A289="","",SUMIFS('출고대장'!$D$7:$D$1006,'출고대장'!$A$7:$A$1006,A289))</x:f>
      </x:c>
      <x:c r="H289" s="12" t="str">
        <x:f>IF(A289="","",F289-G289)</x:f>
      </x:c>
      <x:c r="I289" s="12" t="str">
        <x:f>IF(A289="","",SUMIFS('출고대장'!$K$7:$K$1006,'출고대장'!$A$7:$A$1006,A289))</x:f>
      </x:c>
      <x:c r="J289" s="12" t="str">
        <x:f>IF(A289="","",SUMIFS('입금대장'!$C$7:$C$1006,'입금대장'!$A$7:$A$1006,A289,'입금대장'!$E$7:$E$1006,"정상"))</x:f>
      </x:c>
      <x:c r="K289" s="12" t="str">
        <x:f>IF(A289="","",I289-J289)</x:f>
      </x:c>
      <x:c r="L289" s="13" t="str">
        <x:f>IF(A289="","",IF(K289&lt;0,"선입금·초과입금",IF(I289=0,"청구 전",IF(K289=0,"정산 완료",IF(J289=0,"미입금","부분 입금")))))</x:f>
      </x:c>
      <x:c r="M289" s="9"/>
      <x:c r="N289" s="9"/>
    </x:row>
    <x:row r="290" ht="23" customHeight="1">
      <x:c r="A290" s="9"/>
      <x:c r="B290" s="10"/>
      <x:c r="C290" s="9"/>
      <x:c r="D290" s="9"/>
      <x:c r="E290" s="9"/>
      <x:c r="F290" s="11"/>
      <x:c r="G290" s="12" t="str">
        <x:f>IF(A290="","",SUMIFS('출고대장'!$D$7:$D$1006,'출고대장'!$A$7:$A$1006,A290))</x:f>
      </x:c>
      <x:c r="H290" s="12" t="str">
        <x:f>IF(A290="","",F290-G290)</x:f>
      </x:c>
      <x:c r="I290" s="12" t="str">
        <x:f>IF(A290="","",SUMIFS('출고대장'!$K$7:$K$1006,'출고대장'!$A$7:$A$1006,A290))</x:f>
      </x:c>
      <x:c r="J290" s="12" t="str">
        <x:f>IF(A290="","",SUMIFS('입금대장'!$C$7:$C$1006,'입금대장'!$A$7:$A$1006,A290,'입금대장'!$E$7:$E$1006,"정상"))</x:f>
      </x:c>
      <x:c r="K290" s="12" t="str">
        <x:f>IF(A290="","",I290-J290)</x:f>
      </x:c>
      <x:c r="L290" s="13" t="str">
        <x:f>IF(A290="","",IF(K290&lt;0,"선입금·초과입금",IF(I290=0,"청구 전",IF(K290=0,"정산 완료",IF(J290=0,"미입금","부분 입금")))))</x:f>
      </x:c>
      <x:c r="M290" s="9"/>
      <x:c r="N290" s="9"/>
    </x:row>
    <x:row r="291" ht="23" customHeight="1">
      <x:c r="A291" s="9"/>
      <x:c r="B291" s="10"/>
      <x:c r="C291" s="9"/>
      <x:c r="D291" s="9"/>
      <x:c r="E291" s="9"/>
      <x:c r="F291" s="11"/>
      <x:c r="G291" s="12" t="str">
        <x:f>IF(A291="","",SUMIFS('출고대장'!$D$7:$D$1006,'출고대장'!$A$7:$A$1006,A291))</x:f>
      </x:c>
      <x:c r="H291" s="12" t="str">
        <x:f>IF(A291="","",F291-G291)</x:f>
      </x:c>
      <x:c r="I291" s="12" t="str">
        <x:f>IF(A291="","",SUMIFS('출고대장'!$K$7:$K$1006,'출고대장'!$A$7:$A$1006,A291))</x:f>
      </x:c>
      <x:c r="J291" s="12" t="str">
        <x:f>IF(A291="","",SUMIFS('입금대장'!$C$7:$C$1006,'입금대장'!$A$7:$A$1006,A291,'입금대장'!$E$7:$E$1006,"정상"))</x:f>
      </x:c>
      <x:c r="K291" s="12" t="str">
        <x:f>IF(A291="","",I291-J291)</x:f>
      </x:c>
      <x:c r="L291" s="13" t="str">
        <x:f>IF(A291="","",IF(K291&lt;0,"선입금·초과입금",IF(I291=0,"청구 전",IF(K291=0,"정산 완료",IF(J291=0,"미입금","부분 입금")))))</x:f>
      </x:c>
      <x:c r="M291" s="9"/>
      <x:c r="N291" s="9"/>
    </x:row>
    <x:row r="292" ht="23" customHeight="1">
      <x:c r="A292" s="9"/>
      <x:c r="B292" s="10"/>
      <x:c r="C292" s="9"/>
      <x:c r="D292" s="9"/>
      <x:c r="E292" s="9"/>
      <x:c r="F292" s="11"/>
      <x:c r="G292" s="12" t="str">
        <x:f>IF(A292="","",SUMIFS('출고대장'!$D$7:$D$1006,'출고대장'!$A$7:$A$1006,A292))</x:f>
      </x:c>
      <x:c r="H292" s="12" t="str">
        <x:f>IF(A292="","",F292-G292)</x:f>
      </x:c>
      <x:c r="I292" s="12" t="str">
        <x:f>IF(A292="","",SUMIFS('출고대장'!$K$7:$K$1006,'출고대장'!$A$7:$A$1006,A292))</x:f>
      </x:c>
      <x:c r="J292" s="12" t="str">
        <x:f>IF(A292="","",SUMIFS('입금대장'!$C$7:$C$1006,'입금대장'!$A$7:$A$1006,A292,'입금대장'!$E$7:$E$1006,"정상"))</x:f>
      </x:c>
      <x:c r="K292" s="12" t="str">
        <x:f>IF(A292="","",I292-J292)</x:f>
      </x:c>
      <x:c r="L292" s="13" t="str">
        <x:f>IF(A292="","",IF(K292&lt;0,"선입금·초과입금",IF(I292=0,"청구 전",IF(K292=0,"정산 완료",IF(J292=0,"미입금","부분 입금")))))</x:f>
      </x:c>
      <x:c r="M292" s="9"/>
      <x:c r="N292" s="9"/>
    </x:row>
    <x:row r="293" ht="23" customHeight="1">
      <x:c r="A293" s="9"/>
      <x:c r="B293" s="10"/>
      <x:c r="C293" s="9"/>
      <x:c r="D293" s="9"/>
      <x:c r="E293" s="9"/>
      <x:c r="F293" s="11"/>
      <x:c r="G293" s="12" t="str">
        <x:f>IF(A293="","",SUMIFS('출고대장'!$D$7:$D$1006,'출고대장'!$A$7:$A$1006,A293))</x:f>
      </x:c>
      <x:c r="H293" s="12" t="str">
        <x:f>IF(A293="","",F293-G293)</x:f>
      </x:c>
      <x:c r="I293" s="12" t="str">
        <x:f>IF(A293="","",SUMIFS('출고대장'!$K$7:$K$1006,'출고대장'!$A$7:$A$1006,A293))</x:f>
      </x:c>
      <x:c r="J293" s="12" t="str">
        <x:f>IF(A293="","",SUMIFS('입금대장'!$C$7:$C$1006,'입금대장'!$A$7:$A$1006,A293,'입금대장'!$E$7:$E$1006,"정상"))</x:f>
      </x:c>
      <x:c r="K293" s="12" t="str">
        <x:f>IF(A293="","",I293-J293)</x:f>
      </x:c>
      <x:c r="L293" s="13" t="str">
        <x:f>IF(A293="","",IF(K293&lt;0,"선입금·초과입금",IF(I293=0,"청구 전",IF(K293=0,"정산 완료",IF(J293=0,"미입금","부분 입금")))))</x:f>
      </x:c>
      <x:c r="M293" s="9"/>
      <x:c r="N293" s="9"/>
    </x:row>
    <x:row r="294" ht="23" customHeight="1">
      <x:c r="A294" s="9"/>
      <x:c r="B294" s="10"/>
      <x:c r="C294" s="9"/>
      <x:c r="D294" s="9"/>
      <x:c r="E294" s="9"/>
      <x:c r="F294" s="11"/>
      <x:c r="G294" s="12" t="str">
        <x:f>IF(A294="","",SUMIFS('출고대장'!$D$7:$D$1006,'출고대장'!$A$7:$A$1006,A294))</x:f>
      </x:c>
      <x:c r="H294" s="12" t="str">
        <x:f>IF(A294="","",F294-G294)</x:f>
      </x:c>
      <x:c r="I294" s="12" t="str">
        <x:f>IF(A294="","",SUMIFS('출고대장'!$K$7:$K$1006,'출고대장'!$A$7:$A$1006,A294))</x:f>
      </x:c>
      <x:c r="J294" s="12" t="str">
        <x:f>IF(A294="","",SUMIFS('입금대장'!$C$7:$C$1006,'입금대장'!$A$7:$A$1006,A294,'입금대장'!$E$7:$E$1006,"정상"))</x:f>
      </x:c>
      <x:c r="K294" s="12" t="str">
        <x:f>IF(A294="","",I294-J294)</x:f>
      </x:c>
      <x:c r="L294" s="13" t="str">
        <x:f>IF(A294="","",IF(K294&lt;0,"선입금·초과입금",IF(I294=0,"청구 전",IF(K294=0,"정산 완료",IF(J294=0,"미입금","부분 입금")))))</x:f>
      </x:c>
      <x:c r="M294" s="9"/>
      <x:c r="N294" s="9"/>
    </x:row>
    <x:row r="295" ht="23" customHeight="1">
      <x:c r="A295" s="9"/>
      <x:c r="B295" s="10"/>
      <x:c r="C295" s="9"/>
      <x:c r="D295" s="9"/>
      <x:c r="E295" s="9"/>
      <x:c r="F295" s="11"/>
      <x:c r="G295" s="12" t="str">
        <x:f>IF(A295="","",SUMIFS('출고대장'!$D$7:$D$1006,'출고대장'!$A$7:$A$1006,A295))</x:f>
      </x:c>
      <x:c r="H295" s="12" t="str">
        <x:f>IF(A295="","",F295-G295)</x:f>
      </x:c>
      <x:c r="I295" s="12" t="str">
        <x:f>IF(A295="","",SUMIFS('출고대장'!$K$7:$K$1006,'출고대장'!$A$7:$A$1006,A295))</x:f>
      </x:c>
      <x:c r="J295" s="12" t="str">
        <x:f>IF(A295="","",SUMIFS('입금대장'!$C$7:$C$1006,'입금대장'!$A$7:$A$1006,A295,'입금대장'!$E$7:$E$1006,"정상"))</x:f>
      </x:c>
      <x:c r="K295" s="12" t="str">
        <x:f>IF(A295="","",I295-J295)</x:f>
      </x:c>
      <x:c r="L295" s="13" t="str">
        <x:f>IF(A295="","",IF(K295&lt;0,"선입금·초과입금",IF(I295=0,"청구 전",IF(K295=0,"정산 완료",IF(J295=0,"미입금","부분 입금")))))</x:f>
      </x:c>
      <x:c r="M295" s="9"/>
      <x:c r="N295" s="9"/>
    </x:row>
    <x:row r="296" ht="23" customHeight="1">
      <x:c r="A296" s="9"/>
      <x:c r="B296" s="10"/>
      <x:c r="C296" s="9"/>
      <x:c r="D296" s="9"/>
      <x:c r="E296" s="9"/>
      <x:c r="F296" s="11"/>
      <x:c r="G296" s="12" t="str">
        <x:f>IF(A296="","",SUMIFS('출고대장'!$D$7:$D$1006,'출고대장'!$A$7:$A$1006,A296))</x:f>
      </x:c>
      <x:c r="H296" s="12" t="str">
        <x:f>IF(A296="","",F296-G296)</x:f>
      </x:c>
      <x:c r="I296" s="12" t="str">
        <x:f>IF(A296="","",SUMIFS('출고대장'!$K$7:$K$1006,'출고대장'!$A$7:$A$1006,A296))</x:f>
      </x:c>
      <x:c r="J296" s="12" t="str">
        <x:f>IF(A296="","",SUMIFS('입금대장'!$C$7:$C$1006,'입금대장'!$A$7:$A$1006,A296,'입금대장'!$E$7:$E$1006,"정상"))</x:f>
      </x:c>
      <x:c r="K296" s="12" t="str">
        <x:f>IF(A296="","",I296-J296)</x:f>
      </x:c>
      <x:c r="L296" s="13" t="str">
        <x:f>IF(A296="","",IF(K296&lt;0,"선입금·초과입금",IF(I296=0,"청구 전",IF(K296=0,"정산 완료",IF(J296=0,"미입금","부분 입금")))))</x:f>
      </x:c>
      <x:c r="M296" s="9"/>
      <x:c r="N296" s="9"/>
    </x:row>
    <x:row r="297" ht="23" customHeight="1">
      <x:c r="A297" s="9"/>
      <x:c r="B297" s="10"/>
      <x:c r="C297" s="9"/>
      <x:c r="D297" s="9"/>
      <x:c r="E297" s="9"/>
      <x:c r="F297" s="11"/>
      <x:c r="G297" s="12" t="str">
        <x:f>IF(A297="","",SUMIFS('출고대장'!$D$7:$D$1006,'출고대장'!$A$7:$A$1006,A297))</x:f>
      </x:c>
      <x:c r="H297" s="12" t="str">
        <x:f>IF(A297="","",F297-G297)</x:f>
      </x:c>
      <x:c r="I297" s="12" t="str">
        <x:f>IF(A297="","",SUMIFS('출고대장'!$K$7:$K$1006,'출고대장'!$A$7:$A$1006,A297))</x:f>
      </x:c>
      <x:c r="J297" s="12" t="str">
        <x:f>IF(A297="","",SUMIFS('입금대장'!$C$7:$C$1006,'입금대장'!$A$7:$A$1006,A297,'입금대장'!$E$7:$E$1006,"정상"))</x:f>
      </x:c>
      <x:c r="K297" s="12" t="str">
        <x:f>IF(A297="","",I297-J297)</x:f>
      </x:c>
      <x:c r="L297" s="13" t="str">
        <x:f>IF(A297="","",IF(K297&lt;0,"선입금·초과입금",IF(I297=0,"청구 전",IF(K297=0,"정산 완료",IF(J297=0,"미입금","부분 입금")))))</x:f>
      </x:c>
      <x:c r="M297" s="9"/>
      <x:c r="N297" s="9"/>
    </x:row>
    <x:row r="298" ht="23" customHeight="1">
      <x:c r="A298" s="9"/>
      <x:c r="B298" s="10"/>
      <x:c r="C298" s="9"/>
      <x:c r="D298" s="9"/>
      <x:c r="E298" s="9"/>
      <x:c r="F298" s="11"/>
      <x:c r="G298" s="12" t="str">
        <x:f>IF(A298="","",SUMIFS('출고대장'!$D$7:$D$1006,'출고대장'!$A$7:$A$1006,A298))</x:f>
      </x:c>
      <x:c r="H298" s="12" t="str">
        <x:f>IF(A298="","",F298-G298)</x:f>
      </x:c>
      <x:c r="I298" s="12" t="str">
        <x:f>IF(A298="","",SUMIFS('출고대장'!$K$7:$K$1006,'출고대장'!$A$7:$A$1006,A298))</x:f>
      </x:c>
      <x:c r="J298" s="12" t="str">
        <x:f>IF(A298="","",SUMIFS('입금대장'!$C$7:$C$1006,'입금대장'!$A$7:$A$1006,A298,'입금대장'!$E$7:$E$1006,"정상"))</x:f>
      </x:c>
      <x:c r="K298" s="12" t="str">
        <x:f>IF(A298="","",I298-J298)</x:f>
      </x:c>
      <x:c r="L298" s="13" t="str">
        <x:f>IF(A298="","",IF(K298&lt;0,"선입금·초과입금",IF(I298=0,"청구 전",IF(K298=0,"정산 완료",IF(J298=0,"미입금","부분 입금")))))</x:f>
      </x:c>
      <x:c r="M298" s="9"/>
      <x:c r="N298" s="9"/>
    </x:row>
    <x:row r="299" ht="23" customHeight="1">
      <x:c r="A299" s="9"/>
      <x:c r="B299" s="10"/>
      <x:c r="C299" s="9"/>
      <x:c r="D299" s="9"/>
      <x:c r="E299" s="9"/>
      <x:c r="F299" s="11"/>
      <x:c r="G299" s="12" t="str">
        <x:f>IF(A299="","",SUMIFS('출고대장'!$D$7:$D$1006,'출고대장'!$A$7:$A$1006,A299))</x:f>
      </x:c>
      <x:c r="H299" s="12" t="str">
        <x:f>IF(A299="","",F299-G299)</x:f>
      </x:c>
      <x:c r="I299" s="12" t="str">
        <x:f>IF(A299="","",SUMIFS('출고대장'!$K$7:$K$1006,'출고대장'!$A$7:$A$1006,A299))</x:f>
      </x:c>
      <x:c r="J299" s="12" t="str">
        <x:f>IF(A299="","",SUMIFS('입금대장'!$C$7:$C$1006,'입금대장'!$A$7:$A$1006,A299,'입금대장'!$E$7:$E$1006,"정상"))</x:f>
      </x:c>
      <x:c r="K299" s="12" t="str">
        <x:f>IF(A299="","",I299-J299)</x:f>
      </x:c>
      <x:c r="L299" s="13" t="str">
        <x:f>IF(A299="","",IF(K299&lt;0,"선입금·초과입금",IF(I299=0,"청구 전",IF(K299=0,"정산 완료",IF(J299=0,"미입금","부분 입금")))))</x:f>
      </x:c>
      <x:c r="M299" s="9"/>
      <x:c r="N299" s="9"/>
    </x:row>
    <x:row r="300" ht="23" customHeight="1">
      <x:c r="A300" s="9"/>
      <x:c r="B300" s="10"/>
      <x:c r="C300" s="9"/>
      <x:c r="D300" s="9"/>
      <x:c r="E300" s="9"/>
      <x:c r="F300" s="11"/>
      <x:c r="G300" s="12" t="str">
        <x:f>IF(A300="","",SUMIFS('출고대장'!$D$7:$D$1006,'출고대장'!$A$7:$A$1006,A300))</x:f>
      </x:c>
      <x:c r="H300" s="12" t="str">
        <x:f>IF(A300="","",F300-G300)</x:f>
      </x:c>
      <x:c r="I300" s="12" t="str">
        <x:f>IF(A300="","",SUMIFS('출고대장'!$K$7:$K$1006,'출고대장'!$A$7:$A$1006,A300))</x:f>
      </x:c>
      <x:c r="J300" s="12" t="str">
        <x:f>IF(A300="","",SUMIFS('입금대장'!$C$7:$C$1006,'입금대장'!$A$7:$A$1006,A300,'입금대장'!$E$7:$E$1006,"정상"))</x:f>
      </x:c>
      <x:c r="K300" s="12" t="str">
        <x:f>IF(A300="","",I300-J300)</x:f>
      </x:c>
      <x:c r="L300" s="13" t="str">
        <x:f>IF(A300="","",IF(K300&lt;0,"선입금·초과입금",IF(I300=0,"청구 전",IF(K300=0,"정산 완료",IF(J300=0,"미입금","부분 입금")))))</x:f>
      </x:c>
      <x:c r="M300" s="9"/>
      <x:c r="N300" s="9"/>
    </x:row>
    <x:row r="301" ht="23" customHeight="1">
      <x:c r="A301" s="9"/>
      <x:c r="B301" s="10"/>
      <x:c r="C301" s="9"/>
      <x:c r="D301" s="9"/>
      <x:c r="E301" s="9"/>
      <x:c r="F301" s="11"/>
      <x:c r="G301" s="12" t="str">
        <x:f>IF(A301="","",SUMIFS('출고대장'!$D$7:$D$1006,'출고대장'!$A$7:$A$1006,A301))</x:f>
      </x:c>
      <x:c r="H301" s="12" t="str">
        <x:f>IF(A301="","",F301-G301)</x:f>
      </x:c>
      <x:c r="I301" s="12" t="str">
        <x:f>IF(A301="","",SUMIFS('출고대장'!$K$7:$K$1006,'출고대장'!$A$7:$A$1006,A301))</x:f>
      </x:c>
      <x:c r="J301" s="12" t="str">
        <x:f>IF(A301="","",SUMIFS('입금대장'!$C$7:$C$1006,'입금대장'!$A$7:$A$1006,A301,'입금대장'!$E$7:$E$1006,"정상"))</x:f>
      </x:c>
      <x:c r="K301" s="12" t="str">
        <x:f>IF(A301="","",I301-J301)</x:f>
      </x:c>
      <x:c r="L301" s="13" t="str">
        <x:f>IF(A301="","",IF(K301&lt;0,"선입금·초과입금",IF(I301=0,"청구 전",IF(K301=0,"정산 완료",IF(J301=0,"미입금","부분 입금")))))</x:f>
      </x:c>
      <x:c r="M301" s="9"/>
      <x:c r="N301" s="9"/>
    </x:row>
    <x:row r="302" ht="23" customHeight="1">
      <x:c r="A302" s="9"/>
      <x:c r="B302" s="10"/>
      <x:c r="C302" s="9"/>
      <x:c r="D302" s="9"/>
      <x:c r="E302" s="9"/>
      <x:c r="F302" s="11"/>
      <x:c r="G302" s="12" t="str">
        <x:f>IF(A302="","",SUMIFS('출고대장'!$D$7:$D$1006,'출고대장'!$A$7:$A$1006,A302))</x:f>
      </x:c>
      <x:c r="H302" s="12" t="str">
        <x:f>IF(A302="","",F302-G302)</x:f>
      </x:c>
      <x:c r="I302" s="12" t="str">
        <x:f>IF(A302="","",SUMIFS('출고대장'!$K$7:$K$1006,'출고대장'!$A$7:$A$1006,A302))</x:f>
      </x:c>
      <x:c r="J302" s="12" t="str">
        <x:f>IF(A302="","",SUMIFS('입금대장'!$C$7:$C$1006,'입금대장'!$A$7:$A$1006,A302,'입금대장'!$E$7:$E$1006,"정상"))</x:f>
      </x:c>
      <x:c r="K302" s="12" t="str">
        <x:f>IF(A302="","",I302-J302)</x:f>
      </x:c>
      <x:c r="L302" s="13" t="str">
        <x:f>IF(A302="","",IF(K302&lt;0,"선입금·초과입금",IF(I302=0,"청구 전",IF(K302=0,"정산 완료",IF(J302=0,"미입금","부분 입금")))))</x:f>
      </x:c>
      <x:c r="M302" s="9"/>
      <x:c r="N302" s="9"/>
    </x:row>
    <x:row r="303" ht="23" customHeight="1">
      <x:c r="A303" s="9"/>
      <x:c r="B303" s="10"/>
      <x:c r="C303" s="9"/>
      <x:c r="D303" s="9"/>
      <x:c r="E303" s="9"/>
      <x:c r="F303" s="11"/>
      <x:c r="G303" s="12" t="str">
        <x:f>IF(A303="","",SUMIFS('출고대장'!$D$7:$D$1006,'출고대장'!$A$7:$A$1006,A303))</x:f>
      </x:c>
      <x:c r="H303" s="12" t="str">
        <x:f>IF(A303="","",F303-G303)</x:f>
      </x:c>
      <x:c r="I303" s="12" t="str">
        <x:f>IF(A303="","",SUMIFS('출고대장'!$K$7:$K$1006,'출고대장'!$A$7:$A$1006,A303))</x:f>
      </x:c>
      <x:c r="J303" s="12" t="str">
        <x:f>IF(A303="","",SUMIFS('입금대장'!$C$7:$C$1006,'입금대장'!$A$7:$A$1006,A303,'입금대장'!$E$7:$E$1006,"정상"))</x:f>
      </x:c>
      <x:c r="K303" s="12" t="str">
        <x:f>IF(A303="","",I303-J303)</x:f>
      </x:c>
      <x:c r="L303" s="13" t="str">
        <x:f>IF(A303="","",IF(K303&lt;0,"선입금·초과입금",IF(I303=0,"청구 전",IF(K303=0,"정산 완료",IF(J303=0,"미입금","부분 입금")))))</x:f>
      </x:c>
      <x:c r="M303" s="9"/>
      <x:c r="N303" s="9"/>
    </x:row>
    <x:row r="304" ht="23" customHeight="1">
      <x:c r="A304" s="9"/>
      <x:c r="B304" s="10"/>
      <x:c r="C304" s="9"/>
      <x:c r="D304" s="9"/>
      <x:c r="E304" s="9"/>
      <x:c r="F304" s="11"/>
      <x:c r="G304" s="12" t="str">
        <x:f>IF(A304="","",SUMIFS('출고대장'!$D$7:$D$1006,'출고대장'!$A$7:$A$1006,A304))</x:f>
      </x:c>
      <x:c r="H304" s="12" t="str">
        <x:f>IF(A304="","",F304-G304)</x:f>
      </x:c>
      <x:c r="I304" s="12" t="str">
        <x:f>IF(A304="","",SUMIFS('출고대장'!$K$7:$K$1006,'출고대장'!$A$7:$A$1006,A304))</x:f>
      </x:c>
      <x:c r="J304" s="12" t="str">
        <x:f>IF(A304="","",SUMIFS('입금대장'!$C$7:$C$1006,'입금대장'!$A$7:$A$1006,A304,'입금대장'!$E$7:$E$1006,"정상"))</x:f>
      </x:c>
      <x:c r="K304" s="12" t="str">
        <x:f>IF(A304="","",I304-J304)</x:f>
      </x:c>
      <x:c r="L304" s="13" t="str">
        <x:f>IF(A304="","",IF(K304&lt;0,"선입금·초과입금",IF(I304=0,"청구 전",IF(K304=0,"정산 완료",IF(J304=0,"미입금","부분 입금")))))</x:f>
      </x:c>
      <x:c r="M304" s="9"/>
      <x:c r="N304" s="9"/>
    </x:row>
    <x:row r="305" ht="23" customHeight="1">
      <x:c r="A305" s="9"/>
      <x:c r="B305" s="10"/>
      <x:c r="C305" s="9"/>
      <x:c r="D305" s="9"/>
      <x:c r="E305" s="9"/>
      <x:c r="F305" s="11"/>
      <x:c r="G305" s="12" t="str">
        <x:f>IF(A305="","",SUMIFS('출고대장'!$D$7:$D$1006,'출고대장'!$A$7:$A$1006,A305))</x:f>
      </x:c>
      <x:c r="H305" s="12" t="str">
        <x:f>IF(A305="","",F305-G305)</x:f>
      </x:c>
      <x:c r="I305" s="12" t="str">
        <x:f>IF(A305="","",SUMIFS('출고대장'!$K$7:$K$1006,'출고대장'!$A$7:$A$1006,A305))</x:f>
      </x:c>
      <x:c r="J305" s="12" t="str">
        <x:f>IF(A305="","",SUMIFS('입금대장'!$C$7:$C$1006,'입금대장'!$A$7:$A$1006,A305,'입금대장'!$E$7:$E$1006,"정상"))</x:f>
      </x:c>
      <x:c r="K305" s="12" t="str">
        <x:f>IF(A305="","",I305-J305)</x:f>
      </x:c>
      <x:c r="L305" s="13" t="str">
        <x:f>IF(A305="","",IF(K305&lt;0,"선입금·초과입금",IF(I305=0,"청구 전",IF(K305=0,"정산 완료",IF(J305=0,"미입금","부분 입금")))))</x:f>
      </x:c>
      <x:c r="M305" s="9"/>
      <x:c r="N305" s="9"/>
    </x:row>
    <x:row r="306" ht="23" customHeight="1">
      <x:c r="A306" s="9"/>
      <x:c r="B306" s="10"/>
      <x:c r="C306" s="9"/>
      <x:c r="D306" s="9"/>
      <x:c r="E306" s="9"/>
      <x:c r="F306" s="11"/>
      <x:c r="G306" s="12" t="str">
        <x:f>IF(A306="","",SUMIFS('출고대장'!$D$7:$D$1006,'출고대장'!$A$7:$A$1006,A306))</x:f>
      </x:c>
      <x:c r="H306" s="12" t="str">
        <x:f>IF(A306="","",F306-G306)</x:f>
      </x:c>
      <x:c r="I306" s="12" t="str">
        <x:f>IF(A306="","",SUMIFS('출고대장'!$K$7:$K$1006,'출고대장'!$A$7:$A$1006,A306))</x:f>
      </x:c>
      <x:c r="J306" s="12" t="str">
        <x:f>IF(A306="","",SUMIFS('입금대장'!$C$7:$C$1006,'입금대장'!$A$7:$A$1006,A306,'입금대장'!$E$7:$E$1006,"정상"))</x:f>
      </x:c>
      <x:c r="K306" s="12" t="str">
        <x:f>IF(A306="","",I306-J306)</x:f>
      </x:c>
      <x:c r="L306" s="13" t="str">
        <x:f>IF(A306="","",IF(K306&lt;0,"선입금·초과입금",IF(I306=0,"청구 전",IF(K306=0,"정산 완료",IF(J306=0,"미입금","부분 입금")))))</x:f>
      </x:c>
      <x:c r="M306" s="9"/>
      <x:c r="N306" s="9"/>
    </x:row>
    <x:row r="307" ht="23" customHeight="1">
      <x:c r="A307" s="9"/>
      <x:c r="B307" s="10"/>
      <x:c r="C307" s="9"/>
      <x:c r="D307" s="9"/>
      <x:c r="E307" s="9"/>
      <x:c r="F307" s="11"/>
      <x:c r="G307" s="12" t="str">
        <x:f>IF(A307="","",SUMIFS('출고대장'!$D$7:$D$1006,'출고대장'!$A$7:$A$1006,A307))</x:f>
      </x:c>
      <x:c r="H307" s="12" t="str">
        <x:f>IF(A307="","",F307-G307)</x:f>
      </x:c>
      <x:c r="I307" s="12" t="str">
        <x:f>IF(A307="","",SUMIFS('출고대장'!$K$7:$K$1006,'출고대장'!$A$7:$A$1006,A307))</x:f>
      </x:c>
      <x:c r="J307" s="12" t="str">
        <x:f>IF(A307="","",SUMIFS('입금대장'!$C$7:$C$1006,'입금대장'!$A$7:$A$1006,A307,'입금대장'!$E$7:$E$1006,"정상"))</x:f>
      </x:c>
      <x:c r="K307" s="12" t="str">
        <x:f>IF(A307="","",I307-J307)</x:f>
      </x:c>
      <x:c r="L307" s="13" t="str">
        <x:f>IF(A307="","",IF(K307&lt;0,"선입금·초과입금",IF(I307=0,"청구 전",IF(K307=0,"정산 완료",IF(J307=0,"미입금","부분 입금")))))</x:f>
      </x:c>
      <x:c r="M307" s="9"/>
      <x:c r="N307" s="9"/>
    </x:row>
    <x:row r="308" ht="23" customHeight="1">
      <x:c r="A308" s="9"/>
      <x:c r="B308" s="10"/>
      <x:c r="C308" s="9"/>
      <x:c r="D308" s="9"/>
      <x:c r="E308" s="9"/>
      <x:c r="F308" s="11"/>
      <x:c r="G308" s="12" t="str">
        <x:f>IF(A308="","",SUMIFS('출고대장'!$D$7:$D$1006,'출고대장'!$A$7:$A$1006,A308))</x:f>
      </x:c>
      <x:c r="H308" s="12" t="str">
        <x:f>IF(A308="","",F308-G308)</x:f>
      </x:c>
      <x:c r="I308" s="12" t="str">
        <x:f>IF(A308="","",SUMIFS('출고대장'!$K$7:$K$1006,'출고대장'!$A$7:$A$1006,A308))</x:f>
      </x:c>
      <x:c r="J308" s="12" t="str">
        <x:f>IF(A308="","",SUMIFS('입금대장'!$C$7:$C$1006,'입금대장'!$A$7:$A$1006,A308,'입금대장'!$E$7:$E$1006,"정상"))</x:f>
      </x:c>
      <x:c r="K308" s="12" t="str">
        <x:f>IF(A308="","",I308-J308)</x:f>
      </x:c>
      <x:c r="L308" s="13" t="str">
        <x:f>IF(A308="","",IF(K308&lt;0,"선입금·초과입금",IF(I308=0,"청구 전",IF(K308=0,"정산 완료",IF(J308=0,"미입금","부분 입금")))))</x:f>
      </x:c>
      <x:c r="M308" s="9"/>
      <x:c r="N308" s="9"/>
    </x:row>
    <x:row r="309" ht="23" customHeight="1">
      <x:c r="A309" s="9"/>
      <x:c r="B309" s="10"/>
      <x:c r="C309" s="9"/>
      <x:c r="D309" s="9"/>
      <x:c r="E309" s="9"/>
      <x:c r="F309" s="11"/>
      <x:c r="G309" s="12" t="str">
        <x:f>IF(A309="","",SUMIFS('출고대장'!$D$7:$D$1006,'출고대장'!$A$7:$A$1006,A309))</x:f>
      </x:c>
      <x:c r="H309" s="12" t="str">
        <x:f>IF(A309="","",F309-G309)</x:f>
      </x:c>
      <x:c r="I309" s="12" t="str">
        <x:f>IF(A309="","",SUMIFS('출고대장'!$K$7:$K$1006,'출고대장'!$A$7:$A$1006,A309))</x:f>
      </x:c>
      <x:c r="J309" s="12" t="str">
        <x:f>IF(A309="","",SUMIFS('입금대장'!$C$7:$C$1006,'입금대장'!$A$7:$A$1006,A309,'입금대장'!$E$7:$E$1006,"정상"))</x:f>
      </x:c>
      <x:c r="K309" s="12" t="str">
        <x:f>IF(A309="","",I309-J309)</x:f>
      </x:c>
      <x:c r="L309" s="13" t="str">
        <x:f>IF(A309="","",IF(K309&lt;0,"선입금·초과입금",IF(I309=0,"청구 전",IF(K309=0,"정산 완료",IF(J309=0,"미입금","부분 입금")))))</x:f>
      </x:c>
      <x:c r="M309" s="9"/>
      <x:c r="N309" s="9"/>
    </x:row>
    <x:row r="310" ht="23" customHeight="1">
      <x:c r="A310" s="9"/>
      <x:c r="B310" s="10"/>
      <x:c r="C310" s="9"/>
      <x:c r="D310" s="9"/>
      <x:c r="E310" s="9"/>
      <x:c r="F310" s="11"/>
      <x:c r="G310" s="12" t="str">
        <x:f>IF(A310="","",SUMIFS('출고대장'!$D$7:$D$1006,'출고대장'!$A$7:$A$1006,A310))</x:f>
      </x:c>
      <x:c r="H310" s="12" t="str">
        <x:f>IF(A310="","",F310-G310)</x:f>
      </x:c>
      <x:c r="I310" s="12" t="str">
        <x:f>IF(A310="","",SUMIFS('출고대장'!$K$7:$K$1006,'출고대장'!$A$7:$A$1006,A310))</x:f>
      </x:c>
      <x:c r="J310" s="12" t="str">
        <x:f>IF(A310="","",SUMIFS('입금대장'!$C$7:$C$1006,'입금대장'!$A$7:$A$1006,A310,'입금대장'!$E$7:$E$1006,"정상"))</x:f>
      </x:c>
      <x:c r="K310" s="12" t="str">
        <x:f>IF(A310="","",I310-J310)</x:f>
      </x:c>
      <x:c r="L310" s="13" t="str">
        <x:f>IF(A310="","",IF(K310&lt;0,"선입금·초과입금",IF(I310=0,"청구 전",IF(K310=0,"정산 완료",IF(J310=0,"미입금","부분 입금")))))</x:f>
      </x:c>
      <x:c r="M310" s="9"/>
      <x:c r="N310" s="9"/>
    </x:row>
    <x:row r="311" ht="23" customHeight="1">
      <x:c r="A311" s="9"/>
      <x:c r="B311" s="10"/>
      <x:c r="C311" s="9"/>
      <x:c r="D311" s="9"/>
      <x:c r="E311" s="9"/>
      <x:c r="F311" s="11"/>
      <x:c r="G311" s="12" t="str">
        <x:f>IF(A311="","",SUMIFS('출고대장'!$D$7:$D$1006,'출고대장'!$A$7:$A$1006,A311))</x:f>
      </x:c>
      <x:c r="H311" s="12" t="str">
        <x:f>IF(A311="","",F311-G311)</x:f>
      </x:c>
      <x:c r="I311" s="12" t="str">
        <x:f>IF(A311="","",SUMIFS('출고대장'!$K$7:$K$1006,'출고대장'!$A$7:$A$1006,A311))</x:f>
      </x:c>
      <x:c r="J311" s="12" t="str">
        <x:f>IF(A311="","",SUMIFS('입금대장'!$C$7:$C$1006,'입금대장'!$A$7:$A$1006,A311,'입금대장'!$E$7:$E$1006,"정상"))</x:f>
      </x:c>
      <x:c r="K311" s="12" t="str">
        <x:f>IF(A311="","",I311-J311)</x:f>
      </x:c>
      <x:c r="L311" s="13" t="str">
        <x:f>IF(A311="","",IF(K311&lt;0,"선입금·초과입금",IF(I311=0,"청구 전",IF(K311=0,"정산 완료",IF(J311=0,"미입금","부분 입금")))))</x:f>
      </x:c>
      <x:c r="M311" s="9"/>
      <x:c r="N311" s="9"/>
    </x:row>
    <x:row r="312" ht="23" customHeight="1">
      <x:c r="A312" s="9"/>
      <x:c r="B312" s="10"/>
      <x:c r="C312" s="9"/>
      <x:c r="D312" s="9"/>
      <x:c r="E312" s="9"/>
      <x:c r="F312" s="11"/>
      <x:c r="G312" s="12" t="str">
        <x:f>IF(A312="","",SUMIFS('출고대장'!$D$7:$D$1006,'출고대장'!$A$7:$A$1006,A312))</x:f>
      </x:c>
      <x:c r="H312" s="12" t="str">
        <x:f>IF(A312="","",F312-G312)</x:f>
      </x:c>
      <x:c r="I312" s="12" t="str">
        <x:f>IF(A312="","",SUMIFS('출고대장'!$K$7:$K$1006,'출고대장'!$A$7:$A$1006,A312))</x:f>
      </x:c>
      <x:c r="J312" s="12" t="str">
        <x:f>IF(A312="","",SUMIFS('입금대장'!$C$7:$C$1006,'입금대장'!$A$7:$A$1006,A312,'입금대장'!$E$7:$E$1006,"정상"))</x:f>
      </x:c>
      <x:c r="K312" s="12" t="str">
        <x:f>IF(A312="","",I312-J312)</x:f>
      </x:c>
      <x:c r="L312" s="13" t="str">
        <x:f>IF(A312="","",IF(K312&lt;0,"선입금·초과입금",IF(I312=0,"청구 전",IF(K312=0,"정산 완료",IF(J312=0,"미입금","부분 입금")))))</x:f>
      </x:c>
      <x:c r="M312" s="9"/>
      <x:c r="N312" s="9"/>
    </x:row>
    <x:row r="313" ht="23" customHeight="1">
      <x:c r="A313" s="9"/>
      <x:c r="B313" s="10"/>
      <x:c r="C313" s="9"/>
      <x:c r="D313" s="9"/>
      <x:c r="E313" s="9"/>
      <x:c r="F313" s="11"/>
      <x:c r="G313" s="12" t="str">
        <x:f>IF(A313="","",SUMIFS('출고대장'!$D$7:$D$1006,'출고대장'!$A$7:$A$1006,A313))</x:f>
      </x:c>
      <x:c r="H313" s="12" t="str">
        <x:f>IF(A313="","",F313-G313)</x:f>
      </x:c>
      <x:c r="I313" s="12" t="str">
        <x:f>IF(A313="","",SUMIFS('출고대장'!$K$7:$K$1006,'출고대장'!$A$7:$A$1006,A313))</x:f>
      </x:c>
      <x:c r="J313" s="12" t="str">
        <x:f>IF(A313="","",SUMIFS('입금대장'!$C$7:$C$1006,'입금대장'!$A$7:$A$1006,A313,'입금대장'!$E$7:$E$1006,"정상"))</x:f>
      </x:c>
      <x:c r="K313" s="12" t="str">
        <x:f>IF(A313="","",I313-J313)</x:f>
      </x:c>
      <x:c r="L313" s="13" t="str">
        <x:f>IF(A313="","",IF(K313&lt;0,"선입금·초과입금",IF(I313=0,"청구 전",IF(K313=0,"정산 완료",IF(J313=0,"미입금","부분 입금")))))</x:f>
      </x:c>
      <x:c r="M313" s="9"/>
      <x:c r="N313" s="9"/>
    </x:row>
    <x:row r="314" ht="23" customHeight="1">
      <x:c r="A314" s="9"/>
      <x:c r="B314" s="10"/>
      <x:c r="C314" s="9"/>
      <x:c r="D314" s="9"/>
      <x:c r="E314" s="9"/>
      <x:c r="F314" s="11"/>
      <x:c r="G314" s="12" t="str">
        <x:f>IF(A314="","",SUMIFS('출고대장'!$D$7:$D$1006,'출고대장'!$A$7:$A$1006,A314))</x:f>
      </x:c>
      <x:c r="H314" s="12" t="str">
        <x:f>IF(A314="","",F314-G314)</x:f>
      </x:c>
      <x:c r="I314" s="12" t="str">
        <x:f>IF(A314="","",SUMIFS('출고대장'!$K$7:$K$1006,'출고대장'!$A$7:$A$1006,A314))</x:f>
      </x:c>
      <x:c r="J314" s="12" t="str">
        <x:f>IF(A314="","",SUMIFS('입금대장'!$C$7:$C$1006,'입금대장'!$A$7:$A$1006,A314,'입금대장'!$E$7:$E$1006,"정상"))</x:f>
      </x:c>
      <x:c r="K314" s="12" t="str">
        <x:f>IF(A314="","",I314-J314)</x:f>
      </x:c>
      <x:c r="L314" s="13" t="str">
        <x:f>IF(A314="","",IF(K314&lt;0,"선입금·초과입금",IF(I314=0,"청구 전",IF(K314=0,"정산 완료",IF(J314=0,"미입금","부분 입금")))))</x:f>
      </x:c>
      <x:c r="M314" s="9"/>
      <x:c r="N314" s="9"/>
    </x:row>
    <x:row r="315" ht="23" customHeight="1">
      <x:c r="A315" s="9"/>
      <x:c r="B315" s="10"/>
      <x:c r="C315" s="9"/>
      <x:c r="D315" s="9"/>
      <x:c r="E315" s="9"/>
      <x:c r="F315" s="11"/>
      <x:c r="G315" s="12" t="str">
        <x:f>IF(A315="","",SUMIFS('출고대장'!$D$7:$D$1006,'출고대장'!$A$7:$A$1006,A315))</x:f>
      </x:c>
      <x:c r="H315" s="12" t="str">
        <x:f>IF(A315="","",F315-G315)</x:f>
      </x:c>
      <x:c r="I315" s="12" t="str">
        <x:f>IF(A315="","",SUMIFS('출고대장'!$K$7:$K$1006,'출고대장'!$A$7:$A$1006,A315))</x:f>
      </x:c>
      <x:c r="J315" s="12" t="str">
        <x:f>IF(A315="","",SUMIFS('입금대장'!$C$7:$C$1006,'입금대장'!$A$7:$A$1006,A315,'입금대장'!$E$7:$E$1006,"정상"))</x:f>
      </x:c>
      <x:c r="K315" s="12" t="str">
        <x:f>IF(A315="","",I315-J315)</x:f>
      </x:c>
      <x:c r="L315" s="13" t="str">
        <x:f>IF(A315="","",IF(K315&lt;0,"선입금·초과입금",IF(I315=0,"청구 전",IF(K315=0,"정산 완료",IF(J315=0,"미입금","부분 입금")))))</x:f>
      </x:c>
      <x:c r="M315" s="9"/>
      <x:c r="N315" s="9"/>
    </x:row>
    <x:row r="316" ht="23" customHeight="1">
      <x:c r="A316" s="9"/>
      <x:c r="B316" s="10"/>
      <x:c r="C316" s="9"/>
      <x:c r="D316" s="9"/>
      <x:c r="E316" s="9"/>
      <x:c r="F316" s="11"/>
      <x:c r="G316" s="12" t="str">
        <x:f>IF(A316="","",SUMIFS('출고대장'!$D$7:$D$1006,'출고대장'!$A$7:$A$1006,A316))</x:f>
      </x:c>
      <x:c r="H316" s="12" t="str">
        <x:f>IF(A316="","",F316-G316)</x:f>
      </x:c>
      <x:c r="I316" s="12" t="str">
        <x:f>IF(A316="","",SUMIFS('출고대장'!$K$7:$K$1006,'출고대장'!$A$7:$A$1006,A316))</x:f>
      </x:c>
      <x:c r="J316" s="12" t="str">
        <x:f>IF(A316="","",SUMIFS('입금대장'!$C$7:$C$1006,'입금대장'!$A$7:$A$1006,A316,'입금대장'!$E$7:$E$1006,"정상"))</x:f>
      </x:c>
      <x:c r="K316" s="12" t="str">
        <x:f>IF(A316="","",I316-J316)</x:f>
      </x:c>
      <x:c r="L316" s="13" t="str">
        <x:f>IF(A316="","",IF(K316&lt;0,"선입금·초과입금",IF(I316=0,"청구 전",IF(K316=0,"정산 완료",IF(J316=0,"미입금","부분 입금")))))</x:f>
      </x:c>
      <x:c r="M316" s="9"/>
      <x:c r="N316" s="9"/>
    </x:row>
    <x:row r="317" ht="23" customHeight="1">
      <x:c r="A317" s="9"/>
      <x:c r="B317" s="10"/>
      <x:c r="C317" s="9"/>
      <x:c r="D317" s="9"/>
      <x:c r="E317" s="9"/>
      <x:c r="F317" s="11"/>
      <x:c r="G317" s="12" t="str">
        <x:f>IF(A317="","",SUMIFS('출고대장'!$D$7:$D$1006,'출고대장'!$A$7:$A$1006,A317))</x:f>
      </x:c>
      <x:c r="H317" s="12" t="str">
        <x:f>IF(A317="","",F317-G317)</x:f>
      </x:c>
      <x:c r="I317" s="12" t="str">
        <x:f>IF(A317="","",SUMIFS('출고대장'!$K$7:$K$1006,'출고대장'!$A$7:$A$1006,A317))</x:f>
      </x:c>
      <x:c r="J317" s="12" t="str">
        <x:f>IF(A317="","",SUMIFS('입금대장'!$C$7:$C$1006,'입금대장'!$A$7:$A$1006,A317,'입금대장'!$E$7:$E$1006,"정상"))</x:f>
      </x:c>
      <x:c r="K317" s="12" t="str">
        <x:f>IF(A317="","",I317-J317)</x:f>
      </x:c>
      <x:c r="L317" s="13" t="str">
        <x:f>IF(A317="","",IF(K317&lt;0,"선입금·초과입금",IF(I317=0,"청구 전",IF(K317=0,"정산 완료",IF(J317=0,"미입금","부분 입금")))))</x:f>
      </x:c>
      <x:c r="M317" s="9"/>
      <x:c r="N317" s="9"/>
    </x:row>
    <x:row r="318" ht="23" customHeight="1">
      <x:c r="A318" s="9"/>
      <x:c r="B318" s="10"/>
      <x:c r="C318" s="9"/>
      <x:c r="D318" s="9"/>
      <x:c r="E318" s="9"/>
      <x:c r="F318" s="11"/>
      <x:c r="G318" s="12" t="str">
        <x:f>IF(A318="","",SUMIFS('출고대장'!$D$7:$D$1006,'출고대장'!$A$7:$A$1006,A318))</x:f>
      </x:c>
      <x:c r="H318" s="12" t="str">
        <x:f>IF(A318="","",F318-G318)</x:f>
      </x:c>
      <x:c r="I318" s="12" t="str">
        <x:f>IF(A318="","",SUMIFS('출고대장'!$K$7:$K$1006,'출고대장'!$A$7:$A$1006,A318))</x:f>
      </x:c>
      <x:c r="J318" s="12" t="str">
        <x:f>IF(A318="","",SUMIFS('입금대장'!$C$7:$C$1006,'입금대장'!$A$7:$A$1006,A318,'입금대장'!$E$7:$E$1006,"정상"))</x:f>
      </x:c>
      <x:c r="K318" s="12" t="str">
        <x:f>IF(A318="","",I318-J318)</x:f>
      </x:c>
      <x:c r="L318" s="13" t="str">
        <x:f>IF(A318="","",IF(K318&lt;0,"선입금·초과입금",IF(I318=0,"청구 전",IF(K318=0,"정산 완료",IF(J318=0,"미입금","부분 입금")))))</x:f>
      </x:c>
      <x:c r="M318" s="9"/>
      <x:c r="N318" s="9"/>
    </x:row>
    <x:row r="319" ht="23" customHeight="1">
      <x:c r="A319" s="9"/>
      <x:c r="B319" s="10"/>
      <x:c r="C319" s="9"/>
      <x:c r="D319" s="9"/>
      <x:c r="E319" s="9"/>
      <x:c r="F319" s="11"/>
      <x:c r="G319" s="12" t="str">
        <x:f>IF(A319="","",SUMIFS('출고대장'!$D$7:$D$1006,'출고대장'!$A$7:$A$1006,A319))</x:f>
      </x:c>
      <x:c r="H319" s="12" t="str">
        <x:f>IF(A319="","",F319-G319)</x:f>
      </x:c>
      <x:c r="I319" s="12" t="str">
        <x:f>IF(A319="","",SUMIFS('출고대장'!$K$7:$K$1006,'출고대장'!$A$7:$A$1006,A319))</x:f>
      </x:c>
      <x:c r="J319" s="12" t="str">
        <x:f>IF(A319="","",SUMIFS('입금대장'!$C$7:$C$1006,'입금대장'!$A$7:$A$1006,A319,'입금대장'!$E$7:$E$1006,"정상"))</x:f>
      </x:c>
      <x:c r="K319" s="12" t="str">
        <x:f>IF(A319="","",I319-J319)</x:f>
      </x:c>
      <x:c r="L319" s="13" t="str">
        <x:f>IF(A319="","",IF(K319&lt;0,"선입금·초과입금",IF(I319=0,"청구 전",IF(K319=0,"정산 완료",IF(J319=0,"미입금","부분 입금")))))</x:f>
      </x:c>
      <x:c r="M319" s="9"/>
      <x:c r="N319" s="9"/>
    </x:row>
    <x:row r="320" ht="23" customHeight="1">
      <x:c r="A320" s="9"/>
      <x:c r="B320" s="10"/>
      <x:c r="C320" s="9"/>
      <x:c r="D320" s="9"/>
      <x:c r="E320" s="9"/>
      <x:c r="F320" s="11"/>
      <x:c r="G320" s="12" t="str">
        <x:f>IF(A320="","",SUMIFS('출고대장'!$D$7:$D$1006,'출고대장'!$A$7:$A$1006,A320))</x:f>
      </x:c>
      <x:c r="H320" s="12" t="str">
        <x:f>IF(A320="","",F320-G320)</x:f>
      </x:c>
      <x:c r="I320" s="12" t="str">
        <x:f>IF(A320="","",SUMIFS('출고대장'!$K$7:$K$1006,'출고대장'!$A$7:$A$1006,A320))</x:f>
      </x:c>
      <x:c r="J320" s="12" t="str">
        <x:f>IF(A320="","",SUMIFS('입금대장'!$C$7:$C$1006,'입금대장'!$A$7:$A$1006,A320,'입금대장'!$E$7:$E$1006,"정상"))</x:f>
      </x:c>
      <x:c r="K320" s="12" t="str">
        <x:f>IF(A320="","",I320-J320)</x:f>
      </x:c>
      <x:c r="L320" s="13" t="str">
        <x:f>IF(A320="","",IF(K320&lt;0,"선입금·초과입금",IF(I320=0,"청구 전",IF(K320=0,"정산 완료",IF(J320=0,"미입금","부분 입금")))))</x:f>
      </x:c>
      <x:c r="M320" s="9"/>
      <x:c r="N320" s="9"/>
    </x:row>
    <x:row r="321" ht="23" customHeight="1">
      <x:c r="A321" s="9"/>
      <x:c r="B321" s="10"/>
      <x:c r="C321" s="9"/>
      <x:c r="D321" s="9"/>
      <x:c r="E321" s="9"/>
      <x:c r="F321" s="11"/>
      <x:c r="G321" s="12" t="str">
        <x:f>IF(A321="","",SUMIFS('출고대장'!$D$7:$D$1006,'출고대장'!$A$7:$A$1006,A321))</x:f>
      </x:c>
      <x:c r="H321" s="12" t="str">
        <x:f>IF(A321="","",F321-G321)</x:f>
      </x:c>
      <x:c r="I321" s="12" t="str">
        <x:f>IF(A321="","",SUMIFS('출고대장'!$K$7:$K$1006,'출고대장'!$A$7:$A$1006,A321))</x:f>
      </x:c>
      <x:c r="J321" s="12" t="str">
        <x:f>IF(A321="","",SUMIFS('입금대장'!$C$7:$C$1006,'입금대장'!$A$7:$A$1006,A321,'입금대장'!$E$7:$E$1006,"정상"))</x:f>
      </x:c>
      <x:c r="K321" s="12" t="str">
        <x:f>IF(A321="","",I321-J321)</x:f>
      </x:c>
      <x:c r="L321" s="13" t="str">
        <x:f>IF(A321="","",IF(K321&lt;0,"선입금·초과입금",IF(I321=0,"청구 전",IF(K321=0,"정산 완료",IF(J321=0,"미입금","부분 입금")))))</x:f>
      </x:c>
      <x:c r="M321" s="9"/>
      <x:c r="N321" s="9"/>
    </x:row>
    <x:row r="322" ht="23" customHeight="1">
      <x:c r="A322" s="9"/>
      <x:c r="B322" s="10"/>
      <x:c r="C322" s="9"/>
      <x:c r="D322" s="9"/>
      <x:c r="E322" s="9"/>
      <x:c r="F322" s="11"/>
      <x:c r="G322" s="12" t="str">
        <x:f>IF(A322="","",SUMIFS('출고대장'!$D$7:$D$1006,'출고대장'!$A$7:$A$1006,A322))</x:f>
      </x:c>
      <x:c r="H322" s="12" t="str">
        <x:f>IF(A322="","",F322-G322)</x:f>
      </x:c>
      <x:c r="I322" s="12" t="str">
        <x:f>IF(A322="","",SUMIFS('출고대장'!$K$7:$K$1006,'출고대장'!$A$7:$A$1006,A322))</x:f>
      </x:c>
      <x:c r="J322" s="12" t="str">
        <x:f>IF(A322="","",SUMIFS('입금대장'!$C$7:$C$1006,'입금대장'!$A$7:$A$1006,A322,'입금대장'!$E$7:$E$1006,"정상"))</x:f>
      </x:c>
      <x:c r="K322" s="12" t="str">
        <x:f>IF(A322="","",I322-J322)</x:f>
      </x:c>
      <x:c r="L322" s="13" t="str">
        <x:f>IF(A322="","",IF(K322&lt;0,"선입금·초과입금",IF(I322=0,"청구 전",IF(K322=0,"정산 완료",IF(J322=0,"미입금","부분 입금")))))</x:f>
      </x:c>
      <x:c r="M322" s="9"/>
      <x:c r="N322" s="9"/>
    </x:row>
    <x:row r="323" ht="23" customHeight="1">
      <x:c r="A323" s="9"/>
      <x:c r="B323" s="10"/>
      <x:c r="C323" s="9"/>
      <x:c r="D323" s="9"/>
      <x:c r="E323" s="9"/>
      <x:c r="F323" s="11"/>
      <x:c r="G323" s="12" t="str">
        <x:f>IF(A323="","",SUMIFS('출고대장'!$D$7:$D$1006,'출고대장'!$A$7:$A$1006,A323))</x:f>
      </x:c>
      <x:c r="H323" s="12" t="str">
        <x:f>IF(A323="","",F323-G323)</x:f>
      </x:c>
      <x:c r="I323" s="12" t="str">
        <x:f>IF(A323="","",SUMIFS('출고대장'!$K$7:$K$1006,'출고대장'!$A$7:$A$1006,A323))</x:f>
      </x:c>
      <x:c r="J323" s="12" t="str">
        <x:f>IF(A323="","",SUMIFS('입금대장'!$C$7:$C$1006,'입금대장'!$A$7:$A$1006,A323,'입금대장'!$E$7:$E$1006,"정상"))</x:f>
      </x:c>
      <x:c r="K323" s="12" t="str">
        <x:f>IF(A323="","",I323-J323)</x:f>
      </x:c>
      <x:c r="L323" s="13" t="str">
        <x:f>IF(A323="","",IF(K323&lt;0,"선입금·초과입금",IF(I323=0,"청구 전",IF(K323=0,"정산 완료",IF(J323=0,"미입금","부분 입금")))))</x:f>
      </x:c>
      <x:c r="M323" s="9"/>
      <x:c r="N323" s="9"/>
    </x:row>
    <x:row r="324" ht="23" customHeight="1">
      <x:c r="A324" s="9"/>
      <x:c r="B324" s="10"/>
      <x:c r="C324" s="9"/>
      <x:c r="D324" s="9"/>
      <x:c r="E324" s="9"/>
      <x:c r="F324" s="11"/>
      <x:c r="G324" s="12" t="str">
        <x:f>IF(A324="","",SUMIFS('출고대장'!$D$7:$D$1006,'출고대장'!$A$7:$A$1006,A324))</x:f>
      </x:c>
      <x:c r="H324" s="12" t="str">
        <x:f>IF(A324="","",F324-G324)</x:f>
      </x:c>
      <x:c r="I324" s="12" t="str">
        <x:f>IF(A324="","",SUMIFS('출고대장'!$K$7:$K$1006,'출고대장'!$A$7:$A$1006,A324))</x:f>
      </x:c>
      <x:c r="J324" s="12" t="str">
        <x:f>IF(A324="","",SUMIFS('입금대장'!$C$7:$C$1006,'입금대장'!$A$7:$A$1006,A324,'입금대장'!$E$7:$E$1006,"정상"))</x:f>
      </x:c>
      <x:c r="K324" s="12" t="str">
        <x:f>IF(A324="","",I324-J324)</x:f>
      </x:c>
      <x:c r="L324" s="13" t="str">
        <x:f>IF(A324="","",IF(K324&lt;0,"선입금·초과입금",IF(I324=0,"청구 전",IF(K324=0,"정산 완료",IF(J324=0,"미입금","부분 입금")))))</x:f>
      </x:c>
      <x:c r="M324" s="9"/>
      <x:c r="N324" s="9"/>
    </x:row>
    <x:row r="325" ht="23" customHeight="1">
      <x:c r="A325" s="9"/>
      <x:c r="B325" s="10"/>
      <x:c r="C325" s="9"/>
      <x:c r="D325" s="9"/>
      <x:c r="E325" s="9"/>
      <x:c r="F325" s="11"/>
      <x:c r="G325" s="12" t="str">
        <x:f>IF(A325="","",SUMIFS('출고대장'!$D$7:$D$1006,'출고대장'!$A$7:$A$1006,A325))</x:f>
      </x:c>
      <x:c r="H325" s="12" t="str">
        <x:f>IF(A325="","",F325-G325)</x:f>
      </x:c>
      <x:c r="I325" s="12" t="str">
        <x:f>IF(A325="","",SUMIFS('출고대장'!$K$7:$K$1006,'출고대장'!$A$7:$A$1006,A325))</x:f>
      </x:c>
      <x:c r="J325" s="12" t="str">
        <x:f>IF(A325="","",SUMIFS('입금대장'!$C$7:$C$1006,'입금대장'!$A$7:$A$1006,A325,'입금대장'!$E$7:$E$1006,"정상"))</x:f>
      </x:c>
      <x:c r="K325" s="12" t="str">
        <x:f>IF(A325="","",I325-J325)</x:f>
      </x:c>
      <x:c r="L325" s="13" t="str">
        <x:f>IF(A325="","",IF(K325&lt;0,"선입금·초과입금",IF(I325=0,"청구 전",IF(K325=0,"정산 완료",IF(J325=0,"미입금","부분 입금")))))</x:f>
      </x:c>
      <x:c r="M325" s="9"/>
      <x:c r="N325" s="9"/>
    </x:row>
    <x:row r="326" ht="23" customHeight="1">
      <x:c r="A326" s="9"/>
      <x:c r="B326" s="10"/>
      <x:c r="C326" s="9"/>
      <x:c r="D326" s="9"/>
      <x:c r="E326" s="9"/>
      <x:c r="F326" s="11"/>
      <x:c r="G326" s="12" t="str">
        <x:f>IF(A326="","",SUMIFS('출고대장'!$D$7:$D$1006,'출고대장'!$A$7:$A$1006,A326))</x:f>
      </x:c>
      <x:c r="H326" s="12" t="str">
        <x:f>IF(A326="","",F326-G326)</x:f>
      </x:c>
      <x:c r="I326" s="12" t="str">
        <x:f>IF(A326="","",SUMIFS('출고대장'!$K$7:$K$1006,'출고대장'!$A$7:$A$1006,A326))</x:f>
      </x:c>
      <x:c r="J326" s="12" t="str">
        <x:f>IF(A326="","",SUMIFS('입금대장'!$C$7:$C$1006,'입금대장'!$A$7:$A$1006,A326,'입금대장'!$E$7:$E$1006,"정상"))</x:f>
      </x:c>
      <x:c r="K326" s="12" t="str">
        <x:f>IF(A326="","",I326-J326)</x:f>
      </x:c>
      <x:c r="L326" s="13" t="str">
        <x:f>IF(A326="","",IF(K326&lt;0,"선입금·초과입금",IF(I326=0,"청구 전",IF(K326=0,"정산 완료",IF(J326=0,"미입금","부분 입금")))))</x:f>
      </x:c>
      <x:c r="M326" s="9"/>
      <x:c r="N326" s="9"/>
    </x:row>
    <x:row r="327" ht="23" customHeight="1">
      <x:c r="A327" s="9"/>
      <x:c r="B327" s="10"/>
      <x:c r="C327" s="9"/>
      <x:c r="D327" s="9"/>
      <x:c r="E327" s="9"/>
      <x:c r="F327" s="11"/>
      <x:c r="G327" s="12" t="str">
        <x:f>IF(A327="","",SUMIFS('출고대장'!$D$7:$D$1006,'출고대장'!$A$7:$A$1006,A327))</x:f>
      </x:c>
      <x:c r="H327" s="12" t="str">
        <x:f>IF(A327="","",F327-G327)</x:f>
      </x:c>
      <x:c r="I327" s="12" t="str">
        <x:f>IF(A327="","",SUMIFS('출고대장'!$K$7:$K$1006,'출고대장'!$A$7:$A$1006,A327))</x:f>
      </x:c>
      <x:c r="J327" s="12" t="str">
        <x:f>IF(A327="","",SUMIFS('입금대장'!$C$7:$C$1006,'입금대장'!$A$7:$A$1006,A327,'입금대장'!$E$7:$E$1006,"정상"))</x:f>
      </x:c>
      <x:c r="K327" s="12" t="str">
        <x:f>IF(A327="","",I327-J327)</x:f>
      </x:c>
      <x:c r="L327" s="13" t="str">
        <x:f>IF(A327="","",IF(K327&lt;0,"선입금·초과입금",IF(I327=0,"청구 전",IF(K327=0,"정산 완료",IF(J327=0,"미입금","부분 입금")))))</x:f>
      </x:c>
      <x:c r="M327" s="9"/>
      <x:c r="N327" s="9"/>
    </x:row>
    <x:row r="328" ht="23" customHeight="1">
      <x:c r="A328" s="9"/>
      <x:c r="B328" s="10"/>
      <x:c r="C328" s="9"/>
      <x:c r="D328" s="9"/>
      <x:c r="E328" s="9"/>
      <x:c r="F328" s="11"/>
      <x:c r="G328" s="12" t="str">
        <x:f>IF(A328="","",SUMIFS('출고대장'!$D$7:$D$1006,'출고대장'!$A$7:$A$1006,A328))</x:f>
      </x:c>
      <x:c r="H328" s="12" t="str">
        <x:f>IF(A328="","",F328-G328)</x:f>
      </x:c>
      <x:c r="I328" s="12" t="str">
        <x:f>IF(A328="","",SUMIFS('출고대장'!$K$7:$K$1006,'출고대장'!$A$7:$A$1006,A328))</x:f>
      </x:c>
      <x:c r="J328" s="12" t="str">
        <x:f>IF(A328="","",SUMIFS('입금대장'!$C$7:$C$1006,'입금대장'!$A$7:$A$1006,A328,'입금대장'!$E$7:$E$1006,"정상"))</x:f>
      </x:c>
      <x:c r="K328" s="12" t="str">
        <x:f>IF(A328="","",I328-J328)</x:f>
      </x:c>
      <x:c r="L328" s="13" t="str">
        <x:f>IF(A328="","",IF(K328&lt;0,"선입금·초과입금",IF(I328=0,"청구 전",IF(K328=0,"정산 완료",IF(J328=0,"미입금","부분 입금")))))</x:f>
      </x:c>
      <x:c r="M328" s="9"/>
      <x:c r="N328" s="9"/>
    </x:row>
    <x:row r="329" ht="23" customHeight="1">
      <x:c r="A329" s="9"/>
      <x:c r="B329" s="10"/>
      <x:c r="C329" s="9"/>
      <x:c r="D329" s="9"/>
      <x:c r="E329" s="9"/>
      <x:c r="F329" s="11"/>
      <x:c r="G329" s="12" t="str">
        <x:f>IF(A329="","",SUMIFS('출고대장'!$D$7:$D$1006,'출고대장'!$A$7:$A$1006,A329))</x:f>
      </x:c>
      <x:c r="H329" s="12" t="str">
        <x:f>IF(A329="","",F329-G329)</x:f>
      </x:c>
      <x:c r="I329" s="12" t="str">
        <x:f>IF(A329="","",SUMIFS('출고대장'!$K$7:$K$1006,'출고대장'!$A$7:$A$1006,A329))</x:f>
      </x:c>
      <x:c r="J329" s="12" t="str">
        <x:f>IF(A329="","",SUMIFS('입금대장'!$C$7:$C$1006,'입금대장'!$A$7:$A$1006,A329,'입금대장'!$E$7:$E$1006,"정상"))</x:f>
      </x:c>
      <x:c r="K329" s="12" t="str">
        <x:f>IF(A329="","",I329-J329)</x:f>
      </x:c>
      <x:c r="L329" s="13" t="str">
        <x:f>IF(A329="","",IF(K329&lt;0,"선입금·초과입금",IF(I329=0,"청구 전",IF(K329=0,"정산 완료",IF(J329=0,"미입금","부분 입금")))))</x:f>
      </x:c>
      <x:c r="M329" s="9"/>
      <x:c r="N329" s="9"/>
    </x:row>
    <x:row r="330" ht="23" customHeight="1">
      <x:c r="A330" s="9"/>
      <x:c r="B330" s="10"/>
      <x:c r="C330" s="9"/>
      <x:c r="D330" s="9"/>
      <x:c r="E330" s="9"/>
      <x:c r="F330" s="11"/>
      <x:c r="G330" s="12" t="str">
        <x:f>IF(A330="","",SUMIFS('출고대장'!$D$7:$D$1006,'출고대장'!$A$7:$A$1006,A330))</x:f>
      </x:c>
      <x:c r="H330" s="12" t="str">
        <x:f>IF(A330="","",F330-G330)</x:f>
      </x:c>
      <x:c r="I330" s="12" t="str">
        <x:f>IF(A330="","",SUMIFS('출고대장'!$K$7:$K$1006,'출고대장'!$A$7:$A$1006,A330))</x:f>
      </x:c>
      <x:c r="J330" s="12" t="str">
        <x:f>IF(A330="","",SUMIFS('입금대장'!$C$7:$C$1006,'입금대장'!$A$7:$A$1006,A330,'입금대장'!$E$7:$E$1006,"정상"))</x:f>
      </x:c>
      <x:c r="K330" s="12" t="str">
        <x:f>IF(A330="","",I330-J330)</x:f>
      </x:c>
      <x:c r="L330" s="13" t="str">
        <x:f>IF(A330="","",IF(K330&lt;0,"선입금·초과입금",IF(I330=0,"청구 전",IF(K330=0,"정산 완료",IF(J330=0,"미입금","부분 입금")))))</x:f>
      </x:c>
      <x:c r="M330" s="9"/>
      <x:c r="N330" s="9"/>
    </x:row>
    <x:row r="331" ht="23" customHeight="1">
      <x:c r="A331" s="9"/>
      <x:c r="B331" s="10"/>
      <x:c r="C331" s="9"/>
      <x:c r="D331" s="9"/>
      <x:c r="E331" s="9"/>
      <x:c r="F331" s="11"/>
      <x:c r="G331" s="12" t="str">
        <x:f>IF(A331="","",SUMIFS('출고대장'!$D$7:$D$1006,'출고대장'!$A$7:$A$1006,A331))</x:f>
      </x:c>
      <x:c r="H331" s="12" t="str">
        <x:f>IF(A331="","",F331-G331)</x:f>
      </x:c>
      <x:c r="I331" s="12" t="str">
        <x:f>IF(A331="","",SUMIFS('출고대장'!$K$7:$K$1006,'출고대장'!$A$7:$A$1006,A331))</x:f>
      </x:c>
      <x:c r="J331" s="12" t="str">
        <x:f>IF(A331="","",SUMIFS('입금대장'!$C$7:$C$1006,'입금대장'!$A$7:$A$1006,A331,'입금대장'!$E$7:$E$1006,"정상"))</x:f>
      </x:c>
      <x:c r="K331" s="12" t="str">
        <x:f>IF(A331="","",I331-J331)</x:f>
      </x:c>
      <x:c r="L331" s="13" t="str">
        <x:f>IF(A331="","",IF(K331&lt;0,"선입금·초과입금",IF(I331=0,"청구 전",IF(K331=0,"정산 완료",IF(J331=0,"미입금","부분 입금")))))</x:f>
      </x:c>
      <x:c r="M331" s="9"/>
      <x:c r="N331" s="9"/>
    </x:row>
    <x:row r="332" ht="23" customHeight="1">
      <x:c r="A332" s="9"/>
      <x:c r="B332" s="10"/>
      <x:c r="C332" s="9"/>
      <x:c r="D332" s="9"/>
      <x:c r="E332" s="9"/>
      <x:c r="F332" s="11"/>
      <x:c r="G332" s="12" t="str">
        <x:f>IF(A332="","",SUMIFS('출고대장'!$D$7:$D$1006,'출고대장'!$A$7:$A$1006,A332))</x:f>
      </x:c>
      <x:c r="H332" s="12" t="str">
        <x:f>IF(A332="","",F332-G332)</x:f>
      </x:c>
      <x:c r="I332" s="12" t="str">
        <x:f>IF(A332="","",SUMIFS('출고대장'!$K$7:$K$1006,'출고대장'!$A$7:$A$1006,A332))</x:f>
      </x:c>
      <x:c r="J332" s="12" t="str">
        <x:f>IF(A332="","",SUMIFS('입금대장'!$C$7:$C$1006,'입금대장'!$A$7:$A$1006,A332,'입금대장'!$E$7:$E$1006,"정상"))</x:f>
      </x:c>
      <x:c r="K332" s="12" t="str">
        <x:f>IF(A332="","",I332-J332)</x:f>
      </x:c>
      <x:c r="L332" s="13" t="str">
        <x:f>IF(A332="","",IF(K332&lt;0,"선입금·초과입금",IF(I332=0,"청구 전",IF(K332=0,"정산 완료",IF(J332=0,"미입금","부분 입금")))))</x:f>
      </x:c>
      <x:c r="M332" s="9"/>
      <x:c r="N332" s="9"/>
    </x:row>
    <x:row r="333" ht="23" customHeight="1">
      <x:c r="A333" s="9"/>
      <x:c r="B333" s="10"/>
      <x:c r="C333" s="9"/>
      <x:c r="D333" s="9"/>
      <x:c r="E333" s="9"/>
      <x:c r="F333" s="11"/>
      <x:c r="G333" s="12" t="str">
        <x:f>IF(A333="","",SUMIFS('출고대장'!$D$7:$D$1006,'출고대장'!$A$7:$A$1006,A333))</x:f>
      </x:c>
      <x:c r="H333" s="12" t="str">
        <x:f>IF(A333="","",F333-G333)</x:f>
      </x:c>
      <x:c r="I333" s="12" t="str">
        <x:f>IF(A333="","",SUMIFS('출고대장'!$K$7:$K$1006,'출고대장'!$A$7:$A$1006,A333))</x:f>
      </x:c>
      <x:c r="J333" s="12" t="str">
        <x:f>IF(A333="","",SUMIFS('입금대장'!$C$7:$C$1006,'입금대장'!$A$7:$A$1006,A333,'입금대장'!$E$7:$E$1006,"정상"))</x:f>
      </x:c>
      <x:c r="K333" s="12" t="str">
        <x:f>IF(A333="","",I333-J333)</x:f>
      </x:c>
      <x:c r="L333" s="13" t="str">
        <x:f>IF(A333="","",IF(K333&lt;0,"선입금·초과입금",IF(I333=0,"청구 전",IF(K333=0,"정산 완료",IF(J333=0,"미입금","부분 입금")))))</x:f>
      </x:c>
      <x:c r="M333" s="9"/>
      <x:c r="N333" s="9"/>
    </x:row>
    <x:row r="334" ht="23" customHeight="1">
      <x:c r="A334" s="9"/>
      <x:c r="B334" s="10"/>
      <x:c r="C334" s="9"/>
      <x:c r="D334" s="9"/>
      <x:c r="E334" s="9"/>
      <x:c r="F334" s="11"/>
      <x:c r="G334" s="12" t="str">
        <x:f>IF(A334="","",SUMIFS('출고대장'!$D$7:$D$1006,'출고대장'!$A$7:$A$1006,A334))</x:f>
      </x:c>
      <x:c r="H334" s="12" t="str">
        <x:f>IF(A334="","",F334-G334)</x:f>
      </x:c>
      <x:c r="I334" s="12" t="str">
        <x:f>IF(A334="","",SUMIFS('출고대장'!$K$7:$K$1006,'출고대장'!$A$7:$A$1006,A334))</x:f>
      </x:c>
      <x:c r="J334" s="12" t="str">
        <x:f>IF(A334="","",SUMIFS('입금대장'!$C$7:$C$1006,'입금대장'!$A$7:$A$1006,A334,'입금대장'!$E$7:$E$1006,"정상"))</x:f>
      </x:c>
      <x:c r="K334" s="12" t="str">
        <x:f>IF(A334="","",I334-J334)</x:f>
      </x:c>
      <x:c r="L334" s="13" t="str">
        <x:f>IF(A334="","",IF(K334&lt;0,"선입금·초과입금",IF(I334=0,"청구 전",IF(K334=0,"정산 완료",IF(J334=0,"미입금","부분 입금")))))</x:f>
      </x:c>
      <x:c r="M334" s="9"/>
      <x:c r="N334" s="9"/>
    </x:row>
    <x:row r="335" ht="23" customHeight="1">
      <x:c r="A335" s="9"/>
      <x:c r="B335" s="10"/>
      <x:c r="C335" s="9"/>
      <x:c r="D335" s="9"/>
      <x:c r="E335" s="9"/>
      <x:c r="F335" s="11"/>
      <x:c r="G335" s="12" t="str">
        <x:f>IF(A335="","",SUMIFS('출고대장'!$D$7:$D$1006,'출고대장'!$A$7:$A$1006,A335))</x:f>
      </x:c>
      <x:c r="H335" s="12" t="str">
        <x:f>IF(A335="","",F335-G335)</x:f>
      </x:c>
      <x:c r="I335" s="12" t="str">
        <x:f>IF(A335="","",SUMIFS('출고대장'!$K$7:$K$1006,'출고대장'!$A$7:$A$1006,A335))</x:f>
      </x:c>
      <x:c r="J335" s="12" t="str">
        <x:f>IF(A335="","",SUMIFS('입금대장'!$C$7:$C$1006,'입금대장'!$A$7:$A$1006,A335,'입금대장'!$E$7:$E$1006,"정상"))</x:f>
      </x:c>
      <x:c r="K335" s="12" t="str">
        <x:f>IF(A335="","",I335-J335)</x:f>
      </x:c>
      <x:c r="L335" s="13" t="str">
        <x:f>IF(A335="","",IF(K335&lt;0,"선입금·초과입금",IF(I335=0,"청구 전",IF(K335=0,"정산 완료",IF(J335=0,"미입금","부분 입금")))))</x:f>
      </x:c>
      <x:c r="M335" s="9"/>
      <x:c r="N335" s="9"/>
    </x:row>
    <x:row r="336" ht="23" customHeight="1">
      <x:c r="A336" s="9"/>
      <x:c r="B336" s="10"/>
      <x:c r="C336" s="9"/>
      <x:c r="D336" s="9"/>
      <x:c r="E336" s="9"/>
      <x:c r="F336" s="11"/>
      <x:c r="G336" s="12" t="str">
        <x:f>IF(A336="","",SUMIFS('출고대장'!$D$7:$D$1006,'출고대장'!$A$7:$A$1006,A336))</x:f>
      </x:c>
      <x:c r="H336" s="12" t="str">
        <x:f>IF(A336="","",F336-G336)</x:f>
      </x:c>
      <x:c r="I336" s="12" t="str">
        <x:f>IF(A336="","",SUMIFS('출고대장'!$K$7:$K$1006,'출고대장'!$A$7:$A$1006,A336))</x:f>
      </x:c>
      <x:c r="J336" s="12" t="str">
        <x:f>IF(A336="","",SUMIFS('입금대장'!$C$7:$C$1006,'입금대장'!$A$7:$A$1006,A336,'입금대장'!$E$7:$E$1006,"정상"))</x:f>
      </x:c>
      <x:c r="K336" s="12" t="str">
        <x:f>IF(A336="","",I336-J336)</x:f>
      </x:c>
      <x:c r="L336" s="13" t="str">
        <x:f>IF(A336="","",IF(K336&lt;0,"선입금·초과입금",IF(I336=0,"청구 전",IF(K336=0,"정산 완료",IF(J336=0,"미입금","부분 입금")))))</x:f>
      </x:c>
      <x:c r="M336" s="9"/>
      <x:c r="N336" s="9"/>
    </x:row>
    <x:row r="337" ht="23" customHeight="1">
      <x:c r="A337" s="9"/>
      <x:c r="B337" s="10"/>
      <x:c r="C337" s="9"/>
      <x:c r="D337" s="9"/>
      <x:c r="E337" s="9"/>
      <x:c r="F337" s="11"/>
      <x:c r="G337" s="12" t="str">
        <x:f>IF(A337="","",SUMIFS('출고대장'!$D$7:$D$1006,'출고대장'!$A$7:$A$1006,A337))</x:f>
      </x:c>
      <x:c r="H337" s="12" t="str">
        <x:f>IF(A337="","",F337-G337)</x:f>
      </x:c>
      <x:c r="I337" s="12" t="str">
        <x:f>IF(A337="","",SUMIFS('출고대장'!$K$7:$K$1006,'출고대장'!$A$7:$A$1006,A337))</x:f>
      </x:c>
      <x:c r="J337" s="12" t="str">
        <x:f>IF(A337="","",SUMIFS('입금대장'!$C$7:$C$1006,'입금대장'!$A$7:$A$1006,A337,'입금대장'!$E$7:$E$1006,"정상"))</x:f>
      </x:c>
      <x:c r="K337" s="12" t="str">
        <x:f>IF(A337="","",I337-J337)</x:f>
      </x:c>
      <x:c r="L337" s="13" t="str">
        <x:f>IF(A337="","",IF(K337&lt;0,"선입금·초과입금",IF(I337=0,"청구 전",IF(K337=0,"정산 완료",IF(J337=0,"미입금","부분 입금")))))</x:f>
      </x:c>
      <x:c r="M337" s="9"/>
      <x:c r="N337" s="9"/>
    </x:row>
    <x:row r="338" ht="23" customHeight="1">
      <x:c r="A338" s="9"/>
      <x:c r="B338" s="10"/>
      <x:c r="C338" s="9"/>
      <x:c r="D338" s="9"/>
      <x:c r="E338" s="9"/>
      <x:c r="F338" s="11"/>
      <x:c r="G338" s="12" t="str">
        <x:f>IF(A338="","",SUMIFS('출고대장'!$D$7:$D$1006,'출고대장'!$A$7:$A$1006,A338))</x:f>
      </x:c>
      <x:c r="H338" s="12" t="str">
        <x:f>IF(A338="","",F338-G338)</x:f>
      </x:c>
      <x:c r="I338" s="12" t="str">
        <x:f>IF(A338="","",SUMIFS('출고대장'!$K$7:$K$1006,'출고대장'!$A$7:$A$1006,A338))</x:f>
      </x:c>
      <x:c r="J338" s="12" t="str">
        <x:f>IF(A338="","",SUMIFS('입금대장'!$C$7:$C$1006,'입금대장'!$A$7:$A$1006,A338,'입금대장'!$E$7:$E$1006,"정상"))</x:f>
      </x:c>
      <x:c r="K338" s="12" t="str">
        <x:f>IF(A338="","",I338-J338)</x:f>
      </x:c>
      <x:c r="L338" s="13" t="str">
        <x:f>IF(A338="","",IF(K338&lt;0,"선입금·초과입금",IF(I338=0,"청구 전",IF(K338=0,"정산 완료",IF(J338=0,"미입금","부분 입금")))))</x:f>
      </x:c>
      <x:c r="M338" s="9"/>
      <x:c r="N338" s="9"/>
    </x:row>
    <x:row r="339" ht="23" customHeight="1">
      <x:c r="A339" s="9"/>
      <x:c r="B339" s="10"/>
      <x:c r="C339" s="9"/>
      <x:c r="D339" s="9"/>
      <x:c r="E339" s="9"/>
      <x:c r="F339" s="11"/>
      <x:c r="G339" s="12" t="str">
        <x:f>IF(A339="","",SUMIFS('출고대장'!$D$7:$D$1006,'출고대장'!$A$7:$A$1006,A339))</x:f>
      </x:c>
      <x:c r="H339" s="12" t="str">
        <x:f>IF(A339="","",F339-G339)</x:f>
      </x:c>
      <x:c r="I339" s="12" t="str">
        <x:f>IF(A339="","",SUMIFS('출고대장'!$K$7:$K$1006,'출고대장'!$A$7:$A$1006,A339))</x:f>
      </x:c>
      <x:c r="J339" s="12" t="str">
        <x:f>IF(A339="","",SUMIFS('입금대장'!$C$7:$C$1006,'입금대장'!$A$7:$A$1006,A339,'입금대장'!$E$7:$E$1006,"정상"))</x:f>
      </x:c>
      <x:c r="K339" s="12" t="str">
        <x:f>IF(A339="","",I339-J339)</x:f>
      </x:c>
      <x:c r="L339" s="13" t="str">
        <x:f>IF(A339="","",IF(K339&lt;0,"선입금·초과입금",IF(I339=0,"청구 전",IF(K339=0,"정산 완료",IF(J339=0,"미입금","부분 입금")))))</x:f>
      </x:c>
      <x:c r="M339" s="9"/>
      <x:c r="N339" s="9"/>
    </x:row>
    <x:row r="340" ht="23" customHeight="1">
      <x:c r="A340" s="9"/>
      <x:c r="B340" s="10"/>
      <x:c r="C340" s="9"/>
      <x:c r="D340" s="9"/>
      <x:c r="E340" s="9"/>
      <x:c r="F340" s="11"/>
      <x:c r="G340" s="12" t="str">
        <x:f>IF(A340="","",SUMIFS('출고대장'!$D$7:$D$1006,'출고대장'!$A$7:$A$1006,A340))</x:f>
      </x:c>
      <x:c r="H340" s="12" t="str">
        <x:f>IF(A340="","",F340-G340)</x:f>
      </x:c>
      <x:c r="I340" s="12" t="str">
        <x:f>IF(A340="","",SUMIFS('출고대장'!$K$7:$K$1006,'출고대장'!$A$7:$A$1006,A340))</x:f>
      </x:c>
      <x:c r="J340" s="12" t="str">
        <x:f>IF(A340="","",SUMIFS('입금대장'!$C$7:$C$1006,'입금대장'!$A$7:$A$1006,A340,'입금대장'!$E$7:$E$1006,"정상"))</x:f>
      </x:c>
      <x:c r="K340" s="12" t="str">
        <x:f>IF(A340="","",I340-J340)</x:f>
      </x:c>
      <x:c r="L340" s="13" t="str">
        <x:f>IF(A340="","",IF(K340&lt;0,"선입금·초과입금",IF(I340=0,"청구 전",IF(K340=0,"정산 완료",IF(J340=0,"미입금","부분 입금")))))</x:f>
      </x:c>
      <x:c r="M340" s="9"/>
      <x:c r="N340" s="9"/>
    </x:row>
    <x:row r="341" ht="23" customHeight="1">
      <x:c r="A341" s="9"/>
      <x:c r="B341" s="10"/>
      <x:c r="C341" s="9"/>
      <x:c r="D341" s="9"/>
      <x:c r="E341" s="9"/>
      <x:c r="F341" s="11"/>
      <x:c r="G341" s="12" t="str">
        <x:f>IF(A341="","",SUMIFS('출고대장'!$D$7:$D$1006,'출고대장'!$A$7:$A$1006,A341))</x:f>
      </x:c>
      <x:c r="H341" s="12" t="str">
        <x:f>IF(A341="","",F341-G341)</x:f>
      </x:c>
      <x:c r="I341" s="12" t="str">
        <x:f>IF(A341="","",SUMIFS('출고대장'!$K$7:$K$1006,'출고대장'!$A$7:$A$1006,A341))</x:f>
      </x:c>
      <x:c r="J341" s="12" t="str">
        <x:f>IF(A341="","",SUMIFS('입금대장'!$C$7:$C$1006,'입금대장'!$A$7:$A$1006,A341,'입금대장'!$E$7:$E$1006,"정상"))</x:f>
      </x:c>
      <x:c r="K341" s="12" t="str">
        <x:f>IF(A341="","",I341-J341)</x:f>
      </x:c>
      <x:c r="L341" s="13" t="str">
        <x:f>IF(A341="","",IF(K341&lt;0,"선입금·초과입금",IF(I341=0,"청구 전",IF(K341=0,"정산 완료",IF(J341=0,"미입금","부분 입금")))))</x:f>
      </x:c>
      <x:c r="M341" s="9"/>
      <x:c r="N341" s="9"/>
    </x:row>
    <x:row r="342" ht="23" customHeight="1">
      <x:c r="A342" s="9"/>
      <x:c r="B342" s="10"/>
      <x:c r="C342" s="9"/>
      <x:c r="D342" s="9"/>
      <x:c r="E342" s="9"/>
      <x:c r="F342" s="11"/>
      <x:c r="G342" s="12" t="str">
        <x:f>IF(A342="","",SUMIFS('출고대장'!$D$7:$D$1006,'출고대장'!$A$7:$A$1006,A342))</x:f>
      </x:c>
      <x:c r="H342" s="12" t="str">
        <x:f>IF(A342="","",F342-G342)</x:f>
      </x:c>
      <x:c r="I342" s="12" t="str">
        <x:f>IF(A342="","",SUMIFS('출고대장'!$K$7:$K$1006,'출고대장'!$A$7:$A$1006,A342))</x:f>
      </x:c>
      <x:c r="J342" s="12" t="str">
        <x:f>IF(A342="","",SUMIFS('입금대장'!$C$7:$C$1006,'입금대장'!$A$7:$A$1006,A342,'입금대장'!$E$7:$E$1006,"정상"))</x:f>
      </x:c>
      <x:c r="K342" s="12" t="str">
        <x:f>IF(A342="","",I342-J342)</x:f>
      </x:c>
      <x:c r="L342" s="13" t="str">
        <x:f>IF(A342="","",IF(K342&lt;0,"선입금·초과입금",IF(I342=0,"청구 전",IF(K342=0,"정산 완료",IF(J342=0,"미입금","부분 입금")))))</x:f>
      </x:c>
      <x:c r="M342" s="9"/>
      <x:c r="N342" s="9"/>
    </x:row>
    <x:row r="343" ht="23" customHeight="1">
      <x:c r="A343" s="9"/>
      <x:c r="B343" s="10"/>
      <x:c r="C343" s="9"/>
      <x:c r="D343" s="9"/>
      <x:c r="E343" s="9"/>
      <x:c r="F343" s="11"/>
      <x:c r="G343" s="12" t="str">
        <x:f>IF(A343="","",SUMIFS('출고대장'!$D$7:$D$1006,'출고대장'!$A$7:$A$1006,A343))</x:f>
      </x:c>
      <x:c r="H343" s="12" t="str">
        <x:f>IF(A343="","",F343-G343)</x:f>
      </x:c>
      <x:c r="I343" s="12" t="str">
        <x:f>IF(A343="","",SUMIFS('출고대장'!$K$7:$K$1006,'출고대장'!$A$7:$A$1006,A343))</x:f>
      </x:c>
      <x:c r="J343" s="12" t="str">
        <x:f>IF(A343="","",SUMIFS('입금대장'!$C$7:$C$1006,'입금대장'!$A$7:$A$1006,A343,'입금대장'!$E$7:$E$1006,"정상"))</x:f>
      </x:c>
      <x:c r="K343" s="12" t="str">
        <x:f>IF(A343="","",I343-J343)</x:f>
      </x:c>
      <x:c r="L343" s="13" t="str">
        <x:f>IF(A343="","",IF(K343&lt;0,"선입금·초과입금",IF(I343=0,"청구 전",IF(K343=0,"정산 완료",IF(J343=0,"미입금","부분 입금")))))</x:f>
      </x:c>
      <x:c r="M343" s="9"/>
      <x:c r="N343" s="9"/>
    </x:row>
    <x:row r="344" ht="23" customHeight="1">
      <x:c r="A344" s="9"/>
      <x:c r="B344" s="10"/>
      <x:c r="C344" s="9"/>
      <x:c r="D344" s="9"/>
      <x:c r="E344" s="9"/>
      <x:c r="F344" s="11"/>
      <x:c r="G344" s="12" t="str">
        <x:f>IF(A344="","",SUMIFS('출고대장'!$D$7:$D$1006,'출고대장'!$A$7:$A$1006,A344))</x:f>
      </x:c>
      <x:c r="H344" s="12" t="str">
        <x:f>IF(A344="","",F344-G344)</x:f>
      </x:c>
      <x:c r="I344" s="12" t="str">
        <x:f>IF(A344="","",SUMIFS('출고대장'!$K$7:$K$1006,'출고대장'!$A$7:$A$1006,A344))</x:f>
      </x:c>
      <x:c r="J344" s="12" t="str">
        <x:f>IF(A344="","",SUMIFS('입금대장'!$C$7:$C$1006,'입금대장'!$A$7:$A$1006,A344,'입금대장'!$E$7:$E$1006,"정상"))</x:f>
      </x:c>
      <x:c r="K344" s="12" t="str">
        <x:f>IF(A344="","",I344-J344)</x:f>
      </x:c>
      <x:c r="L344" s="13" t="str">
        <x:f>IF(A344="","",IF(K344&lt;0,"선입금·초과입금",IF(I344=0,"청구 전",IF(K344=0,"정산 완료",IF(J344=0,"미입금","부분 입금")))))</x:f>
      </x:c>
      <x:c r="M344" s="9"/>
      <x:c r="N344" s="9"/>
    </x:row>
    <x:row r="345" ht="23" customHeight="1">
      <x:c r="A345" s="9"/>
      <x:c r="B345" s="10"/>
      <x:c r="C345" s="9"/>
      <x:c r="D345" s="9"/>
      <x:c r="E345" s="9"/>
      <x:c r="F345" s="11"/>
      <x:c r="G345" s="12" t="str">
        <x:f>IF(A345="","",SUMIFS('출고대장'!$D$7:$D$1006,'출고대장'!$A$7:$A$1006,A345))</x:f>
      </x:c>
      <x:c r="H345" s="12" t="str">
        <x:f>IF(A345="","",F345-G345)</x:f>
      </x:c>
      <x:c r="I345" s="12" t="str">
        <x:f>IF(A345="","",SUMIFS('출고대장'!$K$7:$K$1006,'출고대장'!$A$7:$A$1006,A345))</x:f>
      </x:c>
      <x:c r="J345" s="12" t="str">
        <x:f>IF(A345="","",SUMIFS('입금대장'!$C$7:$C$1006,'입금대장'!$A$7:$A$1006,A345,'입금대장'!$E$7:$E$1006,"정상"))</x:f>
      </x:c>
      <x:c r="K345" s="12" t="str">
        <x:f>IF(A345="","",I345-J345)</x:f>
      </x:c>
      <x:c r="L345" s="13" t="str">
        <x:f>IF(A345="","",IF(K345&lt;0,"선입금·초과입금",IF(I345=0,"청구 전",IF(K345=0,"정산 완료",IF(J345=0,"미입금","부분 입금")))))</x:f>
      </x:c>
      <x:c r="M345" s="9"/>
      <x:c r="N345" s="9"/>
    </x:row>
    <x:row r="346" ht="23" customHeight="1">
      <x:c r="A346" s="9"/>
      <x:c r="B346" s="10"/>
      <x:c r="C346" s="9"/>
      <x:c r="D346" s="9"/>
      <x:c r="E346" s="9"/>
      <x:c r="F346" s="11"/>
      <x:c r="G346" s="12" t="str">
        <x:f>IF(A346="","",SUMIFS('출고대장'!$D$7:$D$1006,'출고대장'!$A$7:$A$1006,A346))</x:f>
      </x:c>
      <x:c r="H346" s="12" t="str">
        <x:f>IF(A346="","",F346-G346)</x:f>
      </x:c>
      <x:c r="I346" s="12" t="str">
        <x:f>IF(A346="","",SUMIFS('출고대장'!$K$7:$K$1006,'출고대장'!$A$7:$A$1006,A346))</x:f>
      </x:c>
      <x:c r="J346" s="12" t="str">
        <x:f>IF(A346="","",SUMIFS('입금대장'!$C$7:$C$1006,'입금대장'!$A$7:$A$1006,A346,'입금대장'!$E$7:$E$1006,"정상"))</x:f>
      </x:c>
      <x:c r="K346" s="12" t="str">
        <x:f>IF(A346="","",I346-J346)</x:f>
      </x:c>
      <x:c r="L346" s="13" t="str">
        <x:f>IF(A346="","",IF(K346&lt;0,"선입금·초과입금",IF(I346=0,"청구 전",IF(K346=0,"정산 완료",IF(J346=0,"미입금","부분 입금")))))</x:f>
      </x:c>
      <x:c r="M346" s="9"/>
      <x:c r="N346" s="9"/>
    </x:row>
    <x:row r="347" ht="23" customHeight="1">
      <x:c r="A347" s="9"/>
      <x:c r="B347" s="10"/>
      <x:c r="C347" s="9"/>
      <x:c r="D347" s="9"/>
      <x:c r="E347" s="9"/>
      <x:c r="F347" s="11"/>
      <x:c r="G347" s="12" t="str">
        <x:f>IF(A347="","",SUMIFS('출고대장'!$D$7:$D$1006,'출고대장'!$A$7:$A$1006,A347))</x:f>
      </x:c>
      <x:c r="H347" s="12" t="str">
        <x:f>IF(A347="","",F347-G347)</x:f>
      </x:c>
      <x:c r="I347" s="12" t="str">
        <x:f>IF(A347="","",SUMIFS('출고대장'!$K$7:$K$1006,'출고대장'!$A$7:$A$1006,A347))</x:f>
      </x:c>
      <x:c r="J347" s="12" t="str">
        <x:f>IF(A347="","",SUMIFS('입금대장'!$C$7:$C$1006,'입금대장'!$A$7:$A$1006,A347,'입금대장'!$E$7:$E$1006,"정상"))</x:f>
      </x:c>
      <x:c r="K347" s="12" t="str">
        <x:f>IF(A347="","",I347-J347)</x:f>
      </x:c>
      <x:c r="L347" s="13" t="str">
        <x:f>IF(A347="","",IF(K347&lt;0,"선입금·초과입금",IF(I347=0,"청구 전",IF(K347=0,"정산 완료",IF(J347=0,"미입금","부분 입금")))))</x:f>
      </x:c>
      <x:c r="M347" s="9"/>
      <x:c r="N347" s="9"/>
    </x:row>
    <x:row r="348" ht="23" customHeight="1">
      <x:c r="A348" s="9"/>
      <x:c r="B348" s="10"/>
      <x:c r="C348" s="9"/>
      <x:c r="D348" s="9"/>
      <x:c r="E348" s="9"/>
      <x:c r="F348" s="11"/>
      <x:c r="G348" s="12" t="str">
        <x:f>IF(A348="","",SUMIFS('출고대장'!$D$7:$D$1006,'출고대장'!$A$7:$A$1006,A348))</x:f>
      </x:c>
      <x:c r="H348" s="12" t="str">
        <x:f>IF(A348="","",F348-G348)</x:f>
      </x:c>
      <x:c r="I348" s="12" t="str">
        <x:f>IF(A348="","",SUMIFS('출고대장'!$K$7:$K$1006,'출고대장'!$A$7:$A$1006,A348))</x:f>
      </x:c>
      <x:c r="J348" s="12" t="str">
        <x:f>IF(A348="","",SUMIFS('입금대장'!$C$7:$C$1006,'입금대장'!$A$7:$A$1006,A348,'입금대장'!$E$7:$E$1006,"정상"))</x:f>
      </x:c>
      <x:c r="K348" s="12" t="str">
        <x:f>IF(A348="","",I348-J348)</x:f>
      </x:c>
      <x:c r="L348" s="13" t="str">
        <x:f>IF(A348="","",IF(K348&lt;0,"선입금·초과입금",IF(I348=0,"청구 전",IF(K348=0,"정산 완료",IF(J348=0,"미입금","부분 입금")))))</x:f>
      </x:c>
      <x:c r="M348" s="9"/>
      <x:c r="N348" s="9"/>
    </x:row>
    <x:row r="349" ht="23" customHeight="1">
      <x:c r="A349" s="9"/>
      <x:c r="B349" s="10"/>
      <x:c r="C349" s="9"/>
      <x:c r="D349" s="9"/>
      <x:c r="E349" s="9"/>
      <x:c r="F349" s="11"/>
      <x:c r="G349" s="12" t="str">
        <x:f>IF(A349="","",SUMIFS('출고대장'!$D$7:$D$1006,'출고대장'!$A$7:$A$1006,A349))</x:f>
      </x:c>
      <x:c r="H349" s="12" t="str">
        <x:f>IF(A349="","",F349-G349)</x:f>
      </x:c>
      <x:c r="I349" s="12" t="str">
        <x:f>IF(A349="","",SUMIFS('출고대장'!$K$7:$K$1006,'출고대장'!$A$7:$A$1006,A349))</x:f>
      </x:c>
      <x:c r="J349" s="12" t="str">
        <x:f>IF(A349="","",SUMIFS('입금대장'!$C$7:$C$1006,'입금대장'!$A$7:$A$1006,A349,'입금대장'!$E$7:$E$1006,"정상"))</x:f>
      </x:c>
      <x:c r="K349" s="12" t="str">
        <x:f>IF(A349="","",I349-J349)</x:f>
      </x:c>
      <x:c r="L349" s="13" t="str">
        <x:f>IF(A349="","",IF(K349&lt;0,"선입금·초과입금",IF(I349=0,"청구 전",IF(K349=0,"정산 완료",IF(J349=0,"미입금","부분 입금")))))</x:f>
      </x:c>
      <x:c r="M349" s="9"/>
      <x:c r="N349" s="9"/>
    </x:row>
    <x:row r="350" ht="23" customHeight="1">
      <x:c r="A350" s="9"/>
      <x:c r="B350" s="10"/>
      <x:c r="C350" s="9"/>
      <x:c r="D350" s="9"/>
      <x:c r="E350" s="9"/>
      <x:c r="F350" s="11"/>
      <x:c r="G350" s="12" t="str">
        <x:f>IF(A350="","",SUMIFS('출고대장'!$D$7:$D$1006,'출고대장'!$A$7:$A$1006,A350))</x:f>
      </x:c>
      <x:c r="H350" s="12" t="str">
        <x:f>IF(A350="","",F350-G350)</x:f>
      </x:c>
      <x:c r="I350" s="12" t="str">
        <x:f>IF(A350="","",SUMIFS('출고대장'!$K$7:$K$1006,'출고대장'!$A$7:$A$1006,A350))</x:f>
      </x:c>
      <x:c r="J350" s="12" t="str">
        <x:f>IF(A350="","",SUMIFS('입금대장'!$C$7:$C$1006,'입금대장'!$A$7:$A$1006,A350,'입금대장'!$E$7:$E$1006,"정상"))</x:f>
      </x:c>
      <x:c r="K350" s="12" t="str">
        <x:f>IF(A350="","",I350-J350)</x:f>
      </x:c>
      <x:c r="L350" s="13" t="str">
        <x:f>IF(A350="","",IF(K350&lt;0,"선입금·초과입금",IF(I350=0,"청구 전",IF(K350=0,"정산 완료",IF(J350=0,"미입금","부분 입금")))))</x:f>
      </x:c>
      <x:c r="M350" s="9"/>
      <x:c r="N350" s="9"/>
    </x:row>
    <x:row r="351" ht="23" customHeight="1">
      <x:c r="A351" s="9"/>
      <x:c r="B351" s="10"/>
      <x:c r="C351" s="9"/>
      <x:c r="D351" s="9"/>
      <x:c r="E351" s="9"/>
      <x:c r="F351" s="11"/>
      <x:c r="G351" s="12" t="str">
        <x:f>IF(A351="","",SUMIFS('출고대장'!$D$7:$D$1006,'출고대장'!$A$7:$A$1006,A351))</x:f>
      </x:c>
      <x:c r="H351" s="12" t="str">
        <x:f>IF(A351="","",F351-G351)</x:f>
      </x:c>
      <x:c r="I351" s="12" t="str">
        <x:f>IF(A351="","",SUMIFS('출고대장'!$K$7:$K$1006,'출고대장'!$A$7:$A$1006,A351))</x:f>
      </x:c>
      <x:c r="J351" s="12" t="str">
        <x:f>IF(A351="","",SUMIFS('입금대장'!$C$7:$C$1006,'입금대장'!$A$7:$A$1006,A351,'입금대장'!$E$7:$E$1006,"정상"))</x:f>
      </x:c>
      <x:c r="K351" s="12" t="str">
        <x:f>IF(A351="","",I351-J351)</x:f>
      </x:c>
      <x:c r="L351" s="13" t="str">
        <x:f>IF(A351="","",IF(K351&lt;0,"선입금·초과입금",IF(I351=0,"청구 전",IF(K351=0,"정산 완료",IF(J351=0,"미입금","부분 입금")))))</x:f>
      </x:c>
      <x:c r="M351" s="9"/>
      <x:c r="N351" s="9"/>
    </x:row>
    <x:row r="352" ht="23" customHeight="1">
      <x:c r="A352" s="9"/>
      <x:c r="B352" s="10"/>
      <x:c r="C352" s="9"/>
      <x:c r="D352" s="9"/>
      <x:c r="E352" s="9"/>
      <x:c r="F352" s="11"/>
      <x:c r="G352" s="12" t="str">
        <x:f>IF(A352="","",SUMIFS('출고대장'!$D$7:$D$1006,'출고대장'!$A$7:$A$1006,A352))</x:f>
      </x:c>
      <x:c r="H352" s="12" t="str">
        <x:f>IF(A352="","",F352-G352)</x:f>
      </x:c>
      <x:c r="I352" s="12" t="str">
        <x:f>IF(A352="","",SUMIFS('출고대장'!$K$7:$K$1006,'출고대장'!$A$7:$A$1006,A352))</x:f>
      </x:c>
      <x:c r="J352" s="12" t="str">
        <x:f>IF(A352="","",SUMIFS('입금대장'!$C$7:$C$1006,'입금대장'!$A$7:$A$1006,A352,'입금대장'!$E$7:$E$1006,"정상"))</x:f>
      </x:c>
      <x:c r="K352" s="12" t="str">
        <x:f>IF(A352="","",I352-J352)</x:f>
      </x:c>
      <x:c r="L352" s="13" t="str">
        <x:f>IF(A352="","",IF(K352&lt;0,"선입금·초과입금",IF(I352=0,"청구 전",IF(K352=0,"정산 완료",IF(J352=0,"미입금","부분 입금")))))</x:f>
      </x:c>
      <x:c r="M352" s="9"/>
      <x:c r="N352" s="9"/>
    </x:row>
    <x:row r="353" ht="23" customHeight="1">
      <x:c r="A353" s="9"/>
      <x:c r="B353" s="10"/>
      <x:c r="C353" s="9"/>
      <x:c r="D353" s="9"/>
      <x:c r="E353" s="9"/>
      <x:c r="F353" s="11"/>
      <x:c r="G353" s="12" t="str">
        <x:f>IF(A353="","",SUMIFS('출고대장'!$D$7:$D$1006,'출고대장'!$A$7:$A$1006,A353))</x:f>
      </x:c>
      <x:c r="H353" s="12" t="str">
        <x:f>IF(A353="","",F353-G353)</x:f>
      </x:c>
      <x:c r="I353" s="12" t="str">
        <x:f>IF(A353="","",SUMIFS('출고대장'!$K$7:$K$1006,'출고대장'!$A$7:$A$1006,A353))</x:f>
      </x:c>
      <x:c r="J353" s="12" t="str">
        <x:f>IF(A353="","",SUMIFS('입금대장'!$C$7:$C$1006,'입금대장'!$A$7:$A$1006,A353,'입금대장'!$E$7:$E$1006,"정상"))</x:f>
      </x:c>
      <x:c r="K353" s="12" t="str">
        <x:f>IF(A353="","",I353-J353)</x:f>
      </x:c>
      <x:c r="L353" s="13" t="str">
        <x:f>IF(A353="","",IF(K353&lt;0,"선입금·초과입금",IF(I353=0,"청구 전",IF(K353=0,"정산 완료",IF(J353=0,"미입금","부분 입금")))))</x:f>
      </x:c>
      <x:c r="M353" s="9"/>
      <x:c r="N353" s="9"/>
    </x:row>
    <x:row r="354" ht="23" customHeight="1">
      <x:c r="A354" s="9"/>
      <x:c r="B354" s="10"/>
      <x:c r="C354" s="9"/>
      <x:c r="D354" s="9"/>
      <x:c r="E354" s="9"/>
      <x:c r="F354" s="11"/>
      <x:c r="G354" s="12" t="str">
        <x:f>IF(A354="","",SUMIFS('출고대장'!$D$7:$D$1006,'출고대장'!$A$7:$A$1006,A354))</x:f>
      </x:c>
      <x:c r="H354" s="12" t="str">
        <x:f>IF(A354="","",F354-G354)</x:f>
      </x:c>
      <x:c r="I354" s="12" t="str">
        <x:f>IF(A354="","",SUMIFS('출고대장'!$K$7:$K$1006,'출고대장'!$A$7:$A$1006,A354))</x:f>
      </x:c>
      <x:c r="J354" s="12" t="str">
        <x:f>IF(A354="","",SUMIFS('입금대장'!$C$7:$C$1006,'입금대장'!$A$7:$A$1006,A354,'입금대장'!$E$7:$E$1006,"정상"))</x:f>
      </x:c>
      <x:c r="K354" s="12" t="str">
        <x:f>IF(A354="","",I354-J354)</x:f>
      </x:c>
      <x:c r="L354" s="13" t="str">
        <x:f>IF(A354="","",IF(K354&lt;0,"선입금·초과입금",IF(I354=0,"청구 전",IF(K354=0,"정산 완료",IF(J354=0,"미입금","부분 입금")))))</x:f>
      </x:c>
      <x:c r="M354" s="9"/>
      <x:c r="N354" s="9"/>
    </x:row>
    <x:row r="355" ht="23" customHeight="1">
      <x:c r="A355" s="9"/>
      <x:c r="B355" s="10"/>
      <x:c r="C355" s="9"/>
      <x:c r="D355" s="9"/>
      <x:c r="E355" s="9"/>
      <x:c r="F355" s="11"/>
      <x:c r="G355" s="12" t="str">
        <x:f>IF(A355="","",SUMIFS('출고대장'!$D$7:$D$1006,'출고대장'!$A$7:$A$1006,A355))</x:f>
      </x:c>
      <x:c r="H355" s="12" t="str">
        <x:f>IF(A355="","",F355-G355)</x:f>
      </x:c>
      <x:c r="I355" s="12" t="str">
        <x:f>IF(A355="","",SUMIFS('출고대장'!$K$7:$K$1006,'출고대장'!$A$7:$A$1006,A355))</x:f>
      </x:c>
      <x:c r="J355" s="12" t="str">
        <x:f>IF(A355="","",SUMIFS('입금대장'!$C$7:$C$1006,'입금대장'!$A$7:$A$1006,A355,'입금대장'!$E$7:$E$1006,"정상"))</x:f>
      </x:c>
      <x:c r="K355" s="12" t="str">
        <x:f>IF(A355="","",I355-J355)</x:f>
      </x:c>
      <x:c r="L355" s="13" t="str">
        <x:f>IF(A355="","",IF(K355&lt;0,"선입금·초과입금",IF(I355=0,"청구 전",IF(K355=0,"정산 완료",IF(J355=0,"미입금","부분 입금")))))</x:f>
      </x:c>
      <x:c r="M355" s="9"/>
      <x:c r="N355" s="9"/>
    </x:row>
    <x:row r="356" ht="23" customHeight="1">
      <x:c r="A356" s="9"/>
      <x:c r="B356" s="10"/>
      <x:c r="C356" s="9"/>
      <x:c r="D356" s="9"/>
      <x:c r="E356" s="9"/>
      <x:c r="F356" s="11"/>
      <x:c r="G356" s="12" t="str">
        <x:f>IF(A356="","",SUMIFS('출고대장'!$D$7:$D$1006,'출고대장'!$A$7:$A$1006,A356))</x:f>
      </x:c>
      <x:c r="H356" s="12" t="str">
        <x:f>IF(A356="","",F356-G356)</x:f>
      </x:c>
      <x:c r="I356" s="12" t="str">
        <x:f>IF(A356="","",SUMIFS('출고대장'!$K$7:$K$1006,'출고대장'!$A$7:$A$1006,A356))</x:f>
      </x:c>
      <x:c r="J356" s="12" t="str">
        <x:f>IF(A356="","",SUMIFS('입금대장'!$C$7:$C$1006,'입금대장'!$A$7:$A$1006,A356,'입금대장'!$E$7:$E$1006,"정상"))</x:f>
      </x:c>
      <x:c r="K356" s="12" t="str">
        <x:f>IF(A356="","",I356-J356)</x:f>
      </x:c>
      <x:c r="L356" s="13" t="str">
        <x:f>IF(A356="","",IF(K356&lt;0,"선입금·초과입금",IF(I356=0,"청구 전",IF(K356=0,"정산 완료",IF(J356=0,"미입금","부분 입금")))))</x:f>
      </x:c>
      <x:c r="M356" s="9"/>
      <x:c r="N356" s="9"/>
    </x:row>
    <x:row r="357" ht="23" customHeight="1">
      <x:c r="A357" s="9"/>
      <x:c r="B357" s="10"/>
      <x:c r="C357" s="9"/>
      <x:c r="D357" s="9"/>
      <x:c r="E357" s="9"/>
      <x:c r="F357" s="11"/>
      <x:c r="G357" s="12" t="str">
        <x:f>IF(A357="","",SUMIFS('출고대장'!$D$7:$D$1006,'출고대장'!$A$7:$A$1006,A357))</x:f>
      </x:c>
      <x:c r="H357" s="12" t="str">
        <x:f>IF(A357="","",F357-G357)</x:f>
      </x:c>
      <x:c r="I357" s="12" t="str">
        <x:f>IF(A357="","",SUMIFS('출고대장'!$K$7:$K$1006,'출고대장'!$A$7:$A$1006,A357))</x:f>
      </x:c>
      <x:c r="J357" s="12" t="str">
        <x:f>IF(A357="","",SUMIFS('입금대장'!$C$7:$C$1006,'입금대장'!$A$7:$A$1006,A357,'입금대장'!$E$7:$E$1006,"정상"))</x:f>
      </x:c>
      <x:c r="K357" s="12" t="str">
        <x:f>IF(A357="","",I357-J357)</x:f>
      </x:c>
      <x:c r="L357" s="13" t="str">
        <x:f>IF(A357="","",IF(K357&lt;0,"선입금·초과입금",IF(I357=0,"청구 전",IF(K357=0,"정산 완료",IF(J357=0,"미입금","부분 입금")))))</x:f>
      </x:c>
      <x:c r="M357" s="9"/>
      <x:c r="N357" s="9"/>
    </x:row>
    <x:row r="358" ht="23" customHeight="1">
      <x:c r="A358" s="9"/>
      <x:c r="B358" s="10"/>
      <x:c r="C358" s="9"/>
      <x:c r="D358" s="9"/>
      <x:c r="E358" s="9"/>
      <x:c r="F358" s="11"/>
      <x:c r="G358" s="12" t="str">
        <x:f>IF(A358="","",SUMIFS('출고대장'!$D$7:$D$1006,'출고대장'!$A$7:$A$1006,A358))</x:f>
      </x:c>
      <x:c r="H358" s="12" t="str">
        <x:f>IF(A358="","",F358-G358)</x:f>
      </x:c>
      <x:c r="I358" s="12" t="str">
        <x:f>IF(A358="","",SUMIFS('출고대장'!$K$7:$K$1006,'출고대장'!$A$7:$A$1006,A358))</x:f>
      </x:c>
      <x:c r="J358" s="12" t="str">
        <x:f>IF(A358="","",SUMIFS('입금대장'!$C$7:$C$1006,'입금대장'!$A$7:$A$1006,A358,'입금대장'!$E$7:$E$1006,"정상"))</x:f>
      </x:c>
      <x:c r="K358" s="12" t="str">
        <x:f>IF(A358="","",I358-J358)</x:f>
      </x:c>
      <x:c r="L358" s="13" t="str">
        <x:f>IF(A358="","",IF(K358&lt;0,"선입금·초과입금",IF(I358=0,"청구 전",IF(K358=0,"정산 완료",IF(J358=0,"미입금","부분 입금")))))</x:f>
      </x:c>
      <x:c r="M358" s="9"/>
      <x:c r="N358" s="9"/>
    </x:row>
    <x:row r="359" ht="23" customHeight="1">
      <x:c r="A359" s="9"/>
      <x:c r="B359" s="10"/>
      <x:c r="C359" s="9"/>
      <x:c r="D359" s="9"/>
      <x:c r="E359" s="9"/>
      <x:c r="F359" s="11"/>
      <x:c r="G359" s="12" t="str">
        <x:f>IF(A359="","",SUMIFS('출고대장'!$D$7:$D$1006,'출고대장'!$A$7:$A$1006,A359))</x:f>
      </x:c>
      <x:c r="H359" s="12" t="str">
        <x:f>IF(A359="","",F359-G359)</x:f>
      </x:c>
      <x:c r="I359" s="12" t="str">
        <x:f>IF(A359="","",SUMIFS('출고대장'!$K$7:$K$1006,'출고대장'!$A$7:$A$1006,A359))</x:f>
      </x:c>
      <x:c r="J359" s="12" t="str">
        <x:f>IF(A359="","",SUMIFS('입금대장'!$C$7:$C$1006,'입금대장'!$A$7:$A$1006,A359,'입금대장'!$E$7:$E$1006,"정상"))</x:f>
      </x:c>
      <x:c r="K359" s="12" t="str">
        <x:f>IF(A359="","",I359-J359)</x:f>
      </x:c>
      <x:c r="L359" s="13" t="str">
        <x:f>IF(A359="","",IF(K359&lt;0,"선입금·초과입금",IF(I359=0,"청구 전",IF(K359=0,"정산 완료",IF(J359=0,"미입금","부분 입금")))))</x:f>
      </x:c>
      <x:c r="M359" s="9"/>
      <x:c r="N359" s="9"/>
    </x:row>
    <x:row r="360" ht="23" customHeight="1">
      <x:c r="A360" s="9"/>
      <x:c r="B360" s="10"/>
      <x:c r="C360" s="9"/>
      <x:c r="D360" s="9"/>
      <x:c r="E360" s="9"/>
      <x:c r="F360" s="11"/>
      <x:c r="G360" s="12" t="str">
        <x:f>IF(A360="","",SUMIFS('출고대장'!$D$7:$D$1006,'출고대장'!$A$7:$A$1006,A360))</x:f>
      </x:c>
      <x:c r="H360" s="12" t="str">
        <x:f>IF(A360="","",F360-G360)</x:f>
      </x:c>
      <x:c r="I360" s="12" t="str">
        <x:f>IF(A360="","",SUMIFS('출고대장'!$K$7:$K$1006,'출고대장'!$A$7:$A$1006,A360))</x:f>
      </x:c>
      <x:c r="J360" s="12" t="str">
        <x:f>IF(A360="","",SUMIFS('입금대장'!$C$7:$C$1006,'입금대장'!$A$7:$A$1006,A360,'입금대장'!$E$7:$E$1006,"정상"))</x:f>
      </x:c>
      <x:c r="K360" s="12" t="str">
        <x:f>IF(A360="","",I360-J360)</x:f>
      </x:c>
      <x:c r="L360" s="13" t="str">
        <x:f>IF(A360="","",IF(K360&lt;0,"선입금·초과입금",IF(I360=0,"청구 전",IF(K360=0,"정산 완료",IF(J360=0,"미입금","부분 입금")))))</x:f>
      </x:c>
      <x:c r="M360" s="9"/>
      <x:c r="N360" s="9"/>
    </x:row>
    <x:row r="361" ht="23" customHeight="1">
      <x:c r="A361" s="9"/>
      <x:c r="B361" s="10"/>
      <x:c r="C361" s="9"/>
      <x:c r="D361" s="9"/>
      <x:c r="E361" s="9"/>
      <x:c r="F361" s="11"/>
      <x:c r="G361" s="12" t="str">
        <x:f>IF(A361="","",SUMIFS('출고대장'!$D$7:$D$1006,'출고대장'!$A$7:$A$1006,A361))</x:f>
      </x:c>
      <x:c r="H361" s="12" t="str">
        <x:f>IF(A361="","",F361-G361)</x:f>
      </x:c>
      <x:c r="I361" s="12" t="str">
        <x:f>IF(A361="","",SUMIFS('출고대장'!$K$7:$K$1006,'출고대장'!$A$7:$A$1006,A361))</x:f>
      </x:c>
      <x:c r="J361" s="12" t="str">
        <x:f>IF(A361="","",SUMIFS('입금대장'!$C$7:$C$1006,'입금대장'!$A$7:$A$1006,A361,'입금대장'!$E$7:$E$1006,"정상"))</x:f>
      </x:c>
      <x:c r="K361" s="12" t="str">
        <x:f>IF(A361="","",I361-J361)</x:f>
      </x:c>
      <x:c r="L361" s="13" t="str">
        <x:f>IF(A361="","",IF(K361&lt;0,"선입금·초과입금",IF(I361=0,"청구 전",IF(K361=0,"정산 완료",IF(J361=0,"미입금","부분 입금")))))</x:f>
      </x:c>
      <x:c r="M361" s="9"/>
      <x:c r="N361" s="9"/>
    </x:row>
    <x:row r="362" ht="23" customHeight="1">
      <x:c r="A362" s="9"/>
      <x:c r="B362" s="10"/>
      <x:c r="C362" s="9"/>
      <x:c r="D362" s="9"/>
      <x:c r="E362" s="9"/>
      <x:c r="F362" s="11"/>
      <x:c r="G362" s="12" t="str">
        <x:f>IF(A362="","",SUMIFS('출고대장'!$D$7:$D$1006,'출고대장'!$A$7:$A$1006,A362))</x:f>
      </x:c>
      <x:c r="H362" s="12" t="str">
        <x:f>IF(A362="","",F362-G362)</x:f>
      </x:c>
      <x:c r="I362" s="12" t="str">
        <x:f>IF(A362="","",SUMIFS('출고대장'!$K$7:$K$1006,'출고대장'!$A$7:$A$1006,A362))</x:f>
      </x:c>
      <x:c r="J362" s="12" t="str">
        <x:f>IF(A362="","",SUMIFS('입금대장'!$C$7:$C$1006,'입금대장'!$A$7:$A$1006,A362,'입금대장'!$E$7:$E$1006,"정상"))</x:f>
      </x:c>
      <x:c r="K362" s="12" t="str">
        <x:f>IF(A362="","",I362-J362)</x:f>
      </x:c>
      <x:c r="L362" s="13" t="str">
        <x:f>IF(A362="","",IF(K362&lt;0,"선입금·초과입금",IF(I362=0,"청구 전",IF(K362=0,"정산 완료",IF(J362=0,"미입금","부분 입금")))))</x:f>
      </x:c>
      <x:c r="M362" s="9"/>
      <x:c r="N362" s="9"/>
    </x:row>
    <x:row r="363" ht="23" customHeight="1">
      <x:c r="A363" s="9"/>
      <x:c r="B363" s="10"/>
      <x:c r="C363" s="9"/>
      <x:c r="D363" s="9"/>
      <x:c r="E363" s="9"/>
      <x:c r="F363" s="11"/>
      <x:c r="G363" s="12" t="str">
        <x:f>IF(A363="","",SUMIFS('출고대장'!$D$7:$D$1006,'출고대장'!$A$7:$A$1006,A363))</x:f>
      </x:c>
      <x:c r="H363" s="12" t="str">
        <x:f>IF(A363="","",F363-G363)</x:f>
      </x:c>
      <x:c r="I363" s="12" t="str">
        <x:f>IF(A363="","",SUMIFS('출고대장'!$K$7:$K$1006,'출고대장'!$A$7:$A$1006,A363))</x:f>
      </x:c>
      <x:c r="J363" s="12" t="str">
        <x:f>IF(A363="","",SUMIFS('입금대장'!$C$7:$C$1006,'입금대장'!$A$7:$A$1006,A363,'입금대장'!$E$7:$E$1006,"정상"))</x:f>
      </x:c>
      <x:c r="K363" s="12" t="str">
        <x:f>IF(A363="","",I363-J363)</x:f>
      </x:c>
      <x:c r="L363" s="13" t="str">
        <x:f>IF(A363="","",IF(K363&lt;0,"선입금·초과입금",IF(I363=0,"청구 전",IF(K363=0,"정산 완료",IF(J363=0,"미입금","부분 입금")))))</x:f>
      </x:c>
      <x:c r="M363" s="9"/>
      <x:c r="N363" s="9"/>
    </x:row>
    <x:row r="364" ht="23" customHeight="1">
      <x:c r="A364" s="9"/>
      <x:c r="B364" s="10"/>
      <x:c r="C364" s="9"/>
      <x:c r="D364" s="9"/>
      <x:c r="E364" s="9"/>
      <x:c r="F364" s="11"/>
      <x:c r="G364" s="12" t="str">
        <x:f>IF(A364="","",SUMIFS('출고대장'!$D$7:$D$1006,'출고대장'!$A$7:$A$1006,A364))</x:f>
      </x:c>
      <x:c r="H364" s="12" t="str">
        <x:f>IF(A364="","",F364-G364)</x:f>
      </x:c>
      <x:c r="I364" s="12" t="str">
        <x:f>IF(A364="","",SUMIFS('출고대장'!$K$7:$K$1006,'출고대장'!$A$7:$A$1006,A364))</x:f>
      </x:c>
      <x:c r="J364" s="12" t="str">
        <x:f>IF(A364="","",SUMIFS('입금대장'!$C$7:$C$1006,'입금대장'!$A$7:$A$1006,A364,'입금대장'!$E$7:$E$1006,"정상"))</x:f>
      </x:c>
      <x:c r="K364" s="12" t="str">
        <x:f>IF(A364="","",I364-J364)</x:f>
      </x:c>
      <x:c r="L364" s="13" t="str">
        <x:f>IF(A364="","",IF(K364&lt;0,"선입금·초과입금",IF(I364=0,"청구 전",IF(K364=0,"정산 완료",IF(J364=0,"미입금","부분 입금")))))</x:f>
      </x:c>
      <x:c r="M364" s="9"/>
      <x:c r="N364" s="9"/>
    </x:row>
    <x:row r="365" ht="23" customHeight="1">
      <x:c r="A365" s="9"/>
      <x:c r="B365" s="10"/>
      <x:c r="C365" s="9"/>
      <x:c r="D365" s="9"/>
      <x:c r="E365" s="9"/>
      <x:c r="F365" s="11"/>
      <x:c r="G365" s="12" t="str">
        <x:f>IF(A365="","",SUMIFS('출고대장'!$D$7:$D$1006,'출고대장'!$A$7:$A$1006,A365))</x:f>
      </x:c>
      <x:c r="H365" s="12" t="str">
        <x:f>IF(A365="","",F365-G365)</x:f>
      </x:c>
      <x:c r="I365" s="12" t="str">
        <x:f>IF(A365="","",SUMIFS('출고대장'!$K$7:$K$1006,'출고대장'!$A$7:$A$1006,A365))</x:f>
      </x:c>
      <x:c r="J365" s="12" t="str">
        <x:f>IF(A365="","",SUMIFS('입금대장'!$C$7:$C$1006,'입금대장'!$A$7:$A$1006,A365,'입금대장'!$E$7:$E$1006,"정상"))</x:f>
      </x:c>
      <x:c r="K365" s="12" t="str">
        <x:f>IF(A365="","",I365-J365)</x:f>
      </x:c>
      <x:c r="L365" s="13" t="str">
        <x:f>IF(A365="","",IF(K365&lt;0,"선입금·초과입금",IF(I365=0,"청구 전",IF(K365=0,"정산 완료",IF(J365=0,"미입금","부분 입금")))))</x:f>
      </x:c>
      <x:c r="M365" s="9"/>
      <x:c r="N365" s="9"/>
    </x:row>
    <x:row r="366" ht="23" customHeight="1">
      <x:c r="A366" s="9"/>
      <x:c r="B366" s="10"/>
      <x:c r="C366" s="9"/>
      <x:c r="D366" s="9"/>
      <x:c r="E366" s="9"/>
      <x:c r="F366" s="11"/>
      <x:c r="G366" s="12" t="str">
        <x:f>IF(A366="","",SUMIFS('출고대장'!$D$7:$D$1006,'출고대장'!$A$7:$A$1006,A366))</x:f>
      </x:c>
      <x:c r="H366" s="12" t="str">
        <x:f>IF(A366="","",F366-G366)</x:f>
      </x:c>
      <x:c r="I366" s="12" t="str">
        <x:f>IF(A366="","",SUMIFS('출고대장'!$K$7:$K$1006,'출고대장'!$A$7:$A$1006,A366))</x:f>
      </x:c>
      <x:c r="J366" s="12" t="str">
        <x:f>IF(A366="","",SUMIFS('입금대장'!$C$7:$C$1006,'입금대장'!$A$7:$A$1006,A366,'입금대장'!$E$7:$E$1006,"정상"))</x:f>
      </x:c>
      <x:c r="K366" s="12" t="str">
        <x:f>IF(A366="","",I366-J366)</x:f>
      </x:c>
      <x:c r="L366" s="13" t="str">
        <x:f>IF(A366="","",IF(K366&lt;0,"선입금·초과입금",IF(I366=0,"청구 전",IF(K366=0,"정산 완료",IF(J366=0,"미입금","부분 입금")))))</x:f>
      </x:c>
      <x:c r="M366" s="9"/>
      <x:c r="N366" s="9"/>
    </x:row>
    <x:row r="367" ht="23" customHeight="1">
      <x:c r="A367" s="9"/>
      <x:c r="B367" s="10"/>
      <x:c r="C367" s="9"/>
      <x:c r="D367" s="9"/>
      <x:c r="E367" s="9"/>
      <x:c r="F367" s="11"/>
      <x:c r="G367" s="12" t="str">
        <x:f>IF(A367="","",SUMIFS('출고대장'!$D$7:$D$1006,'출고대장'!$A$7:$A$1006,A367))</x:f>
      </x:c>
      <x:c r="H367" s="12" t="str">
        <x:f>IF(A367="","",F367-G367)</x:f>
      </x:c>
      <x:c r="I367" s="12" t="str">
        <x:f>IF(A367="","",SUMIFS('출고대장'!$K$7:$K$1006,'출고대장'!$A$7:$A$1006,A367))</x:f>
      </x:c>
      <x:c r="J367" s="12" t="str">
        <x:f>IF(A367="","",SUMIFS('입금대장'!$C$7:$C$1006,'입금대장'!$A$7:$A$1006,A367,'입금대장'!$E$7:$E$1006,"정상"))</x:f>
      </x:c>
      <x:c r="K367" s="12" t="str">
        <x:f>IF(A367="","",I367-J367)</x:f>
      </x:c>
      <x:c r="L367" s="13" t="str">
        <x:f>IF(A367="","",IF(K367&lt;0,"선입금·초과입금",IF(I367=0,"청구 전",IF(K367=0,"정산 완료",IF(J367=0,"미입금","부분 입금")))))</x:f>
      </x:c>
      <x:c r="M367" s="9"/>
      <x:c r="N367" s="9"/>
    </x:row>
    <x:row r="368" ht="23" customHeight="1">
      <x:c r="A368" s="9"/>
      <x:c r="B368" s="10"/>
      <x:c r="C368" s="9"/>
      <x:c r="D368" s="9"/>
      <x:c r="E368" s="9"/>
      <x:c r="F368" s="11"/>
      <x:c r="G368" s="12" t="str">
        <x:f>IF(A368="","",SUMIFS('출고대장'!$D$7:$D$1006,'출고대장'!$A$7:$A$1006,A368))</x:f>
      </x:c>
      <x:c r="H368" s="12" t="str">
        <x:f>IF(A368="","",F368-G368)</x:f>
      </x:c>
      <x:c r="I368" s="12" t="str">
        <x:f>IF(A368="","",SUMIFS('출고대장'!$K$7:$K$1006,'출고대장'!$A$7:$A$1006,A368))</x:f>
      </x:c>
      <x:c r="J368" s="12" t="str">
        <x:f>IF(A368="","",SUMIFS('입금대장'!$C$7:$C$1006,'입금대장'!$A$7:$A$1006,A368,'입금대장'!$E$7:$E$1006,"정상"))</x:f>
      </x:c>
      <x:c r="K368" s="12" t="str">
        <x:f>IF(A368="","",I368-J368)</x:f>
      </x:c>
      <x:c r="L368" s="13" t="str">
        <x:f>IF(A368="","",IF(K368&lt;0,"선입금·초과입금",IF(I368=0,"청구 전",IF(K368=0,"정산 완료",IF(J368=0,"미입금","부분 입금")))))</x:f>
      </x:c>
      <x:c r="M368" s="9"/>
      <x:c r="N368" s="9"/>
    </x:row>
    <x:row r="369" ht="23" customHeight="1">
      <x:c r="A369" s="9"/>
      <x:c r="B369" s="10"/>
      <x:c r="C369" s="9"/>
      <x:c r="D369" s="9"/>
      <x:c r="E369" s="9"/>
      <x:c r="F369" s="11"/>
      <x:c r="G369" s="12" t="str">
        <x:f>IF(A369="","",SUMIFS('출고대장'!$D$7:$D$1006,'출고대장'!$A$7:$A$1006,A369))</x:f>
      </x:c>
      <x:c r="H369" s="12" t="str">
        <x:f>IF(A369="","",F369-G369)</x:f>
      </x:c>
      <x:c r="I369" s="12" t="str">
        <x:f>IF(A369="","",SUMIFS('출고대장'!$K$7:$K$1006,'출고대장'!$A$7:$A$1006,A369))</x:f>
      </x:c>
      <x:c r="J369" s="12" t="str">
        <x:f>IF(A369="","",SUMIFS('입금대장'!$C$7:$C$1006,'입금대장'!$A$7:$A$1006,A369,'입금대장'!$E$7:$E$1006,"정상"))</x:f>
      </x:c>
      <x:c r="K369" s="12" t="str">
        <x:f>IF(A369="","",I369-J369)</x:f>
      </x:c>
      <x:c r="L369" s="13" t="str">
        <x:f>IF(A369="","",IF(K369&lt;0,"선입금·초과입금",IF(I369=0,"청구 전",IF(K369=0,"정산 완료",IF(J369=0,"미입금","부분 입금")))))</x:f>
      </x:c>
      <x:c r="M369" s="9"/>
      <x:c r="N369" s="9"/>
    </x:row>
    <x:row r="370" ht="23" customHeight="1">
      <x:c r="A370" s="9"/>
      <x:c r="B370" s="10"/>
      <x:c r="C370" s="9"/>
      <x:c r="D370" s="9"/>
      <x:c r="E370" s="9"/>
      <x:c r="F370" s="11"/>
      <x:c r="G370" s="12" t="str">
        <x:f>IF(A370="","",SUMIFS('출고대장'!$D$7:$D$1006,'출고대장'!$A$7:$A$1006,A370))</x:f>
      </x:c>
      <x:c r="H370" s="12" t="str">
        <x:f>IF(A370="","",F370-G370)</x:f>
      </x:c>
      <x:c r="I370" s="12" t="str">
        <x:f>IF(A370="","",SUMIFS('출고대장'!$K$7:$K$1006,'출고대장'!$A$7:$A$1006,A370))</x:f>
      </x:c>
      <x:c r="J370" s="12" t="str">
        <x:f>IF(A370="","",SUMIFS('입금대장'!$C$7:$C$1006,'입금대장'!$A$7:$A$1006,A370,'입금대장'!$E$7:$E$1006,"정상"))</x:f>
      </x:c>
      <x:c r="K370" s="12" t="str">
        <x:f>IF(A370="","",I370-J370)</x:f>
      </x:c>
      <x:c r="L370" s="13" t="str">
        <x:f>IF(A370="","",IF(K370&lt;0,"선입금·초과입금",IF(I370=0,"청구 전",IF(K370=0,"정산 완료",IF(J370=0,"미입금","부분 입금")))))</x:f>
      </x:c>
      <x:c r="M370" s="9"/>
      <x:c r="N370" s="9"/>
    </x:row>
    <x:row r="371" ht="23" customHeight="1">
      <x:c r="A371" s="9"/>
      <x:c r="B371" s="10"/>
      <x:c r="C371" s="9"/>
      <x:c r="D371" s="9"/>
      <x:c r="E371" s="9"/>
      <x:c r="F371" s="11"/>
      <x:c r="G371" s="12" t="str">
        <x:f>IF(A371="","",SUMIFS('출고대장'!$D$7:$D$1006,'출고대장'!$A$7:$A$1006,A371))</x:f>
      </x:c>
      <x:c r="H371" s="12" t="str">
        <x:f>IF(A371="","",F371-G371)</x:f>
      </x:c>
      <x:c r="I371" s="12" t="str">
        <x:f>IF(A371="","",SUMIFS('출고대장'!$K$7:$K$1006,'출고대장'!$A$7:$A$1006,A371))</x:f>
      </x:c>
      <x:c r="J371" s="12" t="str">
        <x:f>IF(A371="","",SUMIFS('입금대장'!$C$7:$C$1006,'입금대장'!$A$7:$A$1006,A371,'입금대장'!$E$7:$E$1006,"정상"))</x:f>
      </x:c>
      <x:c r="K371" s="12" t="str">
        <x:f>IF(A371="","",I371-J371)</x:f>
      </x:c>
      <x:c r="L371" s="13" t="str">
        <x:f>IF(A371="","",IF(K371&lt;0,"선입금·초과입금",IF(I371=0,"청구 전",IF(K371=0,"정산 완료",IF(J371=0,"미입금","부분 입금")))))</x:f>
      </x:c>
      <x:c r="M371" s="9"/>
      <x:c r="N371" s="9"/>
    </x:row>
    <x:row r="372" ht="23" customHeight="1">
      <x:c r="A372" s="9"/>
      <x:c r="B372" s="10"/>
      <x:c r="C372" s="9"/>
      <x:c r="D372" s="9"/>
      <x:c r="E372" s="9"/>
      <x:c r="F372" s="11"/>
      <x:c r="G372" s="12" t="str">
        <x:f>IF(A372="","",SUMIFS('출고대장'!$D$7:$D$1006,'출고대장'!$A$7:$A$1006,A372))</x:f>
      </x:c>
      <x:c r="H372" s="12" t="str">
        <x:f>IF(A372="","",F372-G372)</x:f>
      </x:c>
      <x:c r="I372" s="12" t="str">
        <x:f>IF(A372="","",SUMIFS('출고대장'!$K$7:$K$1006,'출고대장'!$A$7:$A$1006,A372))</x:f>
      </x:c>
      <x:c r="J372" s="12" t="str">
        <x:f>IF(A372="","",SUMIFS('입금대장'!$C$7:$C$1006,'입금대장'!$A$7:$A$1006,A372,'입금대장'!$E$7:$E$1006,"정상"))</x:f>
      </x:c>
      <x:c r="K372" s="12" t="str">
        <x:f>IF(A372="","",I372-J372)</x:f>
      </x:c>
      <x:c r="L372" s="13" t="str">
        <x:f>IF(A372="","",IF(K372&lt;0,"선입금·초과입금",IF(I372=0,"청구 전",IF(K372=0,"정산 완료",IF(J372=0,"미입금","부분 입금")))))</x:f>
      </x:c>
      <x:c r="M372" s="9"/>
      <x:c r="N372" s="9"/>
    </x:row>
    <x:row r="373" ht="23" customHeight="1">
      <x:c r="A373" s="9"/>
      <x:c r="B373" s="10"/>
      <x:c r="C373" s="9"/>
      <x:c r="D373" s="9"/>
      <x:c r="E373" s="9"/>
      <x:c r="F373" s="11"/>
      <x:c r="G373" s="12" t="str">
        <x:f>IF(A373="","",SUMIFS('출고대장'!$D$7:$D$1006,'출고대장'!$A$7:$A$1006,A373))</x:f>
      </x:c>
      <x:c r="H373" s="12" t="str">
        <x:f>IF(A373="","",F373-G373)</x:f>
      </x:c>
      <x:c r="I373" s="12" t="str">
        <x:f>IF(A373="","",SUMIFS('출고대장'!$K$7:$K$1006,'출고대장'!$A$7:$A$1006,A373))</x:f>
      </x:c>
      <x:c r="J373" s="12" t="str">
        <x:f>IF(A373="","",SUMIFS('입금대장'!$C$7:$C$1006,'입금대장'!$A$7:$A$1006,A373,'입금대장'!$E$7:$E$1006,"정상"))</x:f>
      </x:c>
      <x:c r="K373" s="12" t="str">
        <x:f>IF(A373="","",I373-J373)</x:f>
      </x:c>
      <x:c r="L373" s="13" t="str">
        <x:f>IF(A373="","",IF(K373&lt;0,"선입금·초과입금",IF(I373=0,"청구 전",IF(K373=0,"정산 완료",IF(J373=0,"미입금","부분 입금")))))</x:f>
      </x:c>
      <x:c r="M373" s="9"/>
      <x:c r="N373" s="9"/>
    </x:row>
    <x:row r="374" ht="23" customHeight="1">
      <x:c r="A374" s="9"/>
      <x:c r="B374" s="10"/>
      <x:c r="C374" s="9"/>
      <x:c r="D374" s="9"/>
      <x:c r="E374" s="9"/>
      <x:c r="F374" s="11"/>
      <x:c r="G374" s="12" t="str">
        <x:f>IF(A374="","",SUMIFS('출고대장'!$D$7:$D$1006,'출고대장'!$A$7:$A$1006,A374))</x:f>
      </x:c>
      <x:c r="H374" s="12" t="str">
        <x:f>IF(A374="","",F374-G374)</x:f>
      </x:c>
      <x:c r="I374" s="12" t="str">
        <x:f>IF(A374="","",SUMIFS('출고대장'!$K$7:$K$1006,'출고대장'!$A$7:$A$1006,A374))</x:f>
      </x:c>
      <x:c r="J374" s="12" t="str">
        <x:f>IF(A374="","",SUMIFS('입금대장'!$C$7:$C$1006,'입금대장'!$A$7:$A$1006,A374,'입금대장'!$E$7:$E$1006,"정상"))</x:f>
      </x:c>
      <x:c r="K374" s="12" t="str">
        <x:f>IF(A374="","",I374-J374)</x:f>
      </x:c>
      <x:c r="L374" s="13" t="str">
        <x:f>IF(A374="","",IF(K374&lt;0,"선입금·초과입금",IF(I374=0,"청구 전",IF(K374=0,"정산 완료",IF(J374=0,"미입금","부분 입금")))))</x:f>
      </x:c>
      <x:c r="M374" s="9"/>
      <x:c r="N374" s="9"/>
    </x:row>
    <x:row r="375" ht="23" customHeight="1">
      <x:c r="A375" s="9"/>
      <x:c r="B375" s="10"/>
      <x:c r="C375" s="9"/>
      <x:c r="D375" s="9"/>
      <x:c r="E375" s="9"/>
      <x:c r="F375" s="11"/>
      <x:c r="G375" s="12" t="str">
        <x:f>IF(A375="","",SUMIFS('출고대장'!$D$7:$D$1006,'출고대장'!$A$7:$A$1006,A375))</x:f>
      </x:c>
      <x:c r="H375" s="12" t="str">
        <x:f>IF(A375="","",F375-G375)</x:f>
      </x:c>
      <x:c r="I375" s="12" t="str">
        <x:f>IF(A375="","",SUMIFS('출고대장'!$K$7:$K$1006,'출고대장'!$A$7:$A$1006,A375))</x:f>
      </x:c>
      <x:c r="J375" s="12" t="str">
        <x:f>IF(A375="","",SUMIFS('입금대장'!$C$7:$C$1006,'입금대장'!$A$7:$A$1006,A375,'입금대장'!$E$7:$E$1006,"정상"))</x:f>
      </x:c>
      <x:c r="K375" s="12" t="str">
        <x:f>IF(A375="","",I375-J375)</x:f>
      </x:c>
      <x:c r="L375" s="13" t="str">
        <x:f>IF(A375="","",IF(K375&lt;0,"선입금·초과입금",IF(I375=0,"청구 전",IF(K375=0,"정산 완료",IF(J375=0,"미입금","부분 입금")))))</x:f>
      </x:c>
      <x:c r="M375" s="9"/>
      <x:c r="N375" s="9"/>
    </x:row>
    <x:row r="376" ht="23" customHeight="1">
      <x:c r="A376" s="9"/>
      <x:c r="B376" s="10"/>
      <x:c r="C376" s="9"/>
      <x:c r="D376" s="9"/>
      <x:c r="E376" s="9"/>
      <x:c r="F376" s="11"/>
      <x:c r="G376" s="12" t="str">
        <x:f>IF(A376="","",SUMIFS('출고대장'!$D$7:$D$1006,'출고대장'!$A$7:$A$1006,A376))</x:f>
      </x:c>
      <x:c r="H376" s="12" t="str">
        <x:f>IF(A376="","",F376-G376)</x:f>
      </x:c>
      <x:c r="I376" s="12" t="str">
        <x:f>IF(A376="","",SUMIFS('출고대장'!$K$7:$K$1006,'출고대장'!$A$7:$A$1006,A376))</x:f>
      </x:c>
      <x:c r="J376" s="12" t="str">
        <x:f>IF(A376="","",SUMIFS('입금대장'!$C$7:$C$1006,'입금대장'!$A$7:$A$1006,A376,'입금대장'!$E$7:$E$1006,"정상"))</x:f>
      </x:c>
      <x:c r="K376" s="12" t="str">
        <x:f>IF(A376="","",I376-J376)</x:f>
      </x:c>
      <x:c r="L376" s="13" t="str">
        <x:f>IF(A376="","",IF(K376&lt;0,"선입금·초과입금",IF(I376=0,"청구 전",IF(K376=0,"정산 완료",IF(J376=0,"미입금","부분 입금")))))</x:f>
      </x:c>
      <x:c r="M376" s="9"/>
      <x:c r="N376" s="9"/>
    </x:row>
    <x:row r="377" ht="23" customHeight="1">
      <x:c r="A377" s="9"/>
      <x:c r="B377" s="10"/>
      <x:c r="C377" s="9"/>
      <x:c r="D377" s="9"/>
      <x:c r="E377" s="9"/>
      <x:c r="F377" s="11"/>
      <x:c r="G377" s="12" t="str">
        <x:f>IF(A377="","",SUMIFS('출고대장'!$D$7:$D$1006,'출고대장'!$A$7:$A$1006,A377))</x:f>
      </x:c>
      <x:c r="H377" s="12" t="str">
        <x:f>IF(A377="","",F377-G377)</x:f>
      </x:c>
      <x:c r="I377" s="12" t="str">
        <x:f>IF(A377="","",SUMIFS('출고대장'!$K$7:$K$1006,'출고대장'!$A$7:$A$1006,A377))</x:f>
      </x:c>
      <x:c r="J377" s="12" t="str">
        <x:f>IF(A377="","",SUMIFS('입금대장'!$C$7:$C$1006,'입금대장'!$A$7:$A$1006,A377,'입금대장'!$E$7:$E$1006,"정상"))</x:f>
      </x:c>
      <x:c r="K377" s="12" t="str">
        <x:f>IF(A377="","",I377-J377)</x:f>
      </x:c>
      <x:c r="L377" s="13" t="str">
        <x:f>IF(A377="","",IF(K377&lt;0,"선입금·초과입금",IF(I377=0,"청구 전",IF(K377=0,"정산 완료",IF(J377=0,"미입금","부분 입금")))))</x:f>
      </x:c>
      <x:c r="M377" s="9"/>
      <x:c r="N377" s="9"/>
    </x:row>
    <x:row r="378" ht="23" customHeight="1">
      <x:c r="A378" s="9"/>
      <x:c r="B378" s="10"/>
      <x:c r="C378" s="9"/>
      <x:c r="D378" s="9"/>
      <x:c r="E378" s="9"/>
      <x:c r="F378" s="11"/>
      <x:c r="G378" s="12" t="str">
        <x:f>IF(A378="","",SUMIFS('출고대장'!$D$7:$D$1006,'출고대장'!$A$7:$A$1006,A378))</x:f>
      </x:c>
      <x:c r="H378" s="12" t="str">
        <x:f>IF(A378="","",F378-G378)</x:f>
      </x:c>
      <x:c r="I378" s="12" t="str">
        <x:f>IF(A378="","",SUMIFS('출고대장'!$K$7:$K$1006,'출고대장'!$A$7:$A$1006,A378))</x:f>
      </x:c>
      <x:c r="J378" s="12" t="str">
        <x:f>IF(A378="","",SUMIFS('입금대장'!$C$7:$C$1006,'입금대장'!$A$7:$A$1006,A378,'입금대장'!$E$7:$E$1006,"정상"))</x:f>
      </x:c>
      <x:c r="K378" s="12" t="str">
        <x:f>IF(A378="","",I378-J378)</x:f>
      </x:c>
      <x:c r="L378" s="13" t="str">
        <x:f>IF(A378="","",IF(K378&lt;0,"선입금·초과입금",IF(I378=0,"청구 전",IF(K378=0,"정산 완료",IF(J378=0,"미입금","부분 입금")))))</x:f>
      </x:c>
      <x:c r="M378" s="9"/>
      <x:c r="N378" s="9"/>
    </x:row>
    <x:row r="379" ht="23" customHeight="1">
      <x:c r="A379" s="9"/>
      <x:c r="B379" s="10"/>
      <x:c r="C379" s="9"/>
      <x:c r="D379" s="9"/>
      <x:c r="E379" s="9"/>
      <x:c r="F379" s="11"/>
      <x:c r="G379" s="12" t="str">
        <x:f>IF(A379="","",SUMIFS('출고대장'!$D$7:$D$1006,'출고대장'!$A$7:$A$1006,A379))</x:f>
      </x:c>
      <x:c r="H379" s="12" t="str">
        <x:f>IF(A379="","",F379-G379)</x:f>
      </x:c>
      <x:c r="I379" s="12" t="str">
        <x:f>IF(A379="","",SUMIFS('출고대장'!$K$7:$K$1006,'출고대장'!$A$7:$A$1006,A379))</x:f>
      </x:c>
      <x:c r="J379" s="12" t="str">
        <x:f>IF(A379="","",SUMIFS('입금대장'!$C$7:$C$1006,'입금대장'!$A$7:$A$1006,A379,'입금대장'!$E$7:$E$1006,"정상"))</x:f>
      </x:c>
      <x:c r="K379" s="12" t="str">
        <x:f>IF(A379="","",I379-J379)</x:f>
      </x:c>
      <x:c r="L379" s="13" t="str">
        <x:f>IF(A379="","",IF(K379&lt;0,"선입금·초과입금",IF(I379=0,"청구 전",IF(K379=0,"정산 완료",IF(J379=0,"미입금","부분 입금")))))</x:f>
      </x:c>
      <x:c r="M379" s="9"/>
      <x:c r="N379" s="9"/>
    </x:row>
    <x:row r="380" ht="23" customHeight="1">
      <x:c r="A380" s="9"/>
      <x:c r="B380" s="10"/>
      <x:c r="C380" s="9"/>
      <x:c r="D380" s="9"/>
      <x:c r="E380" s="9"/>
      <x:c r="F380" s="11"/>
      <x:c r="G380" s="12" t="str">
        <x:f>IF(A380="","",SUMIFS('출고대장'!$D$7:$D$1006,'출고대장'!$A$7:$A$1006,A380))</x:f>
      </x:c>
      <x:c r="H380" s="12" t="str">
        <x:f>IF(A380="","",F380-G380)</x:f>
      </x:c>
      <x:c r="I380" s="12" t="str">
        <x:f>IF(A380="","",SUMIFS('출고대장'!$K$7:$K$1006,'출고대장'!$A$7:$A$1006,A380))</x:f>
      </x:c>
      <x:c r="J380" s="12" t="str">
        <x:f>IF(A380="","",SUMIFS('입금대장'!$C$7:$C$1006,'입금대장'!$A$7:$A$1006,A380,'입금대장'!$E$7:$E$1006,"정상"))</x:f>
      </x:c>
      <x:c r="K380" s="12" t="str">
        <x:f>IF(A380="","",I380-J380)</x:f>
      </x:c>
      <x:c r="L380" s="13" t="str">
        <x:f>IF(A380="","",IF(K380&lt;0,"선입금·초과입금",IF(I380=0,"청구 전",IF(K380=0,"정산 완료",IF(J380=0,"미입금","부분 입금")))))</x:f>
      </x:c>
      <x:c r="M380" s="9"/>
      <x:c r="N380" s="9"/>
    </x:row>
    <x:row r="381" ht="23" customHeight="1">
      <x:c r="A381" s="9"/>
      <x:c r="B381" s="10"/>
      <x:c r="C381" s="9"/>
      <x:c r="D381" s="9"/>
      <x:c r="E381" s="9"/>
      <x:c r="F381" s="11"/>
      <x:c r="G381" s="12" t="str">
        <x:f>IF(A381="","",SUMIFS('출고대장'!$D$7:$D$1006,'출고대장'!$A$7:$A$1006,A381))</x:f>
      </x:c>
      <x:c r="H381" s="12" t="str">
        <x:f>IF(A381="","",F381-G381)</x:f>
      </x:c>
      <x:c r="I381" s="12" t="str">
        <x:f>IF(A381="","",SUMIFS('출고대장'!$K$7:$K$1006,'출고대장'!$A$7:$A$1006,A381))</x:f>
      </x:c>
      <x:c r="J381" s="12" t="str">
        <x:f>IF(A381="","",SUMIFS('입금대장'!$C$7:$C$1006,'입금대장'!$A$7:$A$1006,A381,'입금대장'!$E$7:$E$1006,"정상"))</x:f>
      </x:c>
      <x:c r="K381" s="12" t="str">
        <x:f>IF(A381="","",I381-J381)</x:f>
      </x:c>
      <x:c r="L381" s="13" t="str">
        <x:f>IF(A381="","",IF(K381&lt;0,"선입금·초과입금",IF(I381=0,"청구 전",IF(K381=0,"정산 완료",IF(J381=0,"미입금","부분 입금")))))</x:f>
      </x:c>
      <x:c r="M381" s="9"/>
      <x:c r="N381" s="9"/>
    </x:row>
    <x:row r="382" ht="23" customHeight="1">
      <x:c r="A382" s="9"/>
      <x:c r="B382" s="10"/>
      <x:c r="C382" s="9"/>
      <x:c r="D382" s="9"/>
      <x:c r="E382" s="9"/>
      <x:c r="F382" s="11"/>
      <x:c r="G382" s="12" t="str">
        <x:f>IF(A382="","",SUMIFS('출고대장'!$D$7:$D$1006,'출고대장'!$A$7:$A$1006,A382))</x:f>
      </x:c>
      <x:c r="H382" s="12" t="str">
        <x:f>IF(A382="","",F382-G382)</x:f>
      </x:c>
      <x:c r="I382" s="12" t="str">
        <x:f>IF(A382="","",SUMIFS('출고대장'!$K$7:$K$1006,'출고대장'!$A$7:$A$1006,A382))</x:f>
      </x:c>
      <x:c r="J382" s="12" t="str">
        <x:f>IF(A382="","",SUMIFS('입금대장'!$C$7:$C$1006,'입금대장'!$A$7:$A$1006,A382,'입금대장'!$E$7:$E$1006,"정상"))</x:f>
      </x:c>
      <x:c r="K382" s="12" t="str">
        <x:f>IF(A382="","",I382-J382)</x:f>
      </x:c>
      <x:c r="L382" s="13" t="str">
        <x:f>IF(A382="","",IF(K382&lt;0,"선입금·초과입금",IF(I382=0,"청구 전",IF(K382=0,"정산 완료",IF(J382=0,"미입금","부분 입금")))))</x:f>
      </x:c>
      <x:c r="M382" s="9"/>
      <x:c r="N382" s="9"/>
    </x:row>
    <x:row r="383" ht="23" customHeight="1">
      <x:c r="A383" s="9"/>
      <x:c r="B383" s="10"/>
      <x:c r="C383" s="9"/>
      <x:c r="D383" s="9"/>
      <x:c r="E383" s="9"/>
      <x:c r="F383" s="11"/>
      <x:c r="G383" s="12" t="str">
        <x:f>IF(A383="","",SUMIFS('출고대장'!$D$7:$D$1006,'출고대장'!$A$7:$A$1006,A383))</x:f>
      </x:c>
      <x:c r="H383" s="12" t="str">
        <x:f>IF(A383="","",F383-G383)</x:f>
      </x:c>
      <x:c r="I383" s="12" t="str">
        <x:f>IF(A383="","",SUMIFS('출고대장'!$K$7:$K$1006,'출고대장'!$A$7:$A$1006,A383))</x:f>
      </x:c>
      <x:c r="J383" s="12" t="str">
        <x:f>IF(A383="","",SUMIFS('입금대장'!$C$7:$C$1006,'입금대장'!$A$7:$A$1006,A383,'입금대장'!$E$7:$E$1006,"정상"))</x:f>
      </x:c>
      <x:c r="K383" s="12" t="str">
        <x:f>IF(A383="","",I383-J383)</x:f>
      </x:c>
      <x:c r="L383" s="13" t="str">
        <x:f>IF(A383="","",IF(K383&lt;0,"선입금·초과입금",IF(I383=0,"청구 전",IF(K383=0,"정산 완료",IF(J383=0,"미입금","부분 입금")))))</x:f>
      </x:c>
      <x:c r="M383" s="9"/>
      <x:c r="N383" s="9"/>
    </x:row>
    <x:row r="384" ht="23" customHeight="1">
      <x:c r="A384" s="9"/>
      <x:c r="B384" s="10"/>
      <x:c r="C384" s="9"/>
      <x:c r="D384" s="9"/>
      <x:c r="E384" s="9"/>
      <x:c r="F384" s="11"/>
      <x:c r="G384" s="12" t="str">
        <x:f>IF(A384="","",SUMIFS('출고대장'!$D$7:$D$1006,'출고대장'!$A$7:$A$1006,A384))</x:f>
      </x:c>
      <x:c r="H384" s="12" t="str">
        <x:f>IF(A384="","",F384-G384)</x:f>
      </x:c>
      <x:c r="I384" s="12" t="str">
        <x:f>IF(A384="","",SUMIFS('출고대장'!$K$7:$K$1006,'출고대장'!$A$7:$A$1006,A384))</x:f>
      </x:c>
      <x:c r="J384" s="12" t="str">
        <x:f>IF(A384="","",SUMIFS('입금대장'!$C$7:$C$1006,'입금대장'!$A$7:$A$1006,A384,'입금대장'!$E$7:$E$1006,"정상"))</x:f>
      </x:c>
      <x:c r="K384" s="12" t="str">
        <x:f>IF(A384="","",I384-J384)</x:f>
      </x:c>
      <x:c r="L384" s="13" t="str">
        <x:f>IF(A384="","",IF(K384&lt;0,"선입금·초과입금",IF(I384=0,"청구 전",IF(K384=0,"정산 완료",IF(J384=0,"미입금","부분 입금")))))</x:f>
      </x:c>
      <x:c r="M384" s="9"/>
      <x:c r="N384" s="9"/>
    </x:row>
    <x:row r="385" ht="23" customHeight="1">
      <x:c r="A385" s="9"/>
      <x:c r="B385" s="10"/>
      <x:c r="C385" s="9"/>
      <x:c r="D385" s="9"/>
      <x:c r="E385" s="9"/>
      <x:c r="F385" s="11"/>
      <x:c r="G385" s="12" t="str">
        <x:f>IF(A385="","",SUMIFS('출고대장'!$D$7:$D$1006,'출고대장'!$A$7:$A$1006,A385))</x:f>
      </x:c>
      <x:c r="H385" s="12" t="str">
        <x:f>IF(A385="","",F385-G385)</x:f>
      </x:c>
      <x:c r="I385" s="12" t="str">
        <x:f>IF(A385="","",SUMIFS('출고대장'!$K$7:$K$1006,'출고대장'!$A$7:$A$1006,A385))</x:f>
      </x:c>
      <x:c r="J385" s="12" t="str">
        <x:f>IF(A385="","",SUMIFS('입금대장'!$C$7:$C$1006,'입금대장'!$A$7:$A$1006,A385,'입금대장'!$E$7:$E$1006,"정상"))</x:f>
      </x:c>
      <x:c r="K385" s="12" t="str">
        <x:f>IF(A385="","",I385-J385)</x:f>
      </x:c>
      <x:c r="L385" s="13" t="str">
        <x:f>IF(A385="","",IF(K385&lt;0,"선입금·초과입금",IF(I385=0,"청구 전",IF(K385=0,"정산 완료",IF(J385=0,"미입금","부분 입금")))))</x:f>
      </x:c>
      <x:c r="M385" s="9"/>
      <x:c r="N385" s="9"/>
    </x:row>
    <x:row r="386" ht="23" customHeight="1">
      <x:c r="A386" s="9"/>
      <x:c r="B386" s="10"/>
      <x:c r="C386" s="9"/>
      <x:c r="D386" s="9"/>
      <x:c r="E386" s="9"/>
      <x:c r="F386" s="11"/>
      <x:c r="G386" s="12" t="str">
        <x:f>IF(A386="","",SUMIFS('출고대장'!$D$7:$D$1006,'출고대장'!$A$7:$A$1006,A386))</x:f>
      </x:c>
      <x:c r="H386" s="12" t="str">
        <x:f>IF(A386="","",F386-G386)</x:f>
      </x:c>
      <x:c r="I386" s="12" t="str">
        <x:f>IF(A386="","",SUMIFS('출고대장'!$K$7:$K$1006,'출고대장'!$A$7:$A$1006,A386))</x:f>
      </x:c>
      <x:c r="J386" s="12" t="str">
        <x:f>IF(A386="","",SUMIFS('입금대장'!$C$7:$C$1006,'입금대장'!$A$7:$A$1006,A386,'입금대장'!$E$7:$E$1006,"정상"))</x:f>
      </x:c>
      <x:c r="K386" s="12" t="str">
        <x:f>IF(A386="","",I386-J386)</x:f>
      </x:c>
      <x:c r="L386" s="13" t="str">
        <x:f>IF(A386="","",IF(K386&lt;0,"선입금·초과입금",IF(I386=0,"청구 전",IF(K386=0,"정산 완료",IF(J386=0,"미입금","부분 입금")))))</x:f>
      </x:c>
      <x:c r="M386" s="9"/>
      <x:c r="N386" s="9"/>
    </x:row>
    <x:row r="387" ht="23" customHeight="1">
      <x:c r="A387" s="9"/>
      <x:c r="B387" s="10"/>
      <x:c r="C387" s="9"/>
      <x:c r="D387" s="9"/>
      <x:c r="E387" s="9"/>
      <x:c r="F387" s="11"/>
      <x:c r="G387" s="12" t="str">
        <x:f>IF(A387="","",SUMIFS('출고대장'!$D$7:$D$1006,'출고대장'!$A$7:$A$1006,A387))</x:f>
      </x:c>
      <x:c r="H387" s="12" t="str">
        <x:f>IF(A387="","",F387-G387)</x:f>
      </x:c>
      <x:c r="I387" s="12" t="str">
        <x:f>IF(A387="","",SUMIFS('출고대장'!$K$7:$K$1006,'출고대장'!$A$7:$A$1006,A387))</x:f>
      </x:c>
      <x:c r="J387" s="12" t="str">
        <x:f>IF(A387="","",SUMIFS('입금대장'!$C$7:$C$1006,'입금대장'!$A$7:$A$1006,A387,'입금대장'!$E$7:$E$1006,"정상"))</x:f>
      </x:c>
      <x:c r="K387" s="12" t="str">
        <x:f>IF(A387="","",I387-J387)</x:f>
      </x:c>
      <x:c r="L387" s="13" t="str">
        <x:f>IF(A387="","",IF(K387&lt;0,"선입금·초과입금",IF(I387=0,"청구 전",IF(K387=0,"정산 완료",IF(J387=0,"미입금","부분 입금")))))</x:f>
      </x:c>
      <x:c r="M387" s="9"/>
      <x:c r="N387" s="9"/>
    </x:row>
    <x:row r="388" ht="23" customHeight="1">
      <x:c r="A388" s="9"/>
      <x:c r="B388" s="10"/>
      <x:c r="C388" s="9"/>
      <x:c r="D388" s="9"/>
      <x:c r="E388" s="9"/>
      <x:c r="F388" s="11"/>
      <x:c r="G388" s="12" t="str">
        <x:f>IF(A388="","",SUMIFS('출고대장'!$D$7:$D$1006,'출고대장'!$A$7:$A$1006,A388))</x:f>
      </x:c>
      <x:c r="H388" s="12" t="str">
        <x:f>IF(A388="","",F388-G388)</x:f>
      </x:c>
      <x:c r="I388" s="12" t="str">
        <x:f>IF(A388="","",SUMIFS('출고대장'!$K$7:$K$1006,'출고대장'!$A$7:$A$1006,A388))</x:f>
      </x:c>
      <x:c r="J388" s="12" t="str">
        <x:f>IF(A388="","",SUMIFS('입금대장'!$C$7:$C$1006,'입금대장'!$A$7:$A$1006,A388,'입금대장'!$E$7:$E$1006,"정상"))</x:f>
      </x:c>
      <x:c r="K388" s="12" t="str">
        <x:f>IF(A388="","",I388-J388)</x:f>
      </x:c>
      <x:c r="L388" s="13" t="str">
        <x:f>IF(A388="","",IF(K388&lt;0,"선입금·초과입금",IF(I388=0,"청구 전",IF(K388=0,"정산 완료",IF(J388=0,"미입금","부분 입금")))))</x:f>
      </x:c>
      <x:c r="M388" s="9"/>
      <x:c r="N388" s="9"/>
    </x:row>
    <x:row r="389" ht="23" customHeight="1">
      <x:c r="A389" s="9"/>
      <x:c r="B389" s="10"/>
      <x:c r="C389" s="9"/>
      <x:c r="D389" s="9"/>
      <x:c r="E389" s="9"/>
      <x:c r="F389" s="11"/>
      <x:c r="G389" s="12" t="str">
        <x:f>IF(A389="","",SUMIFS('출고대장'!$D$7:$D$1006,'출고대장'!$A$7:$A$1006,A389))</x:f>
      </x:c>
      <x:c r="H389" s="12" t="str">
        <x:f>IF(A389="","",F389-G389)</x:f>
      </x:c>
      <x:c r="I389" s="12" t="str">
        <x:f>IF(A389="","",SUMIFS('출고대장'!$K$7:$K$1006,'출고대장'!$A$7:$A$1006,A389))</x:f>
      </x:c>
      <x:c r="J389" s="12" t="str">
        <x:f>IF(A389="","",SUMIFS('입금대장'!$C$7:$C$1006,'입금대장'!$A$7:$A$1006,A389,'입금대장'!$E$7:$E$1006,"정상"))</x:f>
      </x:c>
      <x:c r="K389" s="12" t="str">
        <x:f>IF(A389="","",I389-J389)</x:f>
      </x:c>
      <x:c r="L389" s="13" t="str">
        <x:f>IF(A389="","",IF(K389&lt;0,"선입금·초과입금",IF(I389=0,"청구 전",IF(K389=0,"정산 완료",IF(J389=0,"미입금","부분 입금")))))</x:f>
      </x:c>
      <x:c r="M389" s="9"/>
      <x:c r="N389" s="9"/>
    </x:row>
    <x:row r="390" ht="23" customHeight="1">
      <x:c r="A390" s="9"/>
      <x:c r="B390" s="10"/>
      <x:c r="C390" s="9"/>
      <x:c r="D390" s="9"/>
      <x:c r="E390" s="9"/>
      <x:c r="F390" s="11"/>
      <x:c r="G390" s="12" t="str">
        <x:f>IF(A390="","",SUMIFS('출고대장'!$D$7:$D$1006,'출고대장'!$A$7:$A$1006,A390))</x:f>
      </x:c>
      <x:c r="H390" s="12" t="str">
        <x:f>IF(A390="","",F390-G390)</x:f>
      </x:c>
      <x:c r="I390" s="12" t="str">
        <x:f>IF(A390="","",SUMIFS('출고대장'!$K$7:$K$1006,'출고대장'!$A$7:$A$1006,A390))</x:f>
      </x:c>
      <x:c r="J390" s="12" t="str">
        <x:f>IF(A390="","",SUMIFS('입금대장'!$C$7:$C$1006,'입금대장'!$A$7:$A$1006,A390,'입금대장'!$E$7:$E$1006,"정상"))</x:f>
      </x:c>
      <x:c r="K390" s="12" t="str">
        <x:f>IF(A390="","",I390-J390)</x:f>
      </x:c>
      <x:c r="L390" s="13" t="str">
        <x:f>IF(A390="","",IF(K390&lt;0,"선입금·초과입금",IF(I390=0,"청구 전",IF(K390=0,"정산 완료",IF(J390=0,"미입금","부분 입금")))))</x:f>
      </x:c>
      <x:c r="M390" s="9"/>
      <x:c r="N390" s="9"/>
    </x:row>
    <x:row r="391" ht="23" customHeight="1">
      <x:c r="A391" s="9"/>
      <x:c r="B391" s="10"/>
      <x:c r="C391" s="9"/>
      <x:c r="D391" s="9"/>
      <x:c r="E391" s="9"/>
      <x:c r="F391" s="11"/>
      <x:c r="G391" s="12" t="str">
        <x:f>IF(A391="","",SUMIFS('출고대장'!$D$7:$D$1006,'출고대장'!$A$7:$A$1006,A391))</x:f>
      </x:c>
      <x:c r="H391" s="12" t="str">
        <x:f>IF(A391="","",F391-G391)</x:f>
      </x:c>
      <x:c r="I391" s="12" t="str">
        <x:f>IF(A391="","",SUMIFS('출고대장'!$K$7:$K$1006,'출고대장'!$A$7:$A$1006,A391))</x:f>
      </x:c>
      <x:c r="J391" s="12" t="str">
        <x:f>IF(A391="","",SUMIFS('입금대장'!$C$7:$C$1006,'입금대장'!$A$7:$A$1006,A391,'입금대장'!$E$7:$E$1006,"정상"))</x:f>
      </x:c>
      <x:c r="K391" s="12" t="str">
        <x:f>IF(A391="","",I391-J391)</x:f>
      </x:c>
      <x:c r="L391" s="13" t="str">
        <x:f>IF(A391="","",IF(K391&lt;0,"선입금·초과입금",IF(I391=0,"청구 전",IF(K391=0,"정산 완료",IF(J391=0,"미입금","부분 입금")))))</x:f>
      </x:c>
      <x:c r="M391" s="9"/>
      <x:c r="N391" s="9"/>
    </x:row>
    <x:row r="392" ht="23" customHeight="1">
      <x:c r="A392" s="9"/>
      <x:c r="B392" s="10"/>
      <x:c r="C392" s="9"/>
      <x:c r="D392" s="9"/>
      <x:c r="E392" s="9"/>
      <x:c r="F392" s="11"/>
      <x:c r="G392" s="12" t="str">
        <x:f>IF(A392="","",SUMIFS('출고대장'!$D$7:$D$1006,'출고대장'!$A$7:$A$1006,A392))</x:f>
      </x:c>
      <x:c r="H392" s="12" t="str">
        <x:f>IF(A392="","",F392-G392)</x:f>
      </x:c>
      <x:c r="I392" s="12" t="str">
        <x:f>IF(A392="","",SUMIFS('출고대장'!$K$7:$K$1006,'출고대장'!$A$7:$A$1006,A392))</x:f>
      </x:c>
      <x:c r="J392" s="12" t="str">
        <x:f>IF(A392="","",SUMIFS('입금대장'!$C$7:$C$1006,'입금대장'!$A$7:$A$1006,A392,'입금대장'!$E$7:$E$1006,"정상"))</x:f>
      </x:c>
      <x:c r="K392" s="12" t="str">
        <x:f>IF(A392="","",I392-J392)</x:f>
      </x:c>
      <x:c r="L392" s="13" t="str">
        <x:f>IF(A392="","",IF(K392&lt;0,"선입금·초과입금",IF(I392=0,"청구 전",IF(K392=0,"정산 완료",IF(J392=0,"미입금","부분 입금")))))</x:f>
      </x:c>
      <x:c r="M392" s="9"/>
      <x:c r="N392" s="9"/>
    </x:row>
    <x:row r="393" ht="23" customHeight="1">
      <x:c r="A393" s="9"/>
      <x:c r="B393" s="10"/>
      <x:c r="C393" s="9"/>
      <x:c r="D393" s="9"/>
      <x:c r="E393" s="9"/>
      <x:c r="F393" s="11"/>
      <x:c r="G393" s="12" t="str">
        <x:f>IF(A393="","",SUMIFS('출고대장'!$D$7:$D$1006,'출고대장'!$A$7:$A$1006,A393))</x:f>
      </x:c>
      <x:c r="H393" s="12" t="str">
        <x:f>IF(A393="","",F393-G393)</x:f>
      </x:c>
      <x:c r="I393" s="12" t="str">
        <x:f>IF(A393="","",SUMIFS('출고대장'!$K$7:$K$1006,'출고대장'!$A$7:$A$1006,A393))</x:f>
      </x:c>
      <x:c r="J393" s="12" t="str">
        <x:f>IF(A393="","",SUMIFS('입금대장'!$C$7:$C$1006,'입금대장'!$A$7:$A$1006,A393,'입금대장'!$E$7:$E$1006,"정상"))</x:f>
      </x:c>
      <x:c r="K393" s="12" t="str">
        <x:f>IF(A393="","",I393-J393)</x:f>
      </x:c>
      <x:c r="L393" s="13" t="str">
        <x:f>IF(A393="","",IF(K393&lt;0,"선입금·초과입금",IF(I393=0,"청구 전",IF(K393=0,"정산 완료",IF(J393=0,"미입금","부분 입금")))))</x:f>
      </x:c>
      <x:c r="M393" s="9"/>
      <x:c r="N393" s="9"/>
    </x:row>
    <x:row r="394" ht="23" customHeight="1">
      <x:c r="A394" s="9"/>
      <x:c r="B394" s="10"/>
      <x:c r="C394" s="9"/>
      <x:c r="D394" s="9"/>
      <x:c r="E394" s="9"/>
      <x:c r="F394" s="11"/>
      <x:c r="G394" s="12" t="str">
        <x:f>IF(A394="","",SUMIFS('출고대장'!$D$7:$D$1006,'출고대장'!$A$7:$A$1006,A394))</x:f>
      </x:c>
      <x:c r="H394" s="12" t="str">
        <x:f>IF(A394="","",F394-G394)</x:f>
      </x:c>
      <x:c r="I394" s="12" t="str">
        <x:f>IF(A394="","",SUMIFS('출고대장'!$K$7:$K$1006,'출고대장'!$A$7:$A$1006,A394))</x:f>
      </x:c>
      <x:c r="J394" s="12" t="str">
        <x:f>IF(A394="","",SUMIFS('입금대장'!$C$7:$C$1006,'입금대장'!$A$7:$A$1006,A394,'입금대장'!$E$7:$E$1006,"정상"))</x:f>
      </x:c>
      <x:c r="K394" s="12" t="str">
        <x:f>IF(A394="","",I394-J394)</x:f>
      </x:c>
      <x:c r="L394" s="13" t="str">
        <x:f>IF(A394="","",IF(K394&lt;0,"선입금·초과입금",IF(I394=0,"청구 전",IF(K394=0,"정산 완료",IF(J394=0,"미입금","부분 입금")))))</x:f>
      </x:c>
      <x:c r="M394" s="9"/>
      <x:c r="N394" s="9"/>
    </x:row>
    <x:row r="395" ht="23" customHeight="1">
      <x:c r="A395" s="9"/>
      <x:c r="B395" s="10"/>
      <x:c r="C395" s="9"/>
      <x:c r="D395" s="9"/>
      <x:c r="E395" s="9"/>
      <x:c r="F395" s="11"/>
      <x:c r="G395" s="12" t="str">
        <x:f>IF(A395="","",SUMIFS('출고대장'!$D$7:$D$1006,'출고대장'!$A$7:$A$1006,A395))</x:f>
      </x:c>
      <x:c r="H395" s="12" t="str">
        <x:f>IF(A395="","",F395-G395)</x:f>
      </x:c>
      <x:c r="I395" s="12" t="str">
        <x:f>IF(A395="","",SUMIFS('출고대장'!$K$7:$K$1006,'출고대장'!$A$7:$A$1006,A395))</x:f>
      </x:c>
      <x:c r="J395" s="12" t="str">
        <x:f>IF(A395="","",SUMIFS('입금대장'!$C$7:$C$1006,'입금대장'!$A$7:$A$1006,A395,'입금대장'!$E$7:$E$1006,"정상"))</x:f>
      </x:c>
      <x:c r="K395" s="12" t="str">
        <x:f>IF(A395="","",I395-J395)</x:f>
      </x:c>
      <x:c r="L395" s="13" t="str">
        <x:f>IF(A395="","",IF(K395&lt;0,"선입금·초과입금",IF(I395=0,"청구 전",IF(K395=0,"정산 완료",IF(J395=0,"미입금","부분 입금")))))</x:f>
      </x:c>
      <x:c r="M395" s="9"/>
      <x:c r="N395" s="9"/>
    </x:row>
    <x:row r="396" ht="23" customHeight="1">
      <x:c r="A396" s="9"/>
      <x:c r="B396" s="10"/>
      <x:c r="C396" s="9"/>
      <x:c r="D396" s="9"/>
      <x:c r="E396" s="9"/>
      <x:c r="F396" s="11"/>
      <x:c r="G396" s="12" t="str">
        <x:f>IF(A396="","",SUMIFS('출고대장'!$D$7:$D$1006,'출고대장'!$A$7:$A$1006,A396))</x:f>
      </x:c>
      <x:c r="H396" s="12" t="str">
        <x:f>IF(A396="","",F396-G396)</x:f>
      </x:c>
      <x:c r="I396" s="12" t="str">
        <x:f>IF(A396="","",SUMIFS('출고대장'!$K$7:$K$1006,'출고대장'!$A$7:$A$1006,A396))</x:f>
      </x:c>
      <x:c r="J396" s="12" t="str">
        <x:f>IF(A396="","",SUMIFS('입금대장'!$C$7:$C$1006,'입금대장'!$A$7:$A$1006,A396,'입금대장'!$E$7:$E$1006,"정상"))</x:f>
      </x:c>
      <x:c r="K396" s="12" t="str">
        <x:f>IF(A396="","",I396-J396)</x:f>
      </x:c>
      <x:c r="L396" s="13" t="str">
        <x:f>IF(A396="","",IF(K396&lt;0,"선입금·초과입금",IF(I396=0,"청구 전",IF(K396=0,"정산 완료",IF(J396=0,"미입금","부분 입금")))))</x:f>
      </x:c>
      <x:c r="M396" s="9"/>
      <x:c r="N396" s="9"/>
    </x:row>
    <x:row r="397" ht="23" customHeight="1">
      <x:c r="A397" s="9"/>
      <x:c r="B397" s="10"/>
      <x:c r="C397" s="9"/>
      <x:c r="D397" s="9"/>
      <x:c r="E397" s="9"/>
      <x:c r="F397" s="11"/>
      <x:c r="G397" s="12" t="str">
        <x:f>IF(A397="","",SUMIFS('출고대장'!$D$7:$D$1006,'출고대장'!$A$7:$A$1006,A397))</x:f>
      </x:c>
      <x:c r="H397" s="12" t="str">
        <x:f>IF(A397="","",F397-G397)</x:f>
      </x:c>
      <x:c r="I397" s="12" t="str">
        <x:f>IF(A397="","",SUMIFS('출고대장'!$K$7:$K$1006,'출고대장'!$A$7:$A$1006,A397))</x:f>
      </x:c>
      <x:c r="J397" s="12" t="str">
        <x:f>IF(A397="","",SUMIFS('입금대장'!$C$7:$C$1006,'입금대장'!$A$7:$A$1006,A397,'입금대장'!$E$7:$E$1006,"정상"))</x:f>
      </x:c>
      <x:c r="K397" s="12" t="str">
        <x:f>IF(A397="","",I397-J397)</x:f>
      </x:c>
      <x:c r="L397" s="13" t="str">
        <x:f>IF(A397="","",IF(K397&lt;0,"선입금·초과입금",IF(I397=0,"청구 전",IF(K397=0,"정산 완료",IF(J397=0,"미입금","부분 입금")))))</x:f>
      </x:c>
      <x:c r="M397" s="9"/>
      <x:c r="N397" s="9"/>
    </x:row>
    <x:row r="398" ht="23" customHeight="1">
      <x:c r="A398" s="9"/>
      <x:c r="B398" s="10"/>
      <x:c r="C398" s="9"/>
      <x:c r="D398" s="9"/>
      <x:c r="E398" s="9"/>
      <x:c r="F398" s="11"/>
      <x:c r="G398" s="12" t="str">
        <x:f>IF(A398="","",SUMIFS('출고대장'!$D$7:$D$1006,'출고대장'!$A$7:$A$1006,A398))</x:f>
      </x:c>
      <x:c r="H398" s="12" t="str">
        <x:f>IF(A398="","",F398-G398)</x:f>
      </x:c>
      <x:c r="I398" s="12" t="str">
        <x:f>IF(A398="","",SUMIFS('출고대장'!$K$7:$K$1006,'출고대장'!$A$7:$A$1006,A398))</x:f>
      </x:c>
      <x:c r="J398" s="12" t="str">
        <x:f>IF(A398="","",SUMIFS('입금대장'!$C$7:$C$1006,'입금대장'!$A$7:$A$1006,A398,'입금대장'!$E$7:$E$1006,"정상"))</x:f>
      </x:c>
      <x:c r="K398" s="12" t="str">
        <x:f>IF(A398="","",I398-J398)</x:f>
      </x:c>
      <x:c r="L398" s="13" t="str">
        <x:f>IF(A398="","",IF(K398&lt;0,"선입금·초과입금",IF(I398=0,"청구 전",IF(K398=0,"정산 완료",IF(J398=0,"미입금","부분 입금")))))</x:f>
      </x:c>
      <x:c r="M398" s="9"/>
      <x:c r="N398" s="9"/>
    </x:row>
    <x:row r="399" ht="23" customHeight="1">
      <x:c r="A399" s="9"/>
      <x:c r="B399" s="10"/>
      <x:c r="C399" s="9"/>
      <x:c r="D399" s="9"/>
      <x:c r="E399" s="9"/>
      <x:c r="F399" s="11"/>
      <x:c r="G399" s="12" t="str">
        <x:f>IF(A399="","",SUMIFS('출고대장'!$D$7:$D$1006,'출고대장'!$A$7:$A$1006,A399))</x:f>
      </x:c>
      <x:c r="H399" s="12" t="str">
        <x:f>IF(A399="","",F399-G399)</x:f>
      </x:c>
      <x:c r="I399" s="12" t="str">
        <x:f>IF(A399="","",SUMIFS('출고대장'!$K$7:$K$1006,'출고대장'!$A$7:$A$1006,A399))</x:f>
      </x:c>
      <x:c r="J399" s="12" t="str">
        <x:f>IF(A399="","",SUMIFS('입금대장'!$C$7:$C$1006,'입금대장'!$A$7:$A$1006,A399,'입금대장'!$E$7:$E$1006,"정상"))</x:f>
      </x:c>
      <x:c r="K399" s="12" t="str">
        <x:f>IF(A399="","",I399-J399)</x:f>
      </x:c>
      <x:c r="L399" s="13" t="str">
        <x:f>IF(A399="","",IF(K399&lt;0,"선입금·초과입금",IF(I399=0,"청구 전",IF(K399=0,"정산 완료",IF(J399=0,"미입금","부분 입금")))))</x:f>
      </x:c>
      <x:c r="M399" s="9"/>
      <x:c r="N399" s="9"/>
    </x:row>
    <x:row r="400" ht="23" customHeight="1">
      <x:c r="A400" s="9"/>
      <x:c r="B400" s="10"/>
      <x:c r="C400" s="9"/>
      <x:c r="D400" s="9"/>
      <x:c r="E400" s="9"/>
      <x:c r="F400" s="11"/>
      <x:c r="G400" s="12" t="str">
        <x:f>IF(A400="","",SUMIFS('출고대장'!$D$7:$D$1006,'출고대장'!$A$7:$A$1006,A400))</x:f>
      </x:c>
      <x:c r="H400" s="12" t="str">
        <x:f>IF(A400="","",F400-G400)</x:f>
      </x:c>
      <x:c r="I400" s="12" t="str">
        <x:f>IF(A400="","",SUMIFS('출고대장'!$K$7:$K$1006,'출고대장'!$A$7:$A$1006,A400))</x:f>
      </x:c>
      <x:c r="J400" s="12" t="str">
        <x:f>IF(A400="","",SUMIFS('입금대장'!$C$7:$C$1006,'입금대장'!$A$7:$A$1006,A400,'입금대장'!$E$7:$E$1006,"정상"))</x:f>
      </x:c>
      <x:c r="K400" s="12" t="str">
        <x:f>IF(A400="","",I400-J400)</x:f>
      </x:c>
      <x:c r="L400" s="13" t="str">
        <x:f>IF(A400="","",IF(K400&lt;0,"선입금·초과입금",IF(I400=0,"청구 전",IF(K400=0,"정산 완료",IF(J400=0,"미입금","부분 입금")))))</x:f>
      </x:c>
      <x:c r="M400" s="9"/>
      <x:c r="N400" s="9"/>
    </x:row>
    <x:row r="401" ht="23" customHeight="1">
      <x:c r="A401" s="9"/>
      <x:c r="B401" s="10"/>
      <x:c r="C401" s="9"/>
      <x:c r="D401" s="9"/>
      <x:c r="E401" s="9"/>
      <x:c r="F401" s="11"/>
      <x:c r="G401" s="12" t="str">
        <x:f>IF(A401="","",SUMIFS('출고대장'!$D$7:$D$1006,'출고대장'!$A$7:$A$1006,A401))</x:f>
      </x:c>
      <x:c r="H401" s="12" t="str">
        <x:f>IF(A401="","",F401-G401)</x:f>
      </x:c>
      <x:c r="I401" s="12" t="str">
        <x:f>IF(A401="","",SUMIFS('출고대장'!$K$7:$K$1006,'출고대장'!$A$7:$A$1006,A401))</x:f>
      </x:c>
      <x:c r="J401" s="12" t="str">
        <x:f>IF(A401="","",SUMIFS('입금대장'!$C$7:$C$1006,'입금대장'!$A$7:$A$1006,A401,'입금대장'!$E$7:$E$1006,"정상"))</x:f>
      </x:c>
      <x:c r="K401" s="12" t="str">
        <x:f>IF(A401="","",I401-J401)</x:f>
      </x:c>
      <x:c r="L401" s="13" t="str">
        <x:f>IF(A401="","",IF(K401&lt;0,"선입금·초과입금",IF(I401=0,"청구 전",IF(K401=0,"정산 완료",IF(J401=0,"미입금","부분 입금")))))</x:f>
      </x:c>
      <x:c r="M401" s="9"/>
      <x:c r="N401" s="9"/>
    </x:row>
    <x:row r="402" ht="23" customHeight="1">
      <x:c r="A402" s="9"/>
      <x:c r="B402" s="10"/>
      <x:c r="C402" s="9"/>
      <x:c r="D402" s="9"/>
      <x:c r="E402" s="9"/>
      <x:c r="F402" s="11"/>
      <x:c r="G402" s="12" t="str">
        <x:f>IF(A402="","",SUMIFS('출고대장'!$D$7:$D$1006,'출고대장'!$A$7:$A$1006,A402))</x:f>
      </x:c>
      <x:c r="H402" s="12" t="str">
        <x:f>IF(A402="","",F402-G402)</x:f>
      </x:c>
      <x:c r="I402" s="12" t="str">
        <x:f>IF(A402="","",SUMIFS('출고대장'!$K$7:$K$1006,'출고대장'!$A$7:$A$1006,A402))</x:f>
      </x:c>
      <x:c r="J402" s="12" t="str">
        <x:f>IF(A402="","",SUMIFS('입금대장'!$C$7:$C$1006,'입금대장'!$A$7:$A$1006,A402,'입금대장'!$E$7:$E$1006,"정상"))</x:f>
      </x:c>
      <x:c r="K402" s="12" t="str">
        <x:f>IF(A402="","",I402-J402)</x:f>
      </x:c>
      <x:c r="L402" s="13" t="str">
        <x:f>IF(A402="","",IF(K402&lt;0,"선입금·초과입금",IF(I402=0,"청구 전",IF(K402=0,"정산 완료",IF(J402=0,"미입금","부분 입금")))))</x:f>
      </x:c>
      <x:c r="M402" s="9"/>
      <x:c r="N402" s="9"/>
    </x:row>
    <x:row r="403" ht="23" customHeight="1">
      <x:c r="A403" s="9"/>
      <x:c r="B403" s="10"/>
      <x:c r="C403" s="9"/>
      <x:c r="D403" s="9"/>
      <x:c r="E403" s="9"/>
      <x:c r="F403" s="11"/>
      <x:c r="G403" s="12" t="str">
        <x:f>IF(A403="","",SUMIFS('출고대장'!$D$7:$D$1006,'출고대장'!$A$7:$A$1006,A403))</x:f>
      </x:c>
      <x:c r="H403" s="12" t="str">
        <x:f>IF(A403="","",F403-G403)</x:f>
      </x:c>
      <x:c r="I403" s="12" t="str">
        <x:f>IF(A403="","",SUMIFS('출고대장'!$K$7:$K$1006,'출고대장'!$A$7:$A$1006,A403))</x:f>
      </x:c>
      <x:c r="J403" s="12" t="str">
        <x:f>IF(A403="","",SUMIFS('입금대장'!$C$7:$C$1006,'입금대장'!$A$7:$A$1006,A403,'입금대장'!$E$7:$E$1006,"정상"))</x:f>
      </x:c>
      <x:c r="K403" s="12" t="str">
        <x:f>IF(A403="","",I403-J403)</x:f>
      </x:c>
      <x:c r="L403" s="13" t="str">
        <x:f>IF(A403="","",IF(K403&lt;0,"선입금·초과입금",IF(I403=0,"청구 전",IF(K403=0,"정산 완료",IF(J403=0,"미입금","부분 입금")))))</x:f>
      </x:c>
      <x:c r="M403" s="9"/>
      <x:c r="N403" s="9"/>
    </x:row>
    <x:row r="404" ht="23" customHeight="1">
      <x:c r="A404" s="9"/>
      <x:c r="B404" s="10"/>
      <x:c r="C404" s="9"/>
      <x:c r="D404" s="9"/>
      <x:c r="E404" s="9"/>
      <x:c r="F404" s="11"/>
      <x:c r="G404" s="12" t="str">
        <x:f>IF(A404="","",SUMIFS('출고대장'!$D$7:$D$1006,'출고대장'!$A$7:$A$1006,A404))</x:f>
      </x:c>
      <x:c r="H404" s="12" t="str">
        <x:f>IF(A404="","",F404-G404)</x:f>
      </x:c>
      <x:c r="I404" s="12" t="str">
        <x:f>IF(A404="","",SUMIFS('출고대장'!$K$7:$K$1006,'출고대장'!$A$7:$A$1006,A404))</x:f>
      </x:c>
      <x:c r="J404" s="12" t="str">
        <x:f>IF(A404="","",SUMIFS('입금대장'!$C$7:$C$1006,'입금대장'!$A$7:$A$1006,A404,'입금대장'!$E$7:$E$1006,"정상"))</x:f>
      </x:c>
      <x:c r="K404" s="12" t="str">
        <x:f>IF(A404="","",I404-J404)</x:f>
      </x:c>
      <x:c r="L404" s="13" t="str">
        <x:f>IF(A404="","",IF(K404&lt;0,"선입금·초과입금",IF(I404=0,"청구 전",IF(K404=0,"정산 완료",IF(J404=0,"미입금","부분 입금")))))</x:f>
      </x:c>
      <x:c r="M404" s="9"/>
      <x:c r="N404" s="9"/>
    </x:row>
    <x:row r="405" ht="23" customHeight="1">
      <x:c r="A405" s="9"/>
      <x:c r="B405" s="10"/>
      <x:c r="C405" s="9"/>
      <x:c r="D405" s="9"/>
      <x:c r="E405" s="9"/>
      <x:c r="F405" s="11"/>
      <x:c r="G405" s="12" t="str">
        <x:f>IF(A405="","",SUMIFS('출고대장'!$D$7:$D$1006,'출고대장'!$A$7:$A$1006,A405))</x:f>
      </x:c>
      <x:c r="H405" s="12" t="str">
        <x:f>IF(A405="","",F405-G405)</x:f>
      </x:c>
      <x:c r="I405" s="12" t="str">
        <x:f>IF(A405="","",SUMIFS('출고대장'!$K$7:$K$1006,'출고대장'!$A$7:$A$1006,A405))</x:f>
      </x:c>
      <x:c r="J405" s="12" t="str">
        <x:f>IF(A405="","",SUMIFS('입금대장'!$C$7:$C$1006,'입금대장'!$A$7:$A$1006,A405,'입금대장'!$E$7:$E$1006,"정상"))</x:f>
      </x:c>
      <x:c r="K405" s="12" t="str">
        <x:f>IF(A405="","",I405-J405)</x:f>
      </x:c>
      <x:c r="L405" s="13" t="str">
        <x:f>IF(A405="","",IF(K405&lt;0,"선입금·초과입금",IF(I405=0,"청구 전",IF(K405=0,"정산 완료",IF(J405=0,"미입금","부분 입금")))))</x:f>
      </x:c>
      <x:c r="M405" s="9"/>
      <x:c r="N405" s="9"/>
    </x:row>
    <x:row r="406" ht="23" customHeight="1">
      <x:c r="A406" s="9"/>
      <x:c r="B406" s="10"/>
      <x:c r="C406" s="9"/>
      <x:c r="D406" s="9"/>
      <x:c r="E406" s="9"/>
      <x:c r="F406" s="11"/>
      <x:c r="G406" s="12" t="str">
        <x:f>IF(A406="","",SUMIFS('출고대장'!$D$7:$D$1006,'출고대장'!$A$7:$A$1006,A406))</x:f>
      </x:c>
      <x:c r="H406" s="12" t="str">
        <x:f>IF(A406="","",F406-G406)</x:f>
      </x:c>
      <x:c r="I406" s="12" t="str">
        <x:f>IF(A406="","",SUMIFS('출고대장'!$K$7:$K$1006,'출고대장'!$A$7:$A$1006,A406))</x:f>
      </x:c>
      <x:c r="J406" s="12" t="str">
        <x:f>IF(A406="","",SUMIFS('입금대장'!$C$7:$C$1006,'입금대장'!$A$7:$A$1006,A406,'입금대장'!$E$7:$E$1006,"정상"))</x:f>
      </x:c>
      <x:c r="K406" s="12" t="str">
        <x:f>IF(A406="","",I406-J406)</x:f>
      </x:c>
      <x:c r="L406" s="13" t="str">
        <x:f>IF(A406="","",IF(K406&lt;0,"선입금·초과입금",IF(I406=0,"청구 전",IF(K406=0,"정산 완료",IF(J406=0,"미입금","부분 입금")))))</x:f>
      </x:c>
      <x:c r="M406" s="9"/>
      <x:c r="N406" s="9"/>
    </x:row>
    <x:row r="407" ht="23" customHeight="1">
      <x:c r="A407" s="9"/>
      <x:c r="B407" s="10"/>
      <x:c r="C407" s="9"/>
      <x:c r="D407" s="9"/>
      <x:c r="E407" s="9"/>
      <x:c r="F407" s="11"/>
      <x:c r="G407" s="12" t="str">
        <x:f>IF(A407="","",SUMIFS('출고대장'!$D$7:$D$1006,'출고대장'!$A$7:$A$1006,A407))</x:f>
      </x:c>
      <x:c r="H407" s="12" t="str">
        <x:f>IF(A407="","",F407-G407)</x:f>
      </x:c>
      <x:c r="I407" s="12" t="str">
        <x:f>IF(A407="","",SUMIFS('출고대장'!$K$7:$K$1006,'출고대장'!$A$7:$A$1006,A407))</x:f>
      </x:c>
      <x:c r="J407" s="12" t="str">
        <x:f>IF(A407="","",SUMIFS('입금대장'!$C$7:$C$1006,'입금대장'!$A$7:$A$1006,A407,'입금대장'!$E$7:$E$1006,"정상"))</x:f>
      </x:c>
      <x:c r="K407" s="12" t="str">
        <x:f>IF(A407="","",I407-J407)</x:f>
      </x:c>
      <x:c r="L407" s="13" t="str">
        <x:f>IF(A407="","",IF(K407&lt;0,"선입금·초과입금",IF(I407=0,"청구 전",IF(K407=0,"정산 완료",IF(J407=0,"미입금","부분 입금")))))</x:f>
      </x:c>
      <x:c r="M407" s="9"/>
      <x:c r="N407" s="9"/>
    </x:row>
    <x:row r="408" ht="23" customHeight="1">
      <x:c r="A408" s="9"/>
      <x:c r="B408" s="10"/>
      <x:c r="C408" s="9"/>
      <x:c r="D408" s="9"/>
      <x:c r="E408" s="9"/>
      <x:c r="F408" s="11"/>
      <x:c r="G408" s="12" t="str">
        <x:f>IF(A408="","",SUMIFS('출고대장'!$D$7:$D$1006,'출고대장'!$A$7:$A$1006,A408))</x:f>
      </x:c>
      <x:c r="H408" s="12" t="str">
        <x:f>IF(A408="","",F408-G408)</x:f>
      </x:c>
      <x:c r="I408" s="12" t="str">
        <x:f>IF(A408="","",SUMIFS('출고대장'!$K$7:$K$1006,'출고대장'!$A$7:$A$1006,A408))</x:f>
      </x:c>
      <x:c r="J408" s="12" t="str">
        <x:f>IF(A408="","",SUMIFS('입금대장'!$C$7:$C$1006,'입금대장'!$A$7:$A$1006,A408,'입금대장'!$E$7:$E$1006,"정상"))</x:f>
      </x:c>
      <x:c r="K408" s="12" t="str">
        <x:f>IF(A408="","",I408-J408)</x:f>
      </x:c>
      <x:c r="L408" s="13" t="str">
        <x:f>IF(A408="","",IF(K408&lt;0,"선입금·초과입금",IF(I408=0,"청구 전",IF(K408=0,"정산 완료",IF(J408=0,"미입금","부분 입금")))))</x:f>
      </x:c>
      <x:c r="M408" s="9"/>
      <x:c r="N408" s="9"/>
    </x:row>
    <x:row r="409" ht="23" customHeight="1">
      <x:c r="A409" s="9"/>
      <x:c r="B409" s="10"/>
      <x:c r="C409" s="9"/>
      <x:c r="D409" s="9"/>
      <x:c r="E409" s="9"/>
      <x:c r="F409" s="11"/>
      <x:c r="G409" s="12" t="str">
        <x:f>IF(A409="","",SUMIFS('출고대장'!$D$7:$D$1006,'출고대장'!$A$7:$A$1006,A409))</x:f>
      </x:c>
      <x:c r="H409" s="12" t="str">
        <x:f>IF(A409="","",F409-G409)</x:f>
      </x:c>
      <x:c r="I409" s="12" t="str">
        <x:f>IF(A409="","",SUMIFS('출고대장'!$K$7:$K$1006,'출고대장'!$A$7:$A$1006,A409))</x:f>
      </x:c>
      <x:c r="J409" s="12" t="str">
        <x:f>IF(A409="","",SUMIFS('입금대장'!$C$7:$C$1006,'입금대장'!$A$7:$A$1006,A409,'입금대장'!$E$7:$E$1006,"정상"))</x:f>
      </x:c>
      <x:c r="K409" s="12" t="str">
        <x:f>IF(A409="","",I409-J409)</x:f>
      </x:c>
      <x:c r="L409" s="13" t="str">
        <x:f>IF(A409="","",IF(K409&lt;0,"선입금·초과입금",IF(I409=0,"청구 전",IF(K409=0,"정산 완료",IF(J409=0,"미입금","부분 입금")))))</x:f>
      </x:c>
      <x:c r="M409" s="9"/>
      <x:c r="N409" s="9"/>
    </x:row>
    <x:row r="410" ht="23" customHeight="1">
      <x:c r="A410" s="9"/>
      <x:c r="B410" s="10"/>
      <x:c r="C410" s="9"/>
      <x:c r="D410" s="9"/>
      <x:c r="E410" s="9"/>
      <x:c r="F410" s="11"/>
      <x:c r="G410" s="12" t="str">
        <x:f>IF(A410="","",SUMIFS('출고대장'!$D$7:$D$1006,'출고대장'!$A$7:$A$1006,A410))</x:f>
      </x:c>
      <x:c r="H410" s="12" t="str">
        <x:f>IF(A410="","",F410-G410)</x:f>
      </x:c>
      <x:c r="I410" s="12" t="str">
        <x:f>IF(A410="","",SUMIFS('출고대장'!$K$7:$K$1006,'출고대장'!$A$7:$A$1006,A410))</x:f>
      </x:c>
      <x:c r="J410" s="12" t="str">
        <x:f>IF(A410="","",SUMIFS('입금대장'!$C$7:$C$1006,'입금대장'!$A$7:$A$1006,A410,'입금대장'!$E$7:$E$1006,"정상"))</x:f>
      </x:c>
      <x:c r="K410" s="12" t="str">
        <x:f>IF(A410="","",I410-J410)</x:f>
      </x:c>
      <x:c r="L410" s="13" t="str">
        <x:f>IF(A410="","",IF(K410&lt;0,"선입금·초과입금",IF(I410=0,"청구 전",IF(K410=0,"정산 완료",IF(J410=0,"미입금","부분 입금")))))</x:f>
      </x:c>
      <x:c r="M410" s="9"/>
      <x:c r="N410" s="9"/>
    </x:row>
    <x:row r="411" ht="23" customHeight="1">
      <x:c r="A411" s="9"/>
      <x:c r="B411" s="10"/>
      <x:c r="C411" s="9"/>
      <x:c r="D411" s="9"/>
      <x:c r="E411" s="9"/>
      <x:c r="F411" s="11"/>
      <x:c r="G411" s="12" t="str">
        <x:f>IF(A411="","",SUMIFS('출고대장'!$D$7:$D$1006,'출고대장'!$A$7:$A$1006,A411))</x:f>
      </x:c>
      <x:c r="H411" s="12" t="str">
        <x:f>IF(A411="","",F411-G411)</x:f>
      </x:c>
      <x:c r="I411" s="12" t="str">
        <x:f>IF(A411="","",SUMIFS('출고대장'!$K$7:$K$1006,'출고대장'!$A$7:$A$1006,A411))</x:f>
      </x:c>
      <x:c r="J411" s="12" t="str">
        <x:f>IF(A411="","",SUMIFS('입금대장'!$C$7:$C$1006,'입금대장'!$A$7:$A$1006,A411,'입금대장'!$E$7:$E$1006,"정상"))</x:f>
      </x:c>
      <x:c r="K411" s="12" t="str">
        <x:f>IF(A411="","",I411-J411)</x:f>
      </x:c>
      <x:c r="L411" s="13" t="str">
        <x:f>IF(A411="","",IF(K411&lt;0,"선입금·초과입금",IF(I411=0,"청구 전",IF(K411=0,"정산 완료",IF(J411=0,"미입금","부분 입금")))))</x:f>
      </x:c>
      <x:c r="M411" s="9"/>
      <x:c r="N411" s="9"/>
    </x:row>
    <x:row r="412" ht="23" customHeight="1">
      <x:c r="A412" s="9"/>
      <x:c r="B412" s="10"/>
      <x:c r="C412" s="9"/>
      <x:c r="D412" s="9"/>
      <x:c r="E412" s="9"/>
      <x:c r="F412" s="11"/>
      <x:c r="G412" s="12" t="str">
        <x:f>IF(A412="","",SUMIFS('출고대장'!$D$7:$D$1006,'출고대장'!$A$7:$A$1006,A412))</x:f>
      </x:c>
      <x:c r="H412" s="12" t="str">
        <x:f>IF(A412="","",F412-G412)</x:f>
      </x:c>
      <x:c r="I412" s="12" t="str">
        <x:f>IF(A412="","",SUMIFS('출고대장'!$K$7:$K$1006,'출고대장'!$A$7:$A$1006,A412))</x:f>
      </x:c>
      <x:c r="J412" s="12" t="str">
        <x:f>IF(A412="","",SUMIFS('입금대장'!$C$7:$C$1006,'입금대장'!$A$7:$A$1006,A412,'입금대장'!$E$7:$E$1006,"정상"))</x:f>
      </x:c>
      <x:c r="K412" s="12" t="str">
        <x:f>IF(A412="","",I412-J412)</x:f>
      </x:c>
      <x:c r="L412" s="13" t="str">
        <x:f>IF(A412="","",IF(K412&lt;0,"선입금·초과입금",IF(I412=0,"청구 전",IF(K412=0,"정산 완료",IF(J412=0,"미입금","부분 입금")))))</x:f>
      </x:c>
      <x:c r="M412" s="9"/>
      <x:c r="N412" s="9"/>
    </x:row>
    <x:row r="413" ht="23" customHeight="1">
      <x:c r="A413" s="9"/>
      <x:c r="B413" s="10"/>
      <x:c r="C413" s="9"/>
      <x:c r="D413" s="9"/>
      <x:c r="E413" s="9"/>
      <x:c r="F413" s="11"/>
      <x:c r="G413" s="12" t="str">
        <x:f>IF(A413="","",SUMIFS('출고대장'!$D$7:$D$1006,'출고대장'!$A$7:$A$1006,A413))</x:f>
      </x:c>
      <x:c r="H413" s="12" t="str">
        <x:f>IF(A413="","",F413-G413)</x:f>
      </x:c>
      <x:c r="I413" s="12" t="str">
        <x:f>IF(A413="","",SUMIFS('출고대장'!$K$7:$K$1006,'출고대장'!$A$7:$A$1006,A413))</x:f>
      </x:c>
      <x:c r="J413" s="12" t="str">
        <x:f>IF(A413="","",SUMIFS('입금대장'!$C$7:$C$1006,'입금대장'!$A$7:$A$1006,A413,'입금대장'!$E$7:$E$1006,"정상"))</x:f>
      </x:c>
      <x:c r="K413" s="12" t="str">
        <x:f>IF(A413="","",I413-J413)</x:f>
      </x:c>
      <x:c r="L413" s="13" t="str">
        <x:f>IF(A413="","",IF(K413&lt;0,"선입금·초과입금",IF(I413=0,"청구 전",IF(K413=0,"정산 완료",IF(J413=0,"미입금","부분 입금")))))</x:f>
      </x:c>
      <x:c r="M413" s="9"/>
      <x:c r="N413" s="9"/>
    </x:row>
    <x:row r="414" ht="23" customHeight="1">
      <x:c r="A414" s="9"/>
      <x:c r="B414" s="10"/>
      <x:c r="C414" s="9"/>
      <x:c r="D414" s="9"/>
      <x:c r="E414" s="9"/>
      <x:c r="F414" s="11"/>
      <x:c r="G414" s="12" t="str">
        <x:f>IF(A414="","",SUMIFS('출고대장'!$D$7:$D$1006,'출고대장'!$A$7:$A$1006,A414))</x:f>
      </x:c>
      <x:c r="H414" s="12" t="str">
        <x:f>IF(A414="","",F414-G414)</x:f>
      </x:c>
      <x:c r="I414" s="12" t="str">
        <x:f>IF(A414="","",SUMIFS('출고대장'!$K$7:$K$1006,'출고대장'!$A$7:$A$1006,A414))</x:f>
      </x:c>
      <x:c r="J414" s="12" t="str">
        <x:f>IF(A414="","",SUMIFS('입금대장'!$C$7:$C$1006,'입금대장'!$A$7:$A$1006,A414,'입금대장'!$E$7:$E$1006,"정상"))</x:f>
      </x:c>
      <x:c r="K414" s="12" t="str">
        <x:f>IF(A414="","",I414-J414)</x:f>
      </x:c>
      <x:c r="L414" s="13" t="str">
        <x:f>IF(A414="","",IF(K414&lt;0,"선입금·초과입금",IF(I414=0,"청구 전",IF(K414=0,"정산 완료",IF(J414=0,"미입금","부분 입금")))))</x:f>
      </x:c>
      <x:c r="M414" s="9"/>
      <x:c r="N414" s="9"/>
    </x:row>
    <x:row r="415" ht="23" customHeight="1">
      <x:c r="A415" s="9"/>
      <x:c r="B415" s="10"/>
      <x:c r="C415" s="9"/>
      <x:c r="D415" s="9"/>
      <x:c r="E415" s="9"/>
      <x:c r="F415" s="11"/>
      <x:c r="G415" s="12" t="str">
        <x:f>IF(A415="","",SUMIFS('출고대장'!$D$7:$D$1006,'출고대장'!$A$7:$A$1006,A415))</x:f>
      </x:c>
      <x:c r="H415" s="12" t="str">
        <x:f>IF(A415="","",F415-G415)</x:f>
      </x:c>
      <x:c r="I415" s="12" t="str">
        <x:f>IF(A415="","",SUMIFS('출고대장'!$K$7:$K$1006,'출고대장'!$A$7:$A$1006,A415))</x:f>
      </x:c>
      <x:c r="J415" s="12" t="str">
        <x:f>IF(A415="","",SUMIFS('입금대장'!$C$7:$C$1006,'입금대장'!$A$7:$A$1006,A415,'입금대장'!$E$7:$E$1006,"정상"))</x:f>
      </x:c>
      <x:c r="K415" s="12" t="str">
        <x:f>IF(A415="","",I415-J415)</x:f>
      </x:c>
      <x:c r="L415" s="13" t="str">
        <x:f>IF(A415="","",IF(K415&lt;0,"선입금·초과입금",IF(I415=0,"청구 전",IF(K415=0,"정산 완료",IF(J415=0,"미입금","부분 입금")))))</x:f>
      </x:c>
      <x:c r="M415" s="9"/>
      <x:c r="N415" s="9"/>
    </x:row>
    <x:row r="416" ht="23" customHeight="1">
      <x:c r="A416" s="9"/>
      <x:c r="B416" s="10"/>
      <x:c r="C416" s="9"/>
      <x:c r="D416" s="9"/>
      <x:c r="E416" s="9"/>
      <x:c r="F416" s="11"/>
      <x:c r="G416" s="12" t="str">
        <x:f>IF(A416="","",SUMIFS('출고대장'!$D$7:$D$1006,'출고대장'!$A$7:$A$1006,A416))</x:f>
      </x:c>
      <x:c r="H416" s="12" t="str">
        <x:f>IF(A416="","",F416-G416)</x:f>
      </x:c>
      <x:c r="I416" s="12" t="str">
        <x:f>IF(A416="","",SUMIFS('출고대장'!$K$7:$K$1006,'출고대장'!$A$7:$A$1006,A416))</x:f>
      </x:c>
      <x:c r="J416" s="12" t="str">
        <x:f>IF(A416="","",SUMIFS('입금대장'!$C$7:$C$1006,'입금대장'!$A$7:$A$1006,A416,'입금대장'!$E$7:$E$1006,"정상"))</x:f>
      </x:c>
      <x:c r="K416" s="12" t="str">
        <x:f>IF(A416="","",I416-J416)</x:f>
      </x:c>
      <x:c r="L416" s="13" t="str">
        <x:f>IF(A416="","",IF(K416&lt;0,"선입금·초과입금",IF(I416=0,"청구 전",IF(K416=0,"정산 완료",IF(J416=0,"미입금","부분 입금")))))</x:f>
      </x:c>
      <x:c r="M416" s="9"/>
      <x:c r="N416" s="9"/>
    </x:row>
    <x:row r="417" ht="23" customHeight="1">
      <x:c r="A417" s="9"/>
      <x:c r="B417" s="10"/>
      <x:c r="C417" s="9"/>
      <x:c r="D417" s="9"/>
      <x:c r="E417" s="9"/>
      <x:c r="F417" s="11"/>
      <x:c r="G417" s="12" t="str">
        <x:f>IF(A417="","",SUMIFS('출고대장'!$D$7:$D$1006,'출고대장'!$A$7:$A$1006,A417))</x:f>
      </x:c>
      <x:c r="H417" s="12" t="str">
        <x:f>IF(A417="","",F417-G417)</x:f>
      </x:c>
      <x:c r="I417" s="12" t="str">
        <x:f>IF(A417="","",SUMIFS('출고대장'!$K$7:$K$1006,'출고대장'!$A$7:$A$1006,A417))</x:f>
      </x:c>
      <x:c r="J417" s="12" t="str">
        <x:f>IF(A417="","",SUMIFS('입금대장'!$C$7:$C$1006,'입금대장'!$A$7:$A$1006,A417,'입금대장'!$E$7:$E$1006,"정상"))</x:f>
      </x:c>
      <x:c r="K417" s="12" t="str">
        <x:f>IF(A417="","",I417-J417)</x:f>
      </x:c>
      <x:c r="L417" s="13" t="str">
        <x:f>IF(A417="","",IF(K417&lt;0,"선입금·초과입금",IF(I417=0,"청구 전",IF(K417=0,"정산 완료",IF(J417=0,"미입금","부분 입금")))))</x:f>
      </x:c>
      <x:c r="M417" s="9"/>
      <x:c r="N417" s="9"/>
    </x:row>
    <x:row r="418" ht="23" customHeight="1">
      <x:c r="A418" s="9"/>
      <x:c r="B418" s="10"/>
      <x:c r="C418" s="9"/>
      <x:c r="D418" s="9"/>
      <x:c r="E418" s="9"/>
      <x:c r="F418" s="11"/>
      <x:c r="G418" s="12" t="str">
        <x:f>IF(A418="","",SUMIFS('출고대장'!$D$7:$D$1006,'출고대장'!$A$7:$A$1006,A418))</x:f>
      </x:c>
      <x:c r="H418" s="12" t="str">
        <x:f>IF(A418="","",F418-G418)</x:f>
      </x:c>
      <x:c r="I418" s="12" t="str">
        <x:f>IF(A418="","",SUMIFS('출고대장'!$K$7:$K$1006,'출고대장'!$A$7:$A$1006,A418))</x:f>
      </x:c>
      <x:c r="J418" s="12" t="str">
        <x:f>IF(A418="","",SUMIFS('입금대장'!$C$7:$C$1006,'입금대장'!$A$7:$A$1006,A418,'입금대장'!$E$7:$E$1006,"정상"))</x:f>
      </x:c>
      <x:c r="K418" s="12" t="str">
        <x:f>IF(A418="","",I418-J418)</x:f>
      </x:c>
      <x:c r="L418" s="13" t="str">
        <x:f>IF(A418="","",IF(K418&lt;0,"선입금·초과입금",IF(I418=0,"청구 전",IF(K418=0,"정산 완료",IF(J418=0,"미입금","부분 입금")))))</x:f>
      </x:c>
      <x:c r="M418" s="9"/>
      <x:c r="N418" s="9"/>
    </x:row>
    <x:row r="419" ht="23" customHeight="1">
      <x:c r="A419" s="9"/>
      <x:c r="B419" s="10"/>
      <x:c r="C419" s="9"/>
      <x:c r="D419" s="9"/>
      <x:c r="E419" s="9"/>
      <x:c r="F419" s="11"/>
      <x:c r="G419" s="12" t="str">
        <x:f>IF(A419="","",SUMIFS('출고대장'!$D$7:$D$1006,'출고대장'!$A$7:$A$1006,A419))</x:f>
      </x:c>
      <x:c r="H419" s="12" t="str">
        <x:f>IF(A419="","",F419-G419)</x:f>
      </x:c>
      <x:c r="I419" s="12" t="str">
        <x:f>IF(A419="","",SUMIFS('출고대장'!$K$7:$K$1006,'출고대장'!$A$7:$A$1006,A419))</x:f>
      </x:c>
      <x:c r="J419" s="12" t="str">
        <x:f>IF(A419="","",SUMIFS('입금대장'!$C$7:$C$1006,'입금대장'!$A$7:$A$1006,A419,'입금대장'!$E$7:$E$1006,"정상"))</x:f>
      </x:c>
      <x:c r="K419" s="12" t="str">
        <x:f>IF(A419="","",I419-J419)</x:f>
      </x:c>
      <x:c r="L419" s="13" t="str">
        <x:f>IF(A419="","",IF(K419&lt;0,"선입금·초과입금",IF(I419=0,"청구 전",IF(K419=0,"정산 완료",IF(J419=0,"미입금","부분 입금")))))</x:f>
      </x:c>
      <x:c r="M419" s="9"/>
      <x:c r="N419" s="9"/>
    </x:row>
    <x:row r="420" ht="23" customHeight="1">
      <x:c r="A420" s="9"/>
      <x:c r="B420" s="10"/>
      <x:c r="C420" s="9"/>
      <x:c r="D420" s="9"/>
      <x:c r="E420" s="9"/>
      <x:c r="F420" s="11"/>
      <x:c r="G420" s="12" t="str">
        <x:f>IF(A420="","",SUMIFS('출고대장'!$D$7:$D$1006,'출고대장'!$A$7:$A$1006,A420))</x:f>
      </x:c>
      <x:c r="H420" s="12" t="str">
        <x:f>IF(A420="","",F420-G420)</x:f>
      </x:c>
      <x:c r="I420" s="12" t="str">
        <x:f>IF(A420="","",SUMIFS('출고대장'!$K$7:$K$1006,'출고대장'!$A$7:$A$1006,A420))</x:f>
      </x:c>
      <x:c r="J420" s="12" t="str">
        <x:f>IF(A420="","",SUMIFS('입금대장'!$C$7:$C$1006,'입금대장'!$A$7:$A$1006,A420,'입금대장'!$E$7:$E$1006,"정상"))</x:f>
      </x:c>
      <x:c r="K420" s="12" t="str">
        <x:f>IF(A420="","",I420-J420)</x:f>
      </x:c>
      <x:c r="L420" s="13" t="str">
        <x:f>IF(A420="","",IF(K420&lt;0,"선입금·초과입금",IF(I420=0,"청구 전",IF(K420=0,"정산 완료",IF(J420=0,"미입금","부분 입금")))))</x:f>
      </x:c>
      <x:c r="M420" s="9"/>
      <x:c r="N420" s="9"/>
    </x:row>
    <x:row r="421" ht="23" customHeight="1">
      <x:c r="A421" s="9"/>
      <x:c r="B421" s="10"/>
      <x:c r="C421" s="9"/>
      <x:c r="D421" s="9"/>
      <x:c r="E421" s="9"/>
      <x:c r="F421" s="11"/>
      <x:c r="G421" s="12" t="str">
        <x:f>IF(A421="","",SUMIFS('출고대장'!$D$7:$D$1006,'출고대장'!$A$7:$A$1006,A421))</x:f>
      </x:c>
      <x:c r="H421" s="12" t="str">
        <x:f>IF(A421="","",F421-G421)</x:f>
      </x:c>
      <x:c r="I421" s="12" t="str">
        <x:f>IF(A421="","",SUMIFS('출고대장'!$K$7:$K$1006,'출고대장'!$A$7:$A$1006,A421))</x:f>
      </x:c>
      <x:c r="J421" s="12" t="str">
        <x:f>IF(A421="","",SUMIFS('입금대장'!$C$7:$C$1006,'입금대장'!$A$7:$A$1006,A421,'입금대장'!$E$7:$E$1006,"정상"))</x:f>
      </x:c>
      <x:c r="K421" s="12" t="str">
        <x:f>IF(A421="","",I421-J421)</x:f>
      </x:c>
      <x:c r="L421" s="13" t="str">
        <x:f>IF(A421="","",IF(K421&lt;0,"선입금·초과입금",IF(I421=0,"청구 전",IF(K421=0,"정산 완료",IF(J421=0,"미입금","부분 입금")))))</x:f>
      </x:c>
      <x:c r="M421" s="9"/>
      <x:c r="N421" s="9"/>
    </x:row>
    <x:row r="422" ht="23" customHeight="1">
      <x:c r="A422" s="9"/>
      <x:c r="B422" s="10"/>
      <x:c r="C422" s="9"/>
      <x:c r="D422" s="9"/>
      <x:c r="E422" s="9"/>
      <x:c r="F422" s="11"/>
      <x:c r="G422" s="12" t="str">
        <x:f>IF(A422="","",SUMIFS('출고대장'!$D$7:$D$1006,'출고대장'!$A$7:$A$1006,A422))</x:f>
      </x:c>
      <x:c r="H422" s="12" t="str">
        <x:f>IF(A422="","",F422-G422)</x:f>
      </x:c>
      <x:c r="I422" s="12" t="str">
        <x:f>IF(A422="","",SUMIFS('출고대장'!$K$7:$K$1006,'출고대장'!$A$7:$A$1006,A422))</x:f>
      </x:c>
      <x:c r="J422" s="12" t="str">
        <x:f>IF(A422="","",SUMIFS('입금대장'!$C$7:$C$1006,'입금대장'!$A$7:$A$1006,A422,'입금대장'!$E$7:$E$1006,"정상"))</x:f>
      </x:c>
      <x:c r="K422" s="12" t="str">
        <x:f>IF(A422="","",I422-J422)</x:f>
      </x:c>
      <x:c r="L422" s="13" t="str">
        <x:f>IF(A422="","",IF(K422&lt;0,"선입금·초과입금",IF(I422=0,"청구 전",IF(K422=0,"정산 완료",IF(J422=0,"미입금","부분 입금")))))</x:f>
      </x:c>
      <x:c r="M422" s="9"/>
      <x:c r="N422" s="9"/>
    </x:row>
    <x:row r="423" ht="23" customHeight="1">
      <x:c r="A423" s="9"/>
      <x:c r="B423" s="10"/>
      <x:c r="C423" s="9"/>
      <x:c r="D423" s="9"/>
      <x:c r="E423" s="9"/>
      <x:c r="F423" s="11"/>
      <x:c r="G423" s="12" t="str">
        <x:f>IF(A423="","",SUMIFS('출고대장'!$D$7:$D$1006,'출고대장'!$A$7:$A$1006,A423))</x:f>
      </x:c>
      <x:c r="H423" s="12" t="str">
        <x:f>IF(A423="","",F423-G423)</x:f>
      </x:c>
      <x:c r="I423" s="12" t="str">
        <x:f>IF(A423="","",SUMIFS('출고대장'!$K$7:$K$1006,'출고대장'!$A$7:$A$1006,A423))</x:f>
      </x:c>
      <x:c r="J423" s="12" t="str">
        <x:f>IF(A423="","",SUMIFS('입금대장'!$C$7:$C$1006,'입금대장'!$A$7:$A$1006,A423,'입금대장'!$E$7:$E$1006,"정상"))</x:f>
      </x:c>
      <x:c r="K423" s="12" t="str">
        <x:f>IF(A423="","",I423-J423)</x:f>
      </x:c>
      <x:c r="L423" s="13" t="str">
        <x:f>IF(A423="","",IF(K423&lt;0,"선입금·초과입금",IF(I423=0,"청구 전",IF(K423=0,"정산 완료",IF(J423=0,"미입금","부분 입금")))))</x:f>
      </x:c>
      <x:c r="M423" s="9"/>
      <x:c r="N423" s="9"/>
    </x:row>
    <x:row r="424" ht="23" customHeight="1">
      <x:c r="A424" s="9"/>
      <x:c r="B424" s="10"/>
      <x:c r="C424" s="9"/>
      <x:c r="D424" s="9"/>
      <x:c r="E424" s="9"/>
      <x:c r="F424" s="11"/>
      <x:c r="G424" s="12" t="str">
        <x:f>IF(A424="","",SUMIFS('출고대장'!$D$7:$D$1006,'출고대장'!$A$7:$A$1006,A424))</x:f>
      </x:c>
      <x:c r="H424" s="12" t="str">
        <x:f>IF(A424="","",F424-G424)</x:f>
      </x:c>
      <x:c r="I424" s="12" t="str">
        <x:f>IF(A424="","",SUMIFS('출고대장'!$K$7:$K$1006,'출고대장'!$A$7:$A$1006,A424))</x:f>
      </x:c>
      <x:c r="J424" s="12" t="str">
        <x:f>IF(A424="","",SUMIFS('입금대장'!$C$7:$C$1006,'입금대장'!$A$7:$A$1006,A424,'입금대장'!$E$7:$E$1006,"정상"))</x:f>
      </x:c>
      <x:c r="K424" s="12" t="str">
        <x:f>IF(A424="","",I424-J424)</x:f>
      </x:c>
      <x:c r="L424" s="13" t="str">
        <x:f>IF(A424="","",IF(K424&lt;0,"선입금·초과입금",IF(I424=0,"청구 전",IF(K424=0,"정산 완료",IF(J424=0,"미입금","부분 입금")))))</x:f>
      </x:c>
      <x:c r="M424" s="9"/>
      <x:c r="N424" s="9"/>
    </x:row>
    <x:row r="425" ht="23" customHeight="1">
      <x:c r="A425" s="9"/>
      <x:c r="B425" s="10"/>
      <x:c r="C425" s="9"/>
      <x:c r="D425" s="9"/>
      <x:c r="E425" s="9"/>
      <x:c r="F425" s="11"/>
      <x:c r="G425" s="12" t="str">
        <x:f>IF(A425="","",SUMIFS('출고대장'!$D$7:$D$1006,'출고대장'!$A$7:$A$1006,A425))</x:f>
      </x:c>
      <x:c r="H425" s="12" t="str">
        <x:f>IF(A425="","",F425-G425)</x:f>
      </x:c>
      <x:c r="I425" s="12" t="str">
        <x:f>IF(A425="","",SUMIFS('출고대장'!$K$7:$K$1006,'출고대장'!$A$7:$A$1006,A425))</x:f>
      </x:c>
      <x:c r="J425" s="12" t="str">
        <x:f>IF(A425="","",SUMIFS('입금대장'!$C$7:$C$1006,'입금대장'!$A$7:$A$1006,A425,'입금대장'!$E$7:$E$1006,"정상"))</x:f>
      </x:c>
      <x:c r="K425" s="12" t="str">
        <x:f>IF(A425="","",I425-J425)</x:f>
      </x:c>
      <x:c r="L425" s="13" t="str">
        <x:f>IF(A425="","",IF(K425&lt;0,"선입금·초과입금",IF(I425=0,"청구 전",IF(K425=0,"정산 완료",IF(J425=0,"미입금","부분 입금")))))</x:f>
      </x:c>
      <x:c r="M425" s="9"/>
      <x:c r="N425" s="9"/>
    </x:row>
    <x:row r="426" ht="23" customHeight="1">
      <x:c r="A426" s="9"/>
      <x:c r="B426" s="10"/>
      <x:c r="C426" s="9"/>
      <x:c r="D426" s="9"/>
      <x:c r="E426" s="9"/>
      <x:c r="F426" s="11"/>
      <x:c r="G426" s="12" t="str">
        <x:f>IF(A426="","",SUMIFS('출고대장'!$D$7:$D$1006,'출고대장'!$A$7:$A$1006,A426))</x:f>
      </x:c>
      <x:c r="H426" s="12" t="str">
        <x:f>IF(A426="","",F426-G426)</x:f>
      </x:c>
      <x:c r="I426" s="12" t="str">
        <x:f>IF(A426="","",SUMIFS('출고대장'!$K$7:$K$1006,'출고대장'!$A$7:$A$1006,A426))</x:f>
      </x:c>
      <x:c r="J426" s="12" t="str">
        <x:f>IF(A426="","",SUMIFS('입금대장'!$C$7:$C$1006,'입금대장'!$A$7:$A$1006,A426,'입금대장'!$E$7:$E$1006,"정상"))</x:f>
      </x:c>
      <x:c r="K426" s="12" t="str">
        <x:f>IF(A426="","",I426-J426)</x:f>
      </x:c>
      <x:c r="L426" s="13" t="str">
        <x:f>IF(A426="","",IF(K426&lt;0,"선입금·초과입금",IF(I426=0,"청구 전",IF(K426=0,"정산 완료",IF(J426=0,"미입금","부분 입금")))))</x:f>
      </x:c>
      <x:c r="M426" s="9"/>
      <x:c r="N426" s="9"/>
    </x:row>
    <x:row r="427" ht="23" customHeight="1">
      <x:c r="A427" s="9"/>
      <x:c r="B427" s="10"/>
      <x:c r="C427" s="9"/>
      <x:c r="D427" s="9"/>
      <x:c r="E427" s="9"/>
      <x:c r="F427" s="11"/>
      <x:c r="G427" s="12" t="str">
        <x:f>IF(A427="","",SUMIFS('출고대장'!$D$7:$D$1006,'출고대장'!$A$7:$A$1006,A427))</x:f>
      </x:c>
      <x:c r="H427" s="12" t="str">
        <x:f>IF(A427="","",F427-G427)</x:f>
      </x:c>
      <x:c r="I427" s="12" t="str">
        <x:f>IF(A427="","",SUMIFS('출고대장'!$K$7:$K$1006,'출고대장'!$A$7:$A$1006,A427))</x:f>
      </x:c>
      <x:c r="J427" s="12" t="str">
        <x:f>IF(A427="","",SUMIFS('입금대장'!$C$7:$C$1006,'입금대장'!$A$7:$A$1006,A427,'입금대장'!$E$7:$E$1006,"정상"))</x:f>
      </x:c>
      <x:c r="K427" s="12" t="str">
        <x:f>IF(A427="","",I427-J427)</x:f>
      </x:c>
      <x:c r="L427" s="13" t="str">
        <x:f>IF(A427="","",IF(K427&lt;0,"선입금·초과입금",IF(I427=0,"청구 전",IF(K427=0,"정산 완료",IF(J427=0,"미입금","부분 입금")))))</x:f>
      </x:c>
      <x:c r="M427" s="9"/>
      <x:c r="N427" s="9"/>
    </x:row>
    <x:row r="428" ht="23" customHeight="1">
      <x:c r="A428" s="9"/>
      <x:c r="B428" s="10"/>
      <x:c r="C428" s="9"/>
      <x:c r="D428" s="9"/>
      <x:c r="E428" s="9"/>
      <x:c r="F428" s="11"/>
      <x:c r="G428" s="12" t="str">
        <x:f>IF(A428="","",SUMIFS('출고대장'!$D$7:$D$1006,'출고대장'!$A$7:$A$1006,A428))</x:f>
      </x:c>
      <x:c r="H428" s="12" t="str">
        <x:f>IF(A428="","",F428-G428)</x:f>
      </x:c>
      <x:c r="I428" s="12" t="str">
        <x:f>IF(A428="","",SUMIFS('출고대장'!$K$7:$K$1006,'출고대장'!$A$7:$A$1006,A428))</x:f>
      </x:c>
      <x:c r="J428" s="12" t="str">
        <x:f>IF(A428="","",SUMIFS('입금대장'!$C$7:$C$1006,'입금대장'!$A$7:$A$1006,A428,'입금대장'!$E$7:$E$1006,"정상"))</x:f>
      </x:c>
      <x:c r="K428" s="12" t="str">
        <x:f>IF(A428="","",I428-J428)</x:f>
      </x:c>
      <x:c r="L428" s="13" t="str">
        <x:f>IF(A428="","",IF(K428&lt;0,"선입금·초과입금",IF(I428=0,"청구 전",IF(K428=0,"정산 완료",IF(J428=0,"미입금","부분 입금")))))</x:f>
      </x:c>
      <x:c r="M428" s="9"/>
      <x:c r="N428" s="9"/>
    </x:row>
    <x:row r="429" ht="23" customHeight="1">
      <x:c r="A429" s="9"/>
      <x:c r="B429" s="10"/>
      <x:c r="C429" s="9"/>
      <x:c r="D429" s="9"/>
      <x:c r="E429" s="9"/>
      <x:c r="F429" s="11"/>
      <x:c r="G429" s="12" t="str">
        <x:f>IF(A429="","",SUMIFS('출고대장'!$D$7:$D$1006,'출고대장'!$A$7:$A$1006,A429))</x:f>
      </x:c>
      <x:c r="H429" s="12" t="str">
        <x:f>IF(A429="","",F429-G429)</x:f>
      </x:c>
      <x:c r="I429" s="12" t="str">
        <x:f>IF(A429="","",SUMIFS('출고대장'!$K$7:$K$1006,'출고대장'!$A$7:$A$1006,A429))</x:f>
      </x:c>
      <x:c r="J429" s="12" t="str">
        <x:f>IF(A429="","",SUMIFS('입금대장'!$C$7:$C$1006,'입금대장'!$A$7:$A$1006,A429,'입금대장'!$E$7:$E$1006,"정상"))</x:f>
      </x:c>
      <x:c r="K429" s="12" t="str">
        <x:f>IF(A429="","",I429-J429)</x:f>
      </x:c>
      <x:c r="L429" s="13" t="str">
        <x:f>IF(A429="","",IF(K429&lt;0,"선입금·초과입금",IF(I429=0,"청구 전",IF(K429=0,"정산 완료",IF(J429=0,"미입금","부분 입금")))))</x:f>
      </x:c>
      <x:c r="M429" s="9"/>
      <x:c r="N429" s="9"/>
    </x:row>
    <x:row r="430" ht="23" customHeight="1">
      <x:c r="A430" s="9"/>
      <x:c r="B430" s="10"/>
      <x:c r="C430" s="9"/>
      <x:c r="D430" s="9"/>
      <x:c r="E430" s="9"/>
      <x:c r="F430" s="11"/>
      <x:c r="G430" s="12" t="str">
        <x:f>IF(A430="","",SUMIFS('출고대장'!$D$7:$D$1006,'출고대장'!$A$7:$A$1006,A430))</x:f>
      </x:c>
      <x:c r="H430" s="12" t="str">
        <x:f>IF(A430="","",F430-G430)</x:f>
      </x:c>
      <x:c r="I430" s="12" t="str">
        <x:f>IF(A430="","",SUMIFS('출고대장'!$K$7:$K$1006,'출고대장'!$A$7:$A$1006,A430))</x:f>
      </x:c>
      <x:c r="J430" s="12" t="str">
        <x:f>IF(A430="","",SUMIFS('입금대장'!$C$7:$C$1006,'입금대장'!$A$7:$A$1006,A430,'입금대장'!$E$7:$E$1006,"정상"))</x:f>
      </x:c>
      <x:c r="K430" s="12" t="str">
        <x:f>IF(A430="","",I430-J430)</x:f>
      </x:c>
      <x:c r="L430" s="13" t="str">
        <x:f>IF(A430="","",IF(K430&lt;0,"선입금·초과입금",IF(I430=0,"청구 전",IF(K430=0,"정산 완료",IF(J430=0,"미입금","부분 입금")))))</x:f>
      </x:c>
      <x:c r="M430" s="9"/>
      <x:c r="N430" s="9"/>
    </x:row>
    <x:row r="431" ht="23" customHeight="1">
      <x:c r="A431" s="9"/>
      <x:c r="B431" s="10"/>
      <x:c r="C431" s="9"/>
      <x:c r="D431" s="9"/>
      <x:c r="E431" s="9"/>
      <x:c r="F431" s="11"/>
      <x:c r="G431" s="12" t="str">
        <x:f>IF(A431="","",SUMIFS('출고대장'!$D$7:$D$1006,'출고대장'!$A$7:$A$1006,A431))</x:f>
      </x:c>
      <x:c r="H431" s="12" t="str">
        <x:f>IF(A431="","",F431-G431)</x:f>
      </x:c>
      <x:c r="I431" s="12" t="str">
        <x:f>IF(A431="","",SUMIFS('출고대장'!$K$7:$K$1006,'출고대장'!$A$7:$A$1006,A431))</x:f>
      </x:c>
      <x:c r="J431" s="12" t="str">
        <x:f>IF(A431="","",SUMIFS('입금대장'!$C$7:$C$1006,'입금대장'!$A$7:$A$1006,A431,'입금대장'!$E$7:$E$1006,"정상"))</x:f>
      </x:c>
      <x:c r="K431" s="12" t="str">
        <x:f>IF(A431="","",I431-J431)</x:f>
      </x:c>
      <x:c r="L431" s="13" t="str">
        <x:f>IF(A431="","",IF(K431&lt;0,"선입금·초과입금",IF(I431=0,"청구 전",IF(K431=0,"정산 완료",IF(J431=0,"미입금","부분 입금")))))</x:f>
      </x:c>
      <x:c r="M431" s="9"/>
      <x:c r="N431" s="9"/>
    </x:row>
    <x:row r="432" ht="23" customHeight="1">
      <x:c r="A432" s="9"/>
      <x:c r="B432" s="10"/>
      <x:c r="C432" s="9"/>
      <x:c r="D432" s="9"/>
      <x:c r="E432" s="9"/>
      <x:c r="F432" s="11"/>
      <x:c r="G432" s="12" t="str">
        <x:f>IF(A432="","",SUMIFS('출고대장'!$D$7:$D$1006,'출고대장'!$A$7:$A$1006,A432))</x:f>
      </x:c>
      <x:c r="H432" s="12" t="str">
        <x:f>IF(A432="","",F432-G432)</x:f>
      </x:c>
      <x:c r="I432" s="12" t="str">
        <x:f>IF(A432="","",SUMIFS('출고대장'!$K$7:$K$1006,'출고대장'!$A$7:$A$1006,A432))</x:f>
      </x:c>
      <x:c r="J432" s="12" t="str">
        <x:f>IF(A432="","",SUMIFS('입금대장'!$C$7:$C$1006,'입금대장'!$A$7:$A$1006,A432,'입금대장'!$E$7:$E$1006,"정상"))</x:f>
      </x:c>
      <x:c r="K432" s="12" t="str">
        <x:f>IF(A432="","",I432-J432)</x:f>
      </x:c>
      <x:c r="L432" s="13" t="str">
        <x:f>IF(A432="","",IF(K432&lt;0,"선입금·초과입금",IF(I432=0,"청구 전",IF(K432=0,"정산 완료",IF(J432=0,"미입금","부분 입금")))))</x:f>
      </x:c>
      <x:c r="M432" s="9"/>
      <x:c r="N432" s="9"/>
    </x:row>
    <x:row r="433" ht="23" customHeight="1">
      <x:c r="A433" s="9"/>
      <x:c r="B433" s="10"/>
      <x:c r="C433" s="9"/>
      <x:c r="D433" s="9"/>
      <x:c r="E433" s="9"/>
      <x:c r="F433" s="11"/>
      <x:c r="G433" s="12" t="str">
        <x:f>IF(A433="","",SUMIFS('출고대장'!$D$7:$D$1006,'출고대장'!$A$7:$A$1006,A433))</x:f>
      </x:c>
      <x:c r="H433" s="12" t="str">
        <x:f>IF(A433="","",F433-G433)</x:f>
      </x:c>
      <x:c r="I433" s="12" t="str">
        <x:f>IF(A433="","",SUMIFS('출고대장'!$K$7:$K$1006,'출고대장'!$A$7:$A$1006,A433))</x:f>
      </x:c>
      <x:c r="J433" s="12" t="str">
        <x:f>IF(A433="","",SUMIFS('입금대장'!$C$7:$C$1006,'입금대장'!$A$7:$A$1006,A433,'입금대장'!$E$7:$E$1006,"정상"))</x:f>
      </x:c>
      <x:c r="K433" s="12" t="str">
        <x:f>IF(A433="","",I433-J433)</x:f>
      </x:c>
      <x:c r="L433" s="13" t="str">
        <x:f>IF(A433="","",IF(K433&lt;0,"선입금·초과입금",IF(I433=0,"청구 전",IF(K433=0,"정산 완료",IF(J433=0,"미입금","부분 입금")))))</x:f>
      </x:c>
      <x:c r="M433" s="9"/>
      <x:c r="N433" s="9"/>
    </x:row>
    <x:row r="434" ht="23" customHeight="1">
      <x:c r="A434" s="9"/>
      <x:c r="B434" s="10"/>
      <x:c r="C434" s="9"/>
      <x:c r="D434" s="9"/>
      <x:c r="E434" s="9"/>
      <x:c r="F434" s="11"/>
      <x:c r="G434" s="12" t="str">
        <x:f>IF(A434="","",SUMIFS('출고대장'!$D$7:$D$1006,'출고대장'!$A$7:$A$1006,A434))</x:f>
      </x:c>
      <x:c r="H434" s="12" t="str">
        <x:f>IF(A434="","",F434-G434)</x:f>
      </x:c>
      <x:c r="I434" s="12" t="str">
        <x:f>IF(A434="","",SUMIFS('출고대장'!$K$7:$K$1006,'출고대장'!$A$7:$A$1006,A434))</x:f>
      </x:c>
      <x:c r="J434" s="12" t="str">
        <x:f>IF(A434="","",SUMIFS('입금대장'!$C$7:$C$1006,'입금대장'!$A$7:$A$1006,A434,'입금대장'!$E$7:$E$1006,"정상"))</x:f>
      </x:c>
      <x:c r="K434" s="12" t="str">
        <x:f>IF(A434="","",I434-J434)</x:f>
      </x:c>
      <x:c r="L434" s="13" t="str">
        <x:f>IF(A434="","",IF(K434&lt;0,"선입금·초과입금",IF(I434=0,"청구 전",IF(K434=0,"정산 완료",IF(J434=0,"미입금","부분 입금")))))</x:f>
      </x:c>
      <x:c r="M434" s="9"/>
      <x:c r="N434" s="9"/>
    </x:row>
    <x:row r="435" ht="23" customHeight="1">
      <x:c r="A435" s="9"/>
      <x:c r="B435" s="10"/>
      <x:c r="C435" s="9"/>
      <x:c r="D435" s="9"/>
      <x:c r="E435" s="9"/>
      <x:c r="F435" s="11"/>
      <x:c r="G435" s="12" t="str">
        <x:f>IF(A435="","",SUMIFS('출고대장'!$D$7:$D$1006,'출고대장'!$A$7:$A$1006,A435))</x:f>
      </x:c>
      <x:c r="H435" s="12" t="str">
        <x:f>IF(A435="","",F435-G435)</x:f>
      </x:c>
      <x:c r="I435" s="12" t="str">
        <x:f>IF(A435="","",SUMIFS('출고대장'!$K$7:$K$1006,'출고대장'!$A$7:$A$1006,A435))</x:f>
      </x:c>
      <x:c r="J435" s="12" t="str">
        <x:f>IF(A435="","",SUMIFS('입금대장'!$C$7:$C$1006,'입금대장'!$A$7:$A$1006,A435,'입금대장'!$E$7:$E$1006,"정상"))</x:f>
      </x:c>
      <x:c r="K435" s="12" t="str">
        <x:f>IF(A435="","",I435-J435)</x:f>
      </x:c>
      <x:c r="L435" s="13" t="str">
        <x:f>IF(A435="","",IF(K435&lt;0,"선입금·초과입금",IF(I435=0,"청구 전",IF(K435=0,"정산 완료",IF(J435=0,"미입금","부분 입금")))))</x:f>
      </x:c>
      <x:c r="M435" s="9"/>
      <x:c r="N435" s="9"/>
    </x:row>
    <x:row r="436" ht="23" customHeight="1">
      <x:c r="A436" s="9"/>
      <x:c r="B436" s="10"/>
      <x:c r="C436" s="9"/>
      <x:c r="D436" s="9"/>
      <x:c r="E436" s="9"/>
      <x:c r="F436" s="11"/>
      <x:c r="G436" s="12" t="str">
        <x:f>IF(A436="","",SUMIFS('출고대장'!$D$7:$D$1006,'출고대장'!$A$7:$A$1006,A436))</x:f>
      </x:c>
      <x:c r="H436" s="12" t="str">
        <x:f>IF(A436="","",F436-G436)</x:f>
      </x:c>
      <x:c r="I436" s="12" t="str">
        <x:f>IF(A436="","",SUMIFS('출고대장'!$K$7:$K$1006,'출고대장'!$A$7:$A$1006,A436))</x:f>
      </x:c>
      <x:c r="J436" s="12" t="str">
        <x:f>IF(A436="","",SUMIFS('입금대장'!$C$7:$C$1006,'입금대장'!$A$7:$A$1006,A436,'입금대장'!$E$7:$E$1006,"정상"))</x:f>
      </x:c>
      <x:c r="K436" s="12" t="str">
        <x:f>IF(A436="","",I436-J436)</x:f>
      </x:c>
      <x:c r="L436" s="13" t="str">
        <x:f>IF(A436="","",IF(K436&lt;0,"선입금·초과입금",IF(I436=0,"청구 전",IF(K436=0,"정산 완료",IF(J436=0,"미입금","부분 입금")))))</x:f>
      </x:c>
      <x:c r="M436" s="9"/>
      <x:c r="N436" s="9"/>
    </x:row>
    <x:row r="437" ht="23" customHeight="1">
      <x:c r="A437" s="9"/>
      <x:c r="B437" s="10"/>
      <x:c r="C437" s="9"/>
      <x:c r="D437" s="9"/>
      <x:c r="E437" s="9"/>
      <x:c r="F437" s="11"/>
      <x:c r="G437" s="12" t="str">
        <x:f>IF(A437="","",SUMIFS('출고대장'!$D$7:$D$1006,'출고대장'!$A$7:$A$1006,A437))</x:f>
      </x:c>
      <x:c r="H437" s="12" t="str">
        <x:f>IF(A437="","",F437-G437)</x:f>
      </x:c>
      <x:c r="I437" s="12" t="str">
        <x:f>IF(A437="","",SUMIFS('출고대장'!$K$7:$K$1006,'출고대장'!$A$7:$A$1006,A437))</x:f>
      </x:c>
      <x:c r="J437" s="12" t="str">
        <x:f>IF(A437="","",SUMIFS('입금대장'!$C$7:$C$1006,'입금대장'!$A$7:$A$1006,A437,'입금대장'!$E$7:$E$1006,"정상"))</x:f>
      </x:c>
      <x:c r="K437" s="12" t="str">
        <x:f>IF(A437="","",I437-J437)</x:f>
      </x:c>
      <x:c r="L437" s="13" t="str">
        <x:f>IF(A437="","",IF(K437&lt;0,"선입금·초과입금",IF(I437=0,"청구 전",IF(K437=0,"정산 완료",IF(J437=0,"미입금","부분 입금")))))</x:f>
      </x:c>
      <x:c r="M437" s="9"/>
      <x:c r="N437" s="9"/>
    </x:row>
    <x:row r="438" ht="23" customHeight="1">
      <x:c r="A438" s="9"/>
      <x:c r="B438" s="10"/>
      <x:c r="C438" s="9"/>
      <x:c r="D438" s="9"/>
      <x:c r="E438" s="9"/>
      <x:c r="F438" s="11"/>
      <x:c r="G438" s="12" t="str">
        <x:f>IF(A438="","",SUMIFS('출고대장'!$D$7:$D$1006,'출고대장'!$A$7:$A$1006,A438))</x:f>
      </x:c>
      <x:c r="H438" s="12" t="str">
        <x:f>IF(A438="","",F438-G438)</x:f>
      </x:c>
      <x:c r="I438" s="12" t="str">
        <x:f>IF(A438="","",SUMIFS('출고대장'!$K$7:$K$1006,'출고대장'!$A$7:$A$1006,A438))</x:f>
      </x:c>
      <x:c r="J438" s="12" t="str">
        <x:f>IF(A438="","",SUMIFS('입금대장'!$C$7:$C$1006,'입금대장'!$A$7:$A$1006,A438,'입금대장'!$E$7:$E$1006,"정상"))</x:f>
      </x:c>
      <x:c r="K438" s="12" t="str">
        <x:f>IF(A438="","",I438-J438)</x:f>
      </x:c>
      <x:c r="L438" s="13" t="str">
        <x:f>IF(A438="","",IF(K438&lt;0,"선입금·초과입금",IF(I438=0,"청구 전",IF(K438=0,"정산 완료",IF(J438=0,"미입금","부분 입금")))))</x:f>
      </x:c>
      <x:c r="M438" s="9"/>
      <x:c r="N438" s="9"/>
    </x:row>
    <x:row r="439" ht="23" customHeight="1">
      <x:c r="A439" s="9"/>
      <x:c r="B439" s="10"/>
      <x:c r="C439" s="9"/>
      <x:c r="D439" s="9"/>
      <x:c r="E439" s="9"/>
      <x:c r="F439" s="11"/>
      <x:c r="G439" s="12" t="str">
        <x:f>IF(A439="","",SUMIFS('출고대장'!$D$7:$D$1006,'출고대장'!$A$7:$A$1006,A439))</x:f>
      </x:c>
      <x:c r="H439" s="12" t="str">
        <x:f>IF(A439="","",F439-G439)</x:f>
      </x:c>
      <x:c r="I439" s="12" t="str">
        <x:f>IF(A439="","",SUMIFS('출고대장'!$K$7:$K$1006,'출고대장'!$A$7:$A$1006,A439))</x:f>
      </x:c>
      <x:c r="J439" s="12" t="str">
        <x:f>IF(A439="","",SUMIFS('입금대장'!$C$7:$C$1006,'입금대장'!$A$7:$A$1006,A439,'입금대장'!$E$7:$E$1006,"정상"))</x:f>
      </x:c>
      <x:c r="K439" s="12" t="str">
        <x:f>IF(A439="","",I439-J439)</x:f>
      </x:c>
      <x:c r="L439" s="13" t="str">
        <x:f>IF(A439="","",IF(K439&lt;0,"선입금·초과입금",IF(I439=0,"청구 전",IF(K439=0,"정산 완료",IF(J439=0,"미입금","부분 입금")))))</x:f>
      </x:c>
      <x:c r="M439" s="9"/>
      <x:c r="N439" s="9"/>
    </x:row>
    <x:row r="440" ht="23" customHeight="1">
      <x:c r="A440" s="9"/>
      <x:c r="B440" s="10"/>
      <x:c r="C440" s="9"/>
      <x:c r="D440" s="9"/>
      <x:c r="E440" s="9"/>
      <x:c r="F440" s="11"/>
      <x:c r="G440" s="12" t="str">
        <x:f>IF(A440="","",SUMIFS('출고대장'!$D$7:$D$1006,'출고대장'!$A$7:$A$1006,A440))</x:f>
      </x:c>
      <x:c r="H440" s="12" t="str">
        <x:f>IF(A440="","",F440-G440)</x:f>
      </x:c>
      <x:c r="I440" s="12" t="str">
        <x:f>IF(A440="","",SUMIFS('출고대장'!$K$7:$K$1006,'출고대장'!$A$7:$A$1006,A440))</x:f>
      </x:c>
      <x:c r="J440" s="12" t="str">
        <x:f>IF(A440="","",SUMIFS('입금대장'!$C$7:$C$1006,'입금대장'!$A$7:$A$1006,A440,'입금대장'!$E$7:$E$1006,"정상"))</x:f>
      </x:c>
      <x:c r="K440" s="12" t="str">
        <x:f>IF(A440="","",I440-J440)</x:f>
      </x:c>
      <x:c r="L440" s="13" t="str">
        <x:f>IF(A440="","",IF(K440&lt;0,"선입금·초과입금",IF(I440=0,"청구 전",IF(K440=0,"정산 완료",IF(J440=0,"미입금","부분 입금")))))</x:f>
      </x:c>
      <x:c r="M440" s="9"/>
      <x:c r="N440" s="9"/>
    </x:row>
    <x:row r="441" ht="23" customHeight="1">
      <x:c r="A441" s="9"/>
      <x:c r="B441" s="10"/>
      <x:c r="C441" s="9"/>
      <x:c r="D441" s="9"/>
      <x:c r="E441" s="9"/>
      <x:c r="F441" s="11"/>
      <x:c r="G441" s="12" t="str">
        <x:f>IF(A441="","",SUMIFS('출고대장'!$D$7:$D$1006,'출고대장'!$A$7:$A$1006,A441))</x:f>
      </x:c>
      <x:c r="H441" s="12" t="str">
        <x:f>IF(A441="","",F441-G441)</x:f>
      </x:c>
      <x:c r="I441" s="12" t="str">
        <x:f>IF(A441="","",SUMIFS('출고대장'!$K$7:$K$1006,'출고대장'!$A$7:$A$1006,A441))</x:f>
      </x:c>
      <x:c r="J441" s="12" t="str">
        <x:f>IF(A441="","",SUMIFS('입금대장'!$C$7:$C$1006,'입금대장'!$A$7:$A$1006,A441,'입금대장'!$E$7:$E$1006,"정상"))</x:f>
      </x:c>
      <x:c r="K441" s="12" t="str">
        <x:f>IF(A441="","",I441-J441)</x:f>
      </x:c>
      <x:c r="L441" s="13" t="str">
        <x:f>IF(A441="","",IF(K441&lt;0,"선입금·초과입금",IF(I441=0,"청구 전",IF(K441=0,"정산 완료",IF(J441=0,"미입금","부분 입금")))))</x:f>
      </x:c>
      <x:c r="M441" s="9"/>
      <x:c r="N441" s="9"/>
    </x:row>
    <x:row r="442" ht="23" customHeight="1">
      <x:c r="A442" s="9"/>
      <x:c r="B442" s="10"/>
      <x:c r="C442" s="9"/>
      <x:c r="D442" s="9"/>
      <x:c r="E442" s="9"/>
      <x:c r="F442" s="11"/>
      <x:c r="G442" s="12" t="str">
        <x:f>IF(A442="","",SUMIFS('출고대장'!$D$7:$D$1006,'출고대장'!$A$7:$A$1006,A442))</x:f>
      </x:c>
      <x:c r="H442" s="12" t="str">
        <x:f>IF(A442="","",F442-G442)</x:f>
      </x:c>
      <x:c r="I442" s="12" t="str">
        <x:f>IF(A442="","",SUMIFS('출고대장'!$K$7:$K$1006,'출고대장'!$A$7:$A$1006,A442))</x:f>
      </x:c>
      <x:c r="J442" s="12" t="str">
        <x:f>IF(A442="","",SUMIFS('입금대장'!$C$7:$C$1006,'입금대장'!$A$7:$A$1006,A442,'입금대장'!$E$7:$E$1006,"정상"))</x:f>
      </x:c>
      <x:c r="K442" s="12" t="str">
        <x:f>IF(A442="","",I442-J442)</x:f>
      </x:c>
      <x:c r="L442" s="13" t="str">
        <x:f>IF(A442="","",IF(K442&lt;0,"선입금·초과입금",IF(I442=0,"청구 전",IF(K442=0,"정산 완료",IF(J442=0,"미입금","부분 입금")))))</x:f>
      </x:c>
      <x:c r="M442" s="9"/>
      <x:c r="N442" s="9"/>
    </x:row>
    <x:row r="443" ht="23" customHeight="1">
      <x:c r="A443" s="9"/>
      <x:c r="B443" s="10"/>
      <x:c r="C443" s="9"/>
      <x:c r="D443" s="9"/>
      <x:c r="E443" s="9"/>
      <x:c r="F443" s="11"/>
      <x:c r="G443" s="12" t="str">
        <x:f>IF(A443="","",SUMIFS('출고대장'!$D$7:$D$1006,'출고대장'!$A$7:$A$1006,A443))</x:f>
      </x:c>
      <x:c r="H443" s="12" t="str">
        <x:f>IF(A443="","",F443-G443)</x:f>
      </x:c>
      <x:c r="I443" s="12" t="str">
        <x:f>IF(A443="","",SUMIFS('출고대장'!$K$7:$K$1006,'출고대장'!$A$7:$A$1006,A443))</x:f>
      </x:c>
      <x:c r="J443" s="12" t="str">
        <x:f>IF(A443="","",SUMIFS('입금대장'!$C$7:$C$1006,'입금대장'!$A$7:$A$1006,A443,'입금대장'!$E$7:$E$1006,"정상"))</x:f>
      </x:c>
      <x:c r="K443" s="12" t="str">
        <x:f>IF(A443="","",I443-J443)</x:f>
      </x:c>
      <x:c r="L443" s="13" t="str">
        <x:f>IF(A443="","",IF(K443&lt;0,"선입금·초과입금",IF(I443=0,"청구 전",IF(K443=0,"정산 완료",IF(J443=0,"미입금","부분 입금")))))</x:f>
      </x:c>
      <x:c r="M443" s="9"/>
      <x:c r="N443" s="9"/>
    </x:row>
    <x:row r="444" ht="23" customHeight="1">
      <x:c r="A444" s="9"/>
      <x:c r="B444" s="10"/>
      <x:c r="C444" s="9"/>
      <x:c r="D444" s="9"/>
      <x:c r="E444" s="9"/>
      <x:c r="F444" s="11"/>
      <x:c r="G444" s="12" t="str">
        <x:f>IF(A444="","",SUMIFS('출고대장'!$D$7:$D$1006,'출고대장'!$A$7:$A$1006,A444))</x:f>
      </x:c>
      <x:c r="H444" s="12" t="str">
        <x:f>IF(A444="","",F444-G444)</x:f>
      </x:c>
      <x:c r="I444" s="12" t="str">
        <x:f>IF(A444="","",SUMIFS('출고대장'!$K$7:$K$1006,'출고대장'!$A$7:$A$1006,A444))</x:f>
      </x:c>
      <x:c r="J444" s="12" t="str">
        <x:f>IF(A444="","",SUMIFS('입금대장'!$C$7:$C$1006,'입금대장'!$A$7:$A$1006,A444,'입금대장'!$E$7:$E$1006,"정상"))</x:f>
      </x:c>
      <x:c r="K444" s="12" t="str">
        <x:f>IF(A444="","",I444-J444)</x:f>
      </x:c>
      <x:c r="L444" s="13" t="str">
        <x:f>IF(A444="","",IF(K444&lt;0,"선입금·초과입금",IF(I444=0,"청구 전",IF(K444=0,"정산 완료",IF(J444=0,"미입금","부분 입금")))))</x:f>
      </x:c>
      <x:c r="M444" s="9"/>
      <x:c r="N444" s="9"/>
    </x:row>
    <x:row r="445" ht="23" customHeight="1">
      <x:c r="A445" s="9"/>
      <x:c r="B445" s="10"/>
      <x:c r="C445" s="9"/>
      <x:c r="D445" s="9"/>
      <x:c r="E445" s="9"/>
      <x:c r="F445" s="11"/>
      <x:c r="G445" s="12" t="str">
        <x:f>IF(A445="","",SUMIFS('출고대장'!$D$7:$D$1006,'출고대장'!$A$7:$A$1006,A445))</x:f>
      </x:c>
      <x:c r="H445" s="12" t="str">
        <x:f>IF(A445="","",F445-G445)</x:f>
      </x:c>
      <x:c r="I445" s="12" t="str">
        <x:f>IF(A445="","",SUMIFS('출고대장'!$K$7:$K$1006,'출고대장'!$A$7:$A$1006,A445))</x:f>
      </x:c>
      <x:c r="J445" s="12" t="str">
        <x:f>IF(A445="","",SUMIFS('입금대장'!$C$7:$C$1006,'입금대장'!$A$7:$A$1006,A445,'입금대장'!$E$7:$E$1006,"정상"))</x:f>
      </x:c>
      <x:c r="K445" s="12" t="str">
        <x:f>IF(A445="","",I445-J445)</x:f>
      </x:c>
      <x:c r="L445" s="13" t="str">
        <x:f>IF(A445="","",IF(K445&lt;0,"선입금·초과입금",IF(I445=0,"청구 전",IF(K445=0,"정산 완료",IF(J445=0,"미입금","부분 입금")))))</x:f>
      </x:c>
      <x:c r="M445" s="9"/>
      <x:c r="N445" s="9"/>
    </x:row>
    <x:row r="446" ht="23" customHeight="1">
      <x:c r="A446" s="9"/>
      <x:c r="B446" s="10"/>
      <x:c r="C446" s="9"/>
      <x:c r="D446" s="9"/>
      <x:c r="E446" s="9"/>
      <x:c r="F446" s="11"/>
      <x:c r="G446" s="12" t="str">
        <x:f>IF(A446="","",SUMIFS('출고대장'!$D$7:$D$1006,'출고대장'!$A$7:$A$1006,A446))</x:f>
      </x:c>
      <x:c r="H446" s="12" t="str">
        <x:f>IF(A446="","",F446-G446)</x:f>
      </x:c>
      <x:c r="I446" s="12" t="str">
        <x:f>IF(A446="","",SUMIFS('출고대장'!$K$7:$K$1006,'출고대장'!$A$7:$A$1006,A446))</x:f>
      </x:c>
      <x:c r="J446" s="12" t="str">
        <x:f>IF(A446="","",SUMIFS('입금대장'!$C$7:$C$1006,'입금대장'!$A$7:$A$1006,A446,'입금대장'!$E$7:$E$1006,"정상"))</x:f>
      </x:c>
      <x:c r="K446" s="12" t="str">
        <x:f>IF(A446="","",I446-J446)</x:f>
      </x:c>
      <x:c r="L446" s="13" t="str">
        <x:f>IF(A446="","",IF(K446&lt;0,"선입금·초과입금",IF(I446=0,"청구 전",IF(K446=0,"정산 완료",IF(J446=0,"미입금","부분 입금")))))</x:f>
      </x:c>
      <x:c r="M446" s="9"/>
      <x:c r="N446" s="9"/>
    </x:row>
    <x:row r="447" ht="23" customHeight="1">
      <x:c r="A447" s="9"/>
      <x:c r="B447" s="10"/>
      <x:c r="C447" s="9"/>
      <x:c r="D447" s="9"/>
      <x:c r="E447" s="9"/>
      <x:c r="F447" s="11"/>
      <x:c r="G447" s="12" t="str">
        <x:f>IF(A447="","",SUMIFS('출고대장'!$D$7:$D$1006,'출고대장'!$A$7:$A$1006,A447))</x:f>
      </x:c>
      <x:c r="H447" s="12" t="str">
        <x:f>IF(A447="","",F447-G447)</x:f>
      </x:c>
      <x:c r="I447" s="12" t="str">
        <x:f>IF(A447="","",SUMIFS('출고대장'!$K$7:$K$1006,'출고대장'!$A$7:$A$1006,A447))</x:f>
      </x:c>
      <x:c r="J447" s="12" t="str">
        <x:f>IF(A447="","",SUMIFS('입금대장'!$C$7:$C$1006,'입금대장'!$A$7:$A$1006,A447,'입금대장'!$E$7:$E$1006,"정상"))</x:f>
      </x:c>
      <x:c r="K447" s="12" t="str">
        <x:f>IF(A447="","",I447-J447)</x:f>
      </x:c>
      <x:c r="L447" s="13" t="str">
        <x:f>IF(A447="","",IF(K447&lt;0,"선입금·초과입금",IF(I447=0,"청구 전",IF(K447=0,"정산 완료",IF(J447=0,"미입금","부분 입금")))))</x:f>
      </x:c>
      <x:c r="M447" s="9"/>
      <x:c r="N447" s="9"/>
    </x:row>
    <x:row r="448" ht="23" customHeight="1">
      <x:c r="A448" s="9"/>
      <x:c r="B448" s="10"/>
      <x:c r="C448" s="9"/>
      <x:c r="D448" s="9"/>
      <x:c r="E448" s="9"/>
      <x:c r="F448" s="11"/>
      <x:c r="G448" s="12" t="str">
        <x:f>IF(A448="","",SUMIFS('출고대장'!$D$7:$D$1006,'출고대장'!$A$7:$A$1006,A448))</x:f>
      </x:c>
      <x:c r="H448" s="12" t="str">
        <x:f>IF(A448="","",F448-G448)</x:f>
      </x:c>
      <x:c r="I448" s="12" t="str">
        <x:f>IF(A448="","",SUMIFS('출고대장'!$K$7:$K$1006,'출고대장'!$A$7:$A$1006,A448))</x:f>
      </x:c>
      <x:c r="J448" s="12" t="str">
        <x:f>IF(A448="","",SUMIFS('입금대장'!$C$7:$C$1006,'입금대장'!$A$7:$A$1006,A448,'입금대장'!$E$7:$E$1006,"정상"))</x:f>
      </x:c>
      <x:c r="K448" s="12" t="str">
        <x:f>IF(A448="","",I448-J448)</x:f>
      </x:c>
      <x:c r="L448" s="13" t="str">
        <x:f>IF(A448="","",IF(K448&lt;0,"선입금·초과입금",IF(I448=0,"청구 전",IF(K448=0,"정산 완료",IF(J448=0,"미입금","부분 입금")))))</x:f>
      </x:c>
      <x:c r="M448" s="9"/>
      <x:c r="N448" s="9"/>
    </x:row>
    <x:row r="449" ht="23" customHeight="1">
      <x:c r="A449" s="9"/>
      <x:c r="B449" s="10"/>
      <x:c r="C449" s="9"/>
      <x:c r="D449" s="9"/>
      <x:c r="E449" s="9"/>
      <x:c r="F449" s="11"/>
      <x:c r="G449" s="12" t="str">
        <x:f>IF(A449="","",SUMIFS('출고대장'!$D$7:$D$1006,'출고대장'!$A$7:$A$1006,A449))</x:f>
      </x:c>
      <x:c r="H449" s="12" t="str">
        <x:f>IF(A449="","",F449-G449)</x:f>
      </x:c>
      <x:c r="I449" s="12" t="str">
        <x:f>IF(A449="","",SUMIFS('출고대장'!$K$7:$K$1006,'출고대장'!$A$7:$A$1006,A449))</x:f>
      </x:c>
      <x:c r="J449" s="12" t="str">
        <x:f>IF(A449="","",SUMIFS('입금대장'!$C$7:$C$1006,'입금대장'!$A$7:$A$1006,A449,'입금대장'!$E$7:$E$1006,"정상"))</x:f>
      </x:c>
      <x:c r="K449" s="12" t="str">
        <x:f>IF(A449="","",I449-J449)</x:f>
      </x:c>
      <x:c r="L449" s="13" t="str">
        <x:f>IF(A449="","",IF(K449&lt;0,"선입금·초과입금",IF(I449=0,"청구 전",IF(K449=0,"정산 완료",IF(J449=0,"미입금","부분 입금")))))</x:f>
      </x:c>
      <x:c r="M449" s="9"/>
      <x:c r="N449" s="9"/>
    </x:row>
    <x:row r="450" ht="23" customHeight="1">
      <x:c r="A450" s="9"/>
      <x:c r="B450" s="10"/>
      <x:c r="C450" s="9"/>
      <x:c r="D450" s="9"/>
      <x:c r="E450" s="9"/>
      <x:c r="F450" s="11"/>
      <x:c r="G450" s="12" t="str">
        <x:f>IF(A450="","",SUMIFS('출고대장'!$D$7:$D$1006,'출고대장'!$A$7:$A$1006,A450))</x:f>
      </x:c>
      <x:c r="H450" s="12" t="str">
        <x:f>IF(A450="","",F450-G450)</x:f>
      </x:c>
      <x:c r="I450" s="12" t="str">
        <x:f>IF(A450="","",SUMIFS('출고대장'!$K$7:$K$1006,'출고대장'!$A$7:$A$1006,A450))</x:f>
      </x:c>
      <x:c r="J450" s="12" t="str">
        <x:f>IF(A450="","",SUMIFS('입금대장'!$C$7:$C$1006,'입금대장'!$A$7:$A$1006,A450,'입금대장'!$E$7:$E$1006,"정상"))</x:f>
      </x:c>
      <x:c r="K450" s="12" t="str">
        <x:f>IF(A450="","",I450-J450)</x:f>
      </x:c>
      <x:c r="L450" s="13" t="str">
        <x:f>IF(A450="","",IF(K450&lt;0,"선입금·초과입금",IF(I450=0,"청구 전",IF(K450=0,"정산 완료",IF(J450=0,"미입금","부분 입금")))))</x:f>
      </x:c>
      <x:c r="M450" s="9"/>
      <x:c r="N450" s="9"/>
    </x:row>
    <x:row r="451" ht="23" customHeight="1">
      <x:c r="A451" s="9"/>
      <x:c r="B451" s="10"/>
      <x:c r="C451" s="9"/>
      <x:c r="D451" s="9"/>
      <x:c r="E451" s="9"/>
      <x:c r="F451" s="11"/>
      <x:c r="G451" s="12" t="str">
        <x:f>IF(A451="","",SUMIFS('출고대장'!$D$7:$D$1006,'출고대장'!$A$7:$A$1006,A451))</x:f>
      </x:c>
      <x:c r="H451" s="12" t="str">
        <x:f>IF(A451="","",F451-G451)</x:f>
      </x:c>
      <x:c r="I451" s="12" t="str">
        <x:f>IF(A451="","",SUMIFS('출고대장'!$K$7:$K$1006,'출고대장'!$A$7:$A$1006,A451))</x:f>
      </x:c>
      <x:c r="J451" s="12" t="str">
        <x:f>IF(A451="","",SUMIFS('입금대장'!$C$7:$C$1006,'입금대장'!$A$7:$A$1006,A451,'입금대장'!$E$7:$E$1006,"정상"))</x:f>
      </x:c>
      <x:c r="K451" s="12" t="str">
        <x:f>IF(A451="","",I451-J451)</x:f>
      </x:c>
      <x:c r="L451" s="13" t="str">
        <x:f>IF(A451="","",IF(K451&lt;0,"선입금·초과입금",IF(I451=0,"청구 전",IF(K451=0,"정산 완료",IF(J451=0,"미입금","부분 입금")))))</x:f>
      </x:c>
      <x:c r="M451" s="9"/>
      <x:c r="N451" s="9"/>
    </x:row>
    <x:row r="452" ht="23" customHeight="1">
      <x:c r="A452" s="9"/>
      <x:c r="B452" s="10"/>
      <x:c r="C452" s="9"/>
      <x:c r="D452" s="9"/>
      <x:c r="E452" s="9"/>
      <x:c r="F452" s="11"/>
      <x:c r="G452" s="12" t="str">
        <x:f>IF(A452="","",SUMIFS('출고대장'!$D$7:$D$1006,'출고대장'!$A$7:$A$1006,A452))</x:f>
      </x:c>
      <x:c r="H452" s="12" t="str">
        <x:f>IF(A452="","",F452-G452)</x:f>
      </x:c>
      <x:c r="I452" s="12" t="str">
        <x:f>IF(A452="","",SUMIFS('출고대장'!$K$7:$K$1006,'출고대장'!$A$7:$A$1006,A452))</x:f>
      </x:c>
      <x:c r="J452" s="12" t="str">
        <x:f>IF(A452="","",SUMIFS('입금대장'!$C$7:$C$1006,'입금대장'!$A$7:$A$1006,A452,'입금대장'!$E$7:$E$1006,"정상"))</x:f>
      </x:c>
      <x:c r="K452" s="12" t="str">
        <x:f>IF(A452="","",I452-J452)</x:f>
      </x:c>
      <x:c r="L452" s="13" t="str">
        <x:f>IF(A452="","",IF(K452&lt;0,"선입금·초과입금",IF(I452=0,"청구 전",IF(K452=0,"정산 완료",IF(J452=0,"미입금","부분 입금")))))</x:f>
      </x:c>
      <x:c r="M452" s="9"/>
      <x:c r="N452" s="9"/>
    </x:row>
    <x:row r="453" ht="23" customHeight="1">
      <x:c r="A453" s="9"/>
      <x:c r="B453" s="10"/>
      <x:c r="C453" s="9"/>
      <x:c r="D453" s="9"/>
      <x:c r="E453" s="9"/>
      <x:c r="F453" s="11"/>
      <x:c r="G453" s="12" t="str">
        <x:f>IF(A453="","",SUMIFS('출고대장'!$D$7:$D$1006,'출고대장'!$A$7:$A$1006,A453))</x:f>
      </x:c>
      <x:c r="H453" s="12" t="str">
        <x:f>IF(A453="","",F453-G453)</x:f>
      </x:c>
      <x:c r="I453" s="12" t="str">
        <x:f>IF(A453="","",SUMIFS('출고대장'!$K$7:$K$1006,'출고대장'!$A$7:$A$1006,A453))</x:f>
      </x:c>
      <x:c r="J453" s="12" t="str">
        <x:f>IF(A453="","",SUMIFS('입금대장'!$C$7:$C$1006,'입금대장'!$A$7:$A$1006,A453,'입금대장'!$E$7:$E$1006,"정상"))</x:f>
      </x:c>
      <x:c r="K453" s="12" t="str">
        <x:f>IF(A453="","",I453-J453)</x:f>
      </x:c>
      <x:c r="L453" s="13" t="str">
        <x:f>IF(A453="","",IF(K453&lt;0,"선입금·초과입금",IF(I453=0,"청구 전",IF(K453=0,"정산 완료",IF(J453=0,"미입금","부분 입금")))))</x:f>
      </x:c>
      <x:c r="M453" s="9"/>
      <x:c r="N453" s="9"/>
    </x:row>
    <x:row r="454" ht="23" customHeight="1">
      <x:c r="A454" s="9"/>
      <x:c r="B454" s="10"/>
      <x:c r="C454" s="9"/>
      <x:c r="D454" s="9"/>
      <x:c r="E454" s="9"/>
      <x:c r="F454" s="11"/>
      <x:c r="G454" s="12" t="str">
        <x:f>IF(A454="","",SUMIFS('출고대장'!$D$7:$D$1006,'출고대장'!$A$7:$A$1006,A454))</x:f>
      </x:c>
      <x:c r="H454" s="12" t="str">
        <x:f>IF(A454="","",F454-G454)</x:f>
      </x:c>
      <x:c r="I454" s="12" t="str">
        <x:f>IF(A454="","",SUMIFS('출고대장'!$K$7:$K$1006,'출고대장'!$A$7:$A$1006,A454))</x:f>
      </x:c>
      <x:c r="J454" s="12" t="str">
        <x:f>IF(A454="","",SUMIFS('입금대장'!$C$7:$C$1006,'입금대장'!$A$7:$A$1006,A454,'입금대장'!$E$7:$E$1006,"정상"))</x:f>
      </x:c>
      <x:c r="K454" s="12" t="str">
        <x:f>IF(A454="","",I454-J454)</x:f>
      </x:c>
      <x:c r="L454" s="13" t="str">
        <x:f>IF(A454="","",IF(K454&lt;0,"선입금·초과입금",IF(I454=0,"청구 전",IF(K454=0,"정산 완료",IF(J454=0,"미입금","부분 입금")))))</x:f>
      </x:c>
      <x:c r="M454" s="9"/>
      <x:c r="N454" s="9"/>
    </x:row>
    <x:row r="455" ht="23" customHeight="1">
      <x:c r="A455" s="9"/>
      <x:c r="B455" s="10"/>
      <x:c r="C455" s="9"/>
      <x:c r="D455" s="9"/>
      <x:c r="E455" s="9"/>
      <x:c r="F455" s="11"/>
      <x:c r="G455" s="12" t="str">
        <x:f>IF(A455="","",SUMIFS('출고대장'!$D$7:$D$1006,'출고대장'!$A$7:$A$1006,A455))</x:f>
      </x:c>
      <x:c r="H455" s="12" t="str">
        <x:f>IF(A455="","",F455-G455)</x:f>
      </x:c>
      <x:c r="I455" s="12" t="str">
        <x:f>IF(A455="","",SUMIFS('출고대장'!$K$7:$K$1006,'출고대장'!$A$7:$A$1006,A455))</x:f>
      </x:c>
      <x:c r="J455" s="12" t="str">
        <x:f>IF(A455="","",SUMIFS('입금대장'!$C$7:$C$1006,'입금대장'!$A$7:$A$1006,A455,'입금대장'!$E$7:$E$1006,"정상"))</x:f>
      </x:c>
      <x:c r="K455" s="12" t="str">
        <x:f>IF(A455="","",I455-J455)</x:f>
      </x:c>
      <x:c r="L455" s="13" t="str">
        <x:f>IF(A455="","",IF(K455&lt;0,"선입금·초과입금",IF(I455=0,"청구 전",IF(K455=0,"정산 완료",IF(J455=0,"미입금","부분 입금")))))</x:f>
      </x:c>
      <x:c r="M455" s="9"/>
      <x:c r="N455" s="9"/>
    </x:row>
    <x:row r="456" ht="23" customHeight="1">
      <x:c r="A456" s="9"/>
      <x:c r="B456" s="10"/>
      <x:c r="C456" s="9"/>
      <x:c r="D456" s="9"/>
      <x:c r="E456" s="9"/>
      <x:c r="F456" s="11"/>
      <x:c r="G456" s="12" t="str">
        <x:f>IF(A456="","",SUMIFS('출고대장'!$D$7:$D$1006,'출고대장'!$A$7:$A$1006,A456))</x:f>
      </x:c>
      <x:c r="H456" s="12" t="str">
        <x:f>IF(A456="","",F456-G456)</x:f>
      </x:c>
      <x:c r="I456" s="12" t="str">
        <x:f>IF(A456="","",SUMIFS('출고대장'!$K$7:$K$1006,'출고대장'!$A$7:$A$1006,A456))</x:f>
      </x:c>
      <x:c r="J456" s="12" t="str">
        <x:f>IF(A456="","",SUMIFS('입금대장'!$C$7:$C$1006,'입금대장'!$A$7:$A$1006,A456,'입금대장'!$E$7:$E$1006,"정상"))</x:f>
      </x:c>
      <x:c r="K456" s="12" t="str">
        <x:f>IF(A456="","",I456-J456)</x:f>
      </x:c>
      <x:c r="L456" s="13" t="str">
        <x:f>IF(A456="","",IF(K456&lt;0,"선입금·초과입금",IF(I456=0,"청구 전",IF(K456=0,"정산 완료",IF(J456=0,"미입금","부분 입금")))))</x:f>
      </x:c>
      <x:c r="M456" s="9"/>
      <x:c r="N456" s="9"/>
    </x:row>
    <x:row r="457" ht="23" customHeight="1">
      <x:c r="A457" s="9"/>
      <x:c r="B457" s="10"/>
      <x:c r="C457" s="9"/>
      <x:c r="D457" s="9"/>
      <x:c r="E457" s="9"/>
      <x:c r="F457" s="11"/>
      <x:c r="G457" s="12" t="str">
        <x:f>IF(A457="","",SUMIFS('출고대장'!$D$7:$D$1006,'출고대장'!$A$7:$A$1006,A457))</x:f>
      </x:c>
      <x:c r="H457" s="12" t="str">
        <x:f>IF(A457="","",F457-G457)</x:f>
      </x:c>
      <x:c r="I457" s="12" t="str">
        <x:f>IF(A457="","",SUMIFS('출고대장'!$K$7:$K$1006,'출고대장'!$A$7:$A$1006,A457))</x:f>
      </x:c>
      <x:c r="J457" s="12" t="str">
        <x:f>IF(A457="","",SUMIFS('입금대장'!$C$7:$C$1006,'입금대장'!$A$7:$A$1006,A457,'입금대장'!$E$7:$E$1006,"정상"))</x:f>
      </x:c>
      <x:c r="K457" s="12" t="str">
        <x:f>IF(A457="","",I457-J457)</x:f>
      </x:c>
      <x:c r="L457" s="13" t="str">
        <x:f>IF(A457="","",IF(K457&lt;0,"선입금·초과입금",IF(I457=0,"청구 전",IF(K457=0,"정산 완료",IF(J457=0,"미입금","부분 입금")))))</x:f>
      </x:c>
      <x:c r="M457" s="9"/>
      <x:c r="N457" s="9"/>
    </x:row>
    <x:row r="458" ht="23" customHeight="1">
      <x:c r="A458" s="9"/>
      <x:c r="B458" s="10"/>
      <x:c r="C458" s="9"/>
      <x:c r="D458" s="9"/>
      <x:c r="E458" s="9"/>
      <x:c r="F458" s="11"/>
      <x:c r="G458" s="12" t="str">
        <x:f>IF(A458="","",SUMIFS('출고대장'!$D$7:$D$1006,'출고대장'!$A$7:$A$1006,A458))</x:f>
      </x:c>
      <x:c r="H458" s="12" t="str">
        <x:f>IF(A458="","",F458-G458)</x:f>
      </x:c>
      <x:c r="I458" s="12" t="str">
        <x:f>IF(A458="","",SUMIFS('출고대장'!$K$7:$K$1006,'출고대장'!$A$7:$A$1006,A458))</x:f>
      </x:c>
      <x:c r="J458" s="12" t="str">
        <x:f>IF(A458="","",SUMIFS('입금대장'!$C$7:$C$1006,'입금대장'!$A$7:$A$1006,A458,'입금대장'!$E$7:$E$1006,"정상"))</x:f>
      </x:c>
      <x:c r="K458" s="12" t="str">
        <x:f>IF(A458="","",I458-J458)</x:f>
      </x:c>
      <x:c r="L458" s="13" t="str">
        <x:f>IF(A458="","",IF(K458&lt;0,"선입금·초과입금",IF(I458=0,"청구 전",IF(K458=0,"정산 완료",IF(J458=0,"미입금","부분 입금")))))</x:f>
      </x:c>
      <x:c r="M458" s="9"/>
      <x:c r="N458" s="9"/>
    </x:row>
    <x:row r="459" ht="23" customHeight="1">
      <x:c r="A459" s="9"/>
      <x:c r="B459" s="10"/>
      <x:c r="C459" s="9"/>
      <x:c r="D459" s="9"/>
      <x:c r="E459" s="9"/>
      <x:c r="F459" s="11"/>
      <x:c r="G459" s="12" t="str">
        <x:f>IF(A459="","",SUMIFS('출고대장'!$D$7:$D$1006,'출고대장'!$A$7:$A$1006,A459))</x:f>
      </x:c>
      <x:c r="H459" s="12" t="str">
        <x:f>IF(A459="","",F459-G459)</x:f>
      </x:c>
      <x:c r="I459" s="12" t="str">
        <x:f>IF(A459="","",SUMIFS('출고대장'!$K$7:$K$1006,'출고대장'!$A$7:$A$1006,A459))</x:f>
      </x:c>
      <x:c r="J459" s="12" t="str">
        <x:f>IF(A459="","",SUMIFS('입금대장'!$C$7:$C$1006,'입금대장'!$A$7:$A$1006,A459,'입금대장'!$E$7:$E$1006,"정상"))</x:f>
      </x:c>
      <x:c r="K459" s="12" t="str">
        <x:f>IF(A459="","",I459-J459)</x:f>
      </x:c>
      <x:c r="L459" s="13" t="str">
        <x:f>IF(A459="","",IF(K459&lt;0,"선입금·초과입금",IF(I459=0,"청구 전",IF(K459=0,"정산 완료",IF(J459=0,"미입금","부분 입금")))))</x:f>
      </x:c>
      <x:c r="M459" s="9"/>
      <x:c r="N459" s="9"/>
    </x:row>
    <x:row r="460" ht="23" customHeight="1">
      <x:c r="A460" s="9"/>
      <x:c r="B460" s="10"/>
      <x:c r="C460" s="9"/>
      <x:c r="D460" s="9"/>
      <x:c r="E460" s="9"/>
      <x:c r="F460" s="11"/>
      <x:c r="G460" s="12" t="str">
        <x:f>IF(A460="","",SUMIFS('출고대장'!$D$7:$D$1006,'출고대장'!$A$7:$A$1006,A460))</x:f>
      </x:c>
      <x:c r="H460" s="12" t="str">
        <x:f>IF(A460="","",F460-G460)</x:f>
      </x:c>
      <x:c r="I460" s="12" t="str">
        <x:f>IF(A460="","",SUMIFS('출고대장'!$K$7:$K$1006,'출고대장'!$A$7:$A$1006,A460))</x:f>
      </x:c>
      <x:c r="J460" s="12" t="str">
        <x:f>IF(A460="","",SUMIFS('입금대장'!$C$7:$C$1006,'입금대장'!$A$7:$A$1006,A460,'입금대장'!$E$7:$E$1006,"정상"))</x:f>
      </x:c>
      <x:c r="K460" s="12" t="str">
        <x:f>IF(A460="","",I460-J460)</x:f>
      </x:c>
      <x:c r="L460" s="13" t="str">
        <x:f>IF(A460="","",IF(K460&lt;0,"선입금·초과입금",IF(I460=0,"청구 전",IF(K460=0,"정산 완료",IF(J460=0,"미입금","부분 입금")))))</x:f>
      </x:c>
      <x:c r="M460" s="9"/>
      <x:c r="N460" s="9"/>
    </x:row>
    <x:row r="461" ht="23" customHeight="1">
      <x:c r="A461" s="9"/>
      <x:c r="B461" s="10"/>
      <x:c r="C461" s="9"/>
      <x:c r="D461" s="9"/>
      <x:c r="E461" s="9"/>
      <x:c r="F461" s="11"/>
      <x:c r="G461" s="12" t="str">
        <x:f>IF(A461="","",SUMIFS('출고대장'!$D$7:$D$1006,'출고대장'!$A$7:$A$1006,A461))</x:f>
      </x:c>
      <x:c r="H461" s="12" t="str">
        <x:f>IF(A461="","",F461-G461)</x:f>
      </x:c>
      <x:c r="I461" s="12" t="str">
        <x:f>IF(A461="","",SUMIFS('출고대장'!$K$7:$K$1006,'출고대장'!$A$7:$A$1006,A461))</x:f>
      </x:c>
      <x:c r="J461" s="12" t="str">
        <x:f>IF(A461="","",SUMIFS('입금대장'!$C$7:$C$1006,'입금대장'!$A$7:$A$1006,A461,'입금대장'!$E$7:$E$1006,"정상"))</x:f>
      </x:c>
      <x:c r="K461" s="12" t="str">
        <x:f>IF(A461="","",I461-J461)</x:f>
      </x:c>
      <x:c r="L461" s="13" t="str">
        <x:f>IF(A461="","",IF(K461&lt;0,"선입금·초과입금",IF(I461=0,"청구 전",IF(K461=0,"정산 완료",IF(J461=0,"미입금","부분 입금")))))</x:f>
      </x:c>
      <x:c r="M461" s="9"/>
      <x:c r="N461" s="9"/>
    </x:row>
    <x:row r="462" ht="23" customHeight="1">
      <x:c r="A462" s="9"/>
      <x:c r="B462" s="10"/>
      <x:c r="C462" s="9"/>
      <x:c r="D462" s="9"/>
      <x:c r="E462" s="9"/>
      <x:c r="F462" s="11"/>
      <x:c r="G462" s="12" t="str">
        <x:f>IF(A462="","",SUMIFS('출고대장'!$D$7:$D$1006,'출고대장'!$A$7:$A$1006,A462))</x:f>
      </x:c>
      <x:c r="H462" s="12" t="str">
        <x:f>IF(A462="","",F462-G462)</x:f>
      </x:c>
      <x:c r="I462" s="12" t="str">
        <x:f>IF(A462="","",SUMIFS('출고대장'!$K$7:$K$1006,'출고대장'!$A$7:$A$1006,A462))</x:f>
      </x:c>
      <x:c r="J462" s="12" t="str">
        <x:f>IF(A462="","",SUMIFS('입금대장'!$C$7:$C$1006,'입금대장'!$A$7:$A$1006,A462,'입금대장'!$E$7:$E$1006,"정상"))</x:f>
      </x:c>
      <x:c r="K462" s="12" t="str">
        <x:f>IF(A462="","",I462-J462)</x:f>
      </x:c>
      <x:c r="L462" s="13" t="str">
        <x:f>IF(A462="","",IF(K462&lt;0,"선입금·초과입금",IF(I462=0,"청구 전",IF(K462=0,"정산 완료",IF(J462=0,"미입금","부분 입금")))))</x:f>
      </x:c>
      <x:c r="M462" s="9"/>
      <x:c r="N462" s="9"/>
    </x:row>
    <x:row r="463" ht="23" customHeight="1">
      <x:c r="A463" s="9"/>
      <x:c r="B463" s="10"/>
      <x:c r="C463" s="9"/>
      <x:c r="D463" s="9"/>
      <x:c r="E463" s="9"/>
      <x:c r="F463" s="11"/>
      <x:c r="G463" s="12" t="str">
        <x:f>IF(A463="","",SUMIFS('출고대장'!$D$7:$D$1006,'출고대장'!$A$7:$A$1006,A463))</x:f>
      </x:c>
      <x:c r="H463" s="12" t="str">
        <x:f>IF(A463="","",F463-G463)</x:f>
      </x:c>
      <x:c r="I463" s="12" t="str">
        <x:f>IF(A463="","",SUMIFS('출고대장'!$K$7:$K$1006,'출고대장'!$A$7:$A$1006,A463))</x:f>
      </x:c>
      <x:c r="J463" s="12" t="str">
        <x:f>IF(A463="","",SUMIFS('입금대장'!$C$7:$C$1006,'입금대장'!$A$7:$A$1006,A463,'입금대장'!$E$7:$E$1006,"정상"))</x:f>
      </x:c>
      <x:c r="K463" s="12" t="str">
        <x:f>IF(A463="","",I463-J463)</x:f>
      </x:c>
      <x:c r="L463" s="13" t="str">
        <x:f>IF(A463="","",IF(K463&lt;0,"선입금·초과입금",IF(I463=0,"청구 전",IF(K463=0,"정산 완료",IF(J463=0,"미입금","부분 입금")))))</x:f>
      </x:c>
      <x:c r="M463" s="9"/>
      <x:c r="N463" s="9"/>
    </x:row>
    <x:row r="464" ht="23" customHeight="1">
      <x:c r="A464" s="9"/>
      <x:c r="B464" s="10"/>
      <x:c r="C464" s="9"/>
      <x:c r="D464" s="9"/>
      <x:c r="E464" s="9"/>
      <x:c r="F464" s="11"/>
      <x:c r="G464" s="12" t="str">
        <x:f>IF(A464="","",SUMIFS('출고대장'!$D$7:$D$1006,'출고대장'!$A$7:$A$1006,A464))</x:f>
      </x:c>
      <x:c r="H464" s="12" t="str">
        <x:f>IF(A464="","",F464-G464)</x:f>
      </x:c>
      <x:c r="I464" s="12" t="str">
        <x:f>IF(A464="","",SUMIFS('출고대장'!$K$7:$K$1006,'출고대장'!$A$7:$A$1006,A464))</x:f>
      </x:c>
      <x:c r="J464" s="12" t="str">
        <x:f>IF(A464="","",SUMIFS('입금대장'!$C$7:$C$1006,'입금대장'!$A$7:$A$1006,A464,'입금대장'!$E$7:$E$1006,"정상"))</x:f>
      </x:c>
      <x:c r="K464" s="12" t="str">
        <x:f>IF(A464="","",I464-J464)</x:f>
      </x:c>
      <x:c r="L464" s="13" t="str">
        <x:f>IF(A464="","",IF(K464&lt;0,"선입금·초과입금",IF(I464=0,"청구 전",IF(K464=0,"정산 완료",IF(J464=0,"미입금","부분 입금")))))</x:f>
      </x:c>
      <x:c r="M464" s="9"/>
      <x:c r="N464" s="9"/>
    </x:row>
    <x:row r="465" ht="23" customHeight="1">
      <x:c r="A465" s="9"/>
      <x:c r="B465" s="10"/>
      <x:c r="C465" s="9"/>
      <x:c r="D465" s="9"/>
      <x:c r="E465" s="9"/>
      <x:c r="F465" s="11"/>
      <x:c r="G465" s="12" t="str">
        <x:f>IF(A465="","",SUMIFS('출고대장'!$D$7:$D$1006,'출고대장'!$A$7:$A$1006,A465))</x:f>
      </x:c>
      <x:c r="H465" s="12" t="str">
        <x:f>IF(A465="","",F465-G465)</x:f>
      </x:c>
      <x:c r="I465" s="12" t="str">
        <x:f>IF(A465="","",SUMIFS('출고대장'!$K$7:$K$1006,'출고대장'!$A$7:$A$1006,A465))</x:f>
      </x:c>
      <x:c r="J465" s="12" t="str">
        <x:f>IF(A465="","",SUMIFS('입금대장'!$C$7:$C$1006,'입금대장'!$A$7:$A$1006,A465,'입금대장'!$E$7:$E$1006,"정상"))</x:f>
      </x:c>
      <x:c r="K465" s="12" t="str">
        <x:f>IF(A465="","",I465-J465)</x:f>
      </x:c>
      <x:c r="L465" s="13" t="str">
        <x:f>IF(A465="","",IF(K465&lt;0,"선입금·초과입금",IF(I465=0,"청구 전",IF(K465=0,"정산 완료",IF(J465=0,"미입금","부분 입금")))))</x:f>
      </x:c>
      <x:c r="M465" s="9"/>
      <x:c r="N465" s="9"/>
    </x:row>
    <x:row r="466" ht="23" customHeight="1">
      <x:c r="A466" s="9"/>
      <x:c r="B466" s="10"/>
      <x:c r="C466" s="9"/>
      <x:c r="D466" s="9"/>
      <x:c r="E466" s="9"/>
      <x:c r="F466" s="11"/>
      <x:c r="G466" s="12" t="str">
        <x:f>IF(A466="","",SUMIFS('출고대장'!$D$7:$D$1006,'출고대장'!$A$7:$A$1006,A466))</x:f>
      </x:c>
      <x:c r="H466" s="12" t="str">
        <x:f>IF(A466="","",F466-G466)</x:f>
      </x:c>
      <x:c r="I466" s="12" t="str">
        <x:f>IF(A466="","",SUMIFS('출고대장'!$K$7:$K$1006,'출고대장'!$A$7:$A$1006,A466))</x:f>
      </x:c>
      <x:c r="J466" s="12" t="str">
        <x:f>IF(A466="","",SUMIFS('입금대장'!$C$7:$C$1006,'입금대장'!$A$7:$A$1006,A466,'입금대장'!$E$7:$E$1006,"정상"))</x:f>
      </x:c>
      <x:c r="K466" s="12" t="str">
        <x:f>IF(A466="","",I466-J466)</x:f>
      </x:c>
      <x:c r="L466" s="13" t="str">
        <x:f>IF(A466="","",IF(K466&lt;0,"선입금·초과입금",IF(I466=0,"청구 전",IF(K466=0,"정산 완료",IF(J466=0,"미입금","부분 입금")))))</x:f>
      </x:c>
      <x:c r="M466" s="9"/>
      <x:c r="N466" s="9"/>
    </x:row>
    <x:row r="467" ht="23" customHeight="1">
      <x:c r="A467" s="9"/>
      <x:c r="B467" s="10"/>
      <x:c r="C467" s="9"/>
      <x:c r="D467" s="9"/>
      <x:c r="E467" s="9"/>
      <x:c r="F467" s="11"/>
      <x:c r="G467" s="12" t="str">
        <x:f>IF(A467="","",SUMIFS('출고대장'!$D$7:$D$1006,'출고대장'!$A$7:$A$1006,A467))</x:f>
      </x:c>
      <x:c r="H467" s="12" t="str">
        <x:f>IF(A467="","",F467-G467)</x:f>
      </x:c>
      <x:c r="I467" s="12" t="str">
        <x:f>IF(A467="","",SUMIFS('출고대장'!$K$7:$K$1006,'출고대장'!$A$7:$A$1006,A467))</x:f>
      </x:c>
      <x:c r="J467" s="12" t="str">
        <x:f>IF(A467="","",SUMIFS('입금대장'!$C$7:$C$1006,'입금대장'!$A$7:$A$1006,A467,'입금대장'!$E$7:$E$1006,"정상"))</x:f>
      </x:c>
      <x:c r="K467" s="12" t="str">
        <x:f>IF(A467="","",I467-J467)</x:f>
      </x:c>
      <x:c r="L467" s="13" t="str">
        <x:f>IF(A467="","",IF(K467&lt;0,"선입금·초과입금",IF(I467=0,"청구 전",IF(K467=0,"정산 완료",IF(J467=0,"미입금","부분 입금")))))</x:f>
      </x:c>
      <x:c r="M467" s="9"/>
      <x:c r="N467" s="9"/>
    </x:row>
    <x:row r="468" ht="23" customHeight="1">
      <x:c r="A468" s="9"/>
      <x:c r="B468" s="10"/>
      <x:c r="C468" s="9"/>
      <x:c r="D468" s="9"/>
      <x:c r="E468" s="9"/>
      <x:c r="F468" s="11"/>
      <x:c r="G468" s="12" t="str">
        <x:f>IF(A468="","",SUMIFS('출고대장'!$D$7:$D$1006,'출고대장'!$A$7:$A$1006,A468))</x:f>
      </x:c>
      <x:c r="H468" s="12" t="str">
        <x:f>IF(A468="","",F468-G468)</x:f>
      </x:c>
      <x:c r="I468" s="12" t="str">
        <x:f>IF(A468="","",SUMIFS('출고대장'!$K$7:$K$1006,'출고대장'!$A$7:$A$1006,A468))</x:f>
      </x:c>
      <x:c r="J468" s="12" t="str">
        <x:f>IF(A468="","",SUMIFS('입금대장'!$C$7:$C$1006,'입금대장'!$A$7:$A$1006,A468,'입금대장'!$E$7:$E$1006,"정상"))</x:f>
      </x:c>
      <x:c r="K468" s="12" t="str">
        <x:f>IF(A468="","",I468-J468)</x:f>
      </x:c>
      <x:c r="L468" s="13" t="str">
        <x:f>IF(A468="","",IF(K468&lt;0,"선입금·초과입금",IF(I468=0,"청구 전",IF(K468=0,"정산 완료",IF(J468=0,"미입금","부분 입금")))))</x:f>
      </x:c>
      <x:c r="M468" s="9"/>
      <x:c r="N468" s="9"/>
    </x:row>
    <x:row r="469" ht="23" customHeight="1">
      <x:c r="A469" s="9"/>
      <x:c r="B469" s="10"/>
      <x:c r="C469" s="9"/>
      <x:c r="D469" s="9"/>
      <x:c r="E469" s="9"/>
      <x:c r="F469" s="11"/>
      <x:c r="G469" s="12" t="str">
        <x:f>IF(A469="","",SUMIFS('출고대장'!$D$7:$D$1006,'출고대장'!$A$7:$A$1006,A469))</x:f>
      </x:c>
      <x:c r="H469" s="12" t="str">
        <x:f>IF(A469="","",F469-G469)</x:f>
      </x:c>
      <x:c r="I469" s="12" t="str">
        <x:f>IF(A469="","",SUMIFS('출고대장'!$K$7:$K$1006,'출고대장'!$A$7:$A$1006,A469))</x:f>
      </x:c>
      <x:c r="J469" s="12" t="str">
        <x:f>IF(A469="","",SUMIFS('입금대장'!$C$7:$C$1006,'입금대장'!$A$7:$A$1006,A469,'입금대장'!$E$7:$E$1006,"정상"))</x:f>
      </x:c>
      <x:c r="K469" s="12" t="str">
        <x:f>IF(A469="","",I469-J469)</x:f>
      </x:c>
      <x:c r="L469" s="13" t="str">
        <x:f>IF(A469="","",IF(K469&lt;0,"선입금·초과입금",IF(I469=0,"청구 전",IF(K469=0,"정산 완료",IF(J469=0,"미입금","부분 입금")))))</x:f>
      </x:c>
      <x:c r="M469" s="9"/>
      <x:c r="N469" s="9"/>
    </x:row>
    <x:row r="470" ht="23" customHeight="1">
      <x:c r="A470" s="9"/>
      <x:c r="B470" s="10"/>
      <x:c r="C470" s="9"/>
      <x:c r="D470" s="9"/>
      <x:c r="E470" s="9"/>
      <x:c r="F470" s="11"/>
      <x:c r="G470" s="12" t="str">
        <x:f>IF(A470="","",SUMIFS('출고대장'!$D$7:$D$1006,'출고대장'!$A$7:$A$1006,A470))</x:f>
      </x:c>
      <x:c r="H470" s="12" t="str">
        <x:f>IF(A470="","",F470-G470)</x:f>
      </x:c>
      <x:c r="I470" s="12" t="str">
        <x:f>IF(A470="","",SUMIFS('출고대장'!$K$7:$K$1006,'출고대장'!$A$7:$A$1006,A470))</x:f>
      </x:c>
      <x:c r="J470" s="12" t="str">
        <x:f>IF(A470="","",SUMIFS('입금대장'!$C$7:$C$1006,'입금대장'!$A$7:$A$1006,A470,'입금대장'!$E$7:$E$1006,"정상"))</x:f>
      </x:c>
      <x:c r="K470" s="12" t="str">
        <x:f>IF(A470="","",I470-J470)</x:f>
      </x:c>
      <x:c r="L470" s="13" t="str">
        <x:f>IF(A470="","",IF(K470&lt;0,"선입금·초과입금",IF(I470=0,"청구 전",IF(K470=0,"정산 완료",IF(J470=0,"미입금","부분 입금")))))</x:f>
      </x:c>
      <x:c r="M470" s="9"/>
      <x:c r="N470" s="9"/>
    </x:row>
    <x:row r="471" ht="23" customHeight="1">
      <x:c r="A471" s="9"/>
      <x:c r="B471" s="10"/>
      <x:c r="C471" s="9"/>
      <x:c r="D471" s="9"/>
      <x:c r="E471" s="9"/>
      <x:c r="F471" s="11"/>
      <x:c r="G471" s="12" t="str">
        <x:f>IF(A471="","",SUMIFS('출고대장'!$D$7:$D$1006,'출고대장'!$A$7:$A$1006,A471))</x:f>
      </x:c>
      <x:c r="H471" s="12" t="str">
        <x:f>IF(A471="","",F471-G471)</x:f>
      </x:c>
      <x:c r="I471" s="12" t="str">
        <x:f>IF(A471="","",SUMIFS('출고대장'!$K$7:$K$1006,'출고대장'!$A$7:$A$1006,A471))</x:f>
      </x:c>
      <x:c r="J471" s="12" t="str">
        <x:f>IF(A471="","",SUMIFS('입금대장'!$C$7:$C$1006,'입금대장'!$A$7:$A$1006,A471,'입금대장'!$E$7:$E$1006,"정상"))</x:f>
      </x:c>
      <x:c r="K471" s="12" t="str">
        <x:f>IF(A471="","",I471-J471)</x:f>
      </x:c>
      <x:c r="L471" s="13" t="str">
        <x:f>IF(A471="","",IF(K471&lt;0,"선입금·초과입금",IF(I471=0,"청구 전",IF(K471=0,"정산 완료",IF(J471=0,"미입금","부분 입금")))))</x:f>
      </x:c>
      <x:c r="M471" s="9"/>
      <x:c r="N471" s="9"/>
    </x:row>
    <x:row r="472" ht="23" customHeight="1">
      <x:c r="A472" s="9"/>
      <x:c r="B472" s="10"/>
      <x:c r="C472" s="9"/>
      <x:c r="D472" s="9"/>
      <x:c r="E472" s="9"/>
      <x:c r="F472" s="11"/>
      <x:c r="G472" s="12" t="str">
        <x:f>IF(A472="","",SUMIFS('출고대장'!$D$7:$D$1006,'출고대장'!$A$7:$A$1006,A472))</x:f>
      </x:c>
      <x:c r="H472" s="12" t="str">
        <x:f>IF(A472="","",F472-G472)</x:f>
      </x:c>
      <x:c r="I472" s="12" t="str">
        <x:f>IF(A472="","",SUMIFS('출고대장'!$K$7:$K$1006,'출고대장'!$A$7:$A$1006,A472))</x:f>
      </x:c>
      <x:c r="J472" s="12" t="str">
        <x:f>IF(A472="","",SUMIFS('입금대장'!$C$7:$C$1006,'입금대장'!$A$7:$A$1006,A472,'입금대장'!$E$7:$E$1006,"정상"))</x:f>
      </x:c>
      <x:c r="K472" s="12" t="str">
        <x:f>IF(A472="","",I472-J472)</x:f>
      </x:c>
      <x:c r="L472" s="13" t="str">
        <x:f>IF(A472="","",IF(K472&lt;0,"선입금·초과입금",IF(I472=0,"청구 전",IF(K472=0,"정산 완료",IF(J472=0,"미입금","부분 입금")))))</x:f>
      </x:c>
      <x:c r="M472" s="9"/>
      <x:c r="N472" s="9"/>
    </x:row>
    <x:row r="473" ht="23" customHeight="1">
      <x:c r="A473" s="9"/>
      <x:c r="B473" s="10"/>
      <x:c r="C473" s="9"/>
      <x:c r="D473" s="9"/>
      <x:c r="E473" s="9"/>
      <x:c r="F473" s="11"/>
      <x:c r="G473" s="12" t="str">
        <x:f>IF(A473="","",SUMIFS('출고대장'!$D$7:$D$1006,'출고대장'!$A$7:$A$1006,A473))</x:f>
      </x:c>
      <x:c r="H473" s="12" t="str">
        <x:f>IF(A473="","",F473-G473)</x:f>
      </x:c>
      <x:c r="I473" s="12" t="str">
        <x:f>IF(A473="","",SUMIFS('출고대장'!$K$7:$K$1006,'출고대장'!$A$7:$A$1006,A473))</x:f>
      </x:c>
      <x:c r="J473" s="12" t="str">
        <x:f>IF(A473="","",SUMIFS('입금대장'!$C$7:$C$1006,'입금대장'!$A$7:$A$1006,A473,'입금대장'!$E$7:$E$1006,"정상"))</x:f>
      </x:c>
      <x:c r="K473" s="12" t="str">
        <x:f>IF(A473="","",I473-J473)</x:f>
      </x:c>
      <x:c r="L473" s="13" t="str">
        <x:f>IF(A473="","",IF(K473&lt;0,"선입금·초과입금",IF(I473=0,"청구 전",IF(K473=0,"정산 완료",IF(J473=0,"미입금","부분 입금")))))</x:f>
      </x:c>
      <x:c r="M473" s="9"/>
      <x:c r="N473" s="9"/>
    </x:row>
    <x:row r="474" ht="23" customHeight="1">
      <x:c r="A474" s="9"/>
      <x:c r="B474" s="10"/>
      <x:c r="C474" s="9"/>
      <x:c r="D474" s="9"/>
      <x:c r="E474" s="9"/>
      <x:c r="F474" s="11"/>
      <x:c r="G474" s="12" t="str">
        <x:f>IF(A474="","",SUMIFS('출고대장'!$D$7:$D$1006,'출고대장'!$A$7:$A$1006,A474))</x:f>
      </x:c>
      <x:c r="H474" s="12" t="str">
        <x:f>IF(A474="","",F474-G474)</x:f>
      </x:c>
      <x:c r="I474" s="12" t="str">
        <x:f>IF(A474="","",SUMIFS('출고대장'!$K$7:$K$1006,'출고대장'!$A$7:$A$1006,A474))</x:f>
      </x:c>
      <x:c r="J474" s="12" t="str">
        <x:f>IF(A474="","",SUMIFS('입금대장'!$C$7:$C$1006,'입금대장'!$A$7:$A$1006,A474,'입금대장'!$E$7:$E$1006,"정상"))</x:f>
      </x:c>
      <x:c r="K474" s="12" t="str">
        <x:f>IF(A474="","",I474-J474)</x:f>
      </x:c>
      <x:c r="L474" s="13" t="str">
        <x:f>IF(A474="","",IF(K474&lt;0,"선입금·초과입금",IF(I474=0,"청구 전",IF(K474=0,"정산 완료",IF(J474=0,"미입금","부분 입금")))))</x:f>
      </x:c>
      <x:c r="M474" s="9"/>
      <x:c r="N474" s="9"/>
    </x:row>
    <x:row r="475" ht="23" customHeight="1">
      <x:c r="A475" s="9"/>
      <x:c r="B475" s="10"/>
      <x:c r="C475" s="9"/>
      <x:c r="D475" s="9"/>
      <x:c r="E475" s="9"/>
      <x:c r="F475" s="11"/>
      <x:c r="G475" s="12" t="str">
        <x:f>IF(A475="","",SUMIFS('출고대장'!$D$7:$D$1006,'출고대장'!$A$7:$A$1006,A475))</x:f>
      </x:c>
      <x:c r="H475" s="12" t="str">
        <x:f>IF(A475="","",F475-G475)</x:f>
      </x:c>
      <x:c r="I475" s="12" t="str">
        <x:f>IF(A475="","",SUMIFS('출고대장'!$K$7:$K$1006,'출고대장'!$A$7:$A$1006,A475))</x:f>
      </x:c>
      <x:c r="J475" s="12" t="str">
        <x:f>IF(A475="","",SUMIFS('입금대장'!$C$7:$C$1006,'입금대장'!$A$7:$A$1006,A475,'입금대장'!$E$7:$E$1006,"정상"))</x:f>
      </x:c>
      <x:c r="K475" s="12" t="str">
        <x:f>IF(A475="","",I475-J475)</x:f>
      </x:c>
      <x:c r="L475" s="13" t="str">
        <x:f>IF(A475="","",IF(K475&lt;0,"선입금·초과입금",IF(I475=0,"청구 전",IF(K475=0,"정산 완료",IF(J475=0,"미입금","부분 입금")))))</x:f>
      </x:c>
      <x:c r="M475" s="9"/>
      <x:c r="N475" s="9"/>
    </x:row>
    <x:row r="476" ht="23" customHeight="1">
      <x:c r="A476" s="9"/>
      <x:c r="B476" s="10"/>
      <x:c r="C476" s="9"/>
      <x:c r="D476" s="9"/>
      <x:c r="E476" s="9"/>
      <x:c r="F476" s="11"/>
      <x:c r="G476" s="12" t="str">
        <x:f>IF(A476="","",SUMIFS('출고대장'!$D$7:$D$1006,'출고대장'!$A$7:$A$1006,A476))</x:f>
      </x:c>
      <x:c r="H476" s="12" t="str">
        <x:f>IF(A476="","",F476-G476)</x:f>
      </x:c>
      <x:c r="I476" s="12" t="str">
        <x:f>IF(A476="","",SUMIFS('출고대장'!$K$7:$K$1006,'출고대장'!$A$7:$A$1006,A476))</x:f>
      </x:c>
      <x:c r="J476" s="12" t="str">
        <x:f>IF(A476="","",SUMIFS('입금대장'!$C$7:$C$1006,'입금대장'!$A$7:$A$1006,A476,'입금대장'!$E$7:$E$1006,"정상"))</x:f>
      </x:c>
      <x:c r="K476" s="12" t="str">
        <x:f>IF(A476="","",I476-J476)</x:f>
      </x:c>
      <x:c r="L476" s="13" t="str">
        <x:f>IF(A476="","",IF(K476&lt;0,"선입금·초과입금",IF(I476=0,"청구 전",IF(K476=0,"정산 완료",IF(J476=0,"미입금","부분 입금")))))</x:f>
      </x:c>
      <x:c r="M476" s="9"/>
      <x:c r="N476" s="9"/>
    </x:row>
    <x:row r="477" ht="23" customHeight="1">
      <x:c r="A477" s="9"/>
      <x:c r="B477" s="10"/>
      <x:c r="C477" s="9"/>
      <x:c r="D477" s="9"/>
      <x:c r="E477" s="9"/>
      <x:c r="F477" s="11"/>
      <x:c r="G477" s="12" t="str">
        <x:f>IF(A477="","",SUMIFS('출고대장'!$D$7:$D$1006,'출고대장'!$A$7:$A$1006,A477))</x:f>
      </x:c>
      <x:c r="H477" s="12" t="str">
        <x:f>IF(A477="","",F477-G477)</x:f>
      </x:c>
      <x:c r="I477" s="12" t="str">
        <x:f>IF(A477="","",SUMIFS('출고대장'!$K$7:$K$1006,'출고대장'!$A$7:$A$1006,A477))</x:f>
      </x:c>
      <x:c r="J477" s="12" t="str">
        <x:f>IF(A477="","",SUMIFS('입금대장'!$C$7:$C$1006,'입금대장'!$A$7:$A$1006,A477,'입금대장'!$E$7:$E$1006,"정상"))</x:f>
      </x:c>
      <x:c r="K477" s="12" t="str">
        <x:f>IF(A477="","",I477-J477)</x:f>
      </x:c>
      <x:c r="L477" s="13" t="str">
        <x:f>IF(A477="","",IF(K477&lt;0,"선입금·초과입금",IF(I477=0,"청구 전",IF(K477=0,"정산 완료",IF(J477=0,"미입금","부분 입금")))))</x:f>
      </x:c>
      <x:c r="M477" s="9"/>
      <x:c r="N477" s="9"/>
    </x:row>
    <x:row r="478" ht="23" customHeight="1">
      <x:c r="A478" s="9"/>
      <x:c r="B478" s="10"/>
      <x:c r="C478" s="9"/>
      <x:c r="D478" s="9"/>
      <x:c r="E478" s="9"/>
      <x:c r="F478" s="11"/>
      <x:c r="G478" s="12" t="str">
        <x:f>IF(A478="","",SUMIFS('출고대장'!$D$7:$D$1006,'출고대장'!$A$7:$A$1006,A478))</x:f>
      </x:c>
      <x:c r="H478" s="12" t="str">
        <x:f>IF(A478="","",F478-G478)</x:f>
      </x:c>
      <x:c r="I478" s="12" t="str">
        <x:f>IF(A478="","",SUMIFS('출고대장'!$K$7:$K$1006,'출고대장'!$A$7:$A$1006,A478))</x:f>
      </x:c>
      <x:c r="J478" s="12" t="str">
        <x:f>IF(A478="","",SUMIFS('입금대장'!$C$7:$C$1006,'입금대장'!$A$7:$A$1006,A478,'입금대장'!$E$7:$E$1006,"정상"))</x:f>
      </x:c>
      <x:c r="K478" s="12" t="str">
        <x:f>IF(A478="","",I478-J478)</x:f>
      </x:c>
      <x:c r="L478" s="13" t="str">
        <x:f>IF(A478="","",IF(K478&lt;0,"선입금·초과입금",IF(I478=0,"청구 전",IF(K478=0,"정산 완료",IF(J478=0,"미입금","부분 입금")))))</x:f>
      </x:c>
      <x:c r="M478" s="9"/>
      <x:c r="N478" s="9"/>
    </x:row>
    <x:row r="479" ht="23" customHeight="1">
      <x:c r="A479" s="9"/>
      <x:c r="B479" s="10"/>
      <x:c r="C479" s="9"/>
      <x:c r="D479" s="9"/>
      <x:c r="E479" s="9"/>
      <x:c r="F479" s="11"/>
      <x:c r="G479" s="12" t="str">
        <x:f>IF(A479="","",SUMIFS('출고대장'!$D$7:$D$1006,'출고대장'!$A$7:$A$1006,A479))</x:f>
      </x:c>
      <x:c r="H479" s="12" t="str">
        <x:f>IF(A479="","",F479-G479)</x:f>
      </x:c>
      <x:c r="I479" s="12" t="str">
        <x:f>IF(A479="","",SUMIFS('출고대장'!$K$7:$K$1006,'출고대장'!$A$7:$A$1006,A479))</x:f>
      </x:c>
      <x:c r="J479" s="12" t="str">
        <x:f>IF(A479="","",SUMIFS('입금대장'!$C$7:$C$1006,'입금대장'!$A$7:$A$1006,A479,'입금대장'!$E$7:$E$1006,"정상"))</x:f>
      </x:c>
      <x:c r="K479" s="12" t="str">
        <x:f>IF(A479="","",I479-J479)</x:f>
      </x:c>
      <x:c r="L479" s="13" t="str">
        <x:f>IF(A479="","",IF(K479&lt;0,"선입금·초과입금",IF(I479=0,"청구 전",IF(K479=0,"정산 완료",IF(J479=0,"미입금","부분 입금")))))</x:f>
      </x:c>
      <x:c r="M479" s="9"/>
      <x:c r="N479" s="9"/>
    </x:row>
    <x:row r="480" ht="23" customHeight="1">
      <x:c r="A480" s="9"/>
      <x:c r="B480" s="10"/>
      <x:c r="C480" s="9"/>
      <x:c r="D480" s="9"/>
      <x:c r="E480" s="9"/>
      <x:c r="F480" s="11"/>
      <x:c r="G480" s="12" t="str">
        <x:f>IF(A480="","",SUMIFS('출고대장'!$D$7:$D$1006,'출고대장'!$A$7:$A$1006,A480))</x:f>
      </x:c>
      <x:c r="H480" s="12" t="str">
        <x:f>IF(A480="","",F480-G480)</x:f>
      </x:c>
      <x:c r="I480" s="12" t="str">
        <x:f>IF(A480="","",SUMIFS('출고대장'!$K$7:$K$1006,'출고대장'!$A$7:$A$1006,A480))</x:f>
      </x:c>
      <x:c r="J480" s="12" t="str">
        <x:f>IF(A480="","",SUMIFS('입금대장'!$C$7:$C$1006,'입금대장'!$A$7:$A$1006,A480,'입금대장'!$E$7:$E$1006,"정상"))</x:f>
      </x:c>
      <x:c r="K480" s="12" t="str">
        <x:f>IF(A480="","",I480-J480)</x:f>
      </x:c>
      <x:c r="L480" s="13" t="str">
        <x:f>IF(A480="","",IF(K480&lt;0,"선입금·초과입금",IF(I480=0,"청구 전",IF(K480=0,"정산 완료",IF(J480=0,"미입금","부분 입금")))))</x:f>
      </x:c>
      <x:c r="M480" s="9"/>
      <x:c r="N480" s="9"/>
    </x:row>
    <x:row r="481" ht="23" customHeight="1">
      <x:c r="A481" s="9"/>
      <x:c r="B481" s="10"/>
      <x:c r="C481" s="9"/>
      <x:c r="D481" s="9"/>
      <x:c r="E481" s="9"/>
      <x:c r="F481" s="11"/>
      <x:c r="G481" s="12" t="str">
        <x:f>IF(A481="","",SUMIFS('출고대장'!$D$7:$D$1006,'출고대장'!$A$7:$A$1006,A481))</x:f>
      </x:c>
      <x:c r="H481" s="12" t="str">
        <x:f>IF(A481="","",F481-G481)</x:f>
      </x:c>
      <x:c r="I481" s="12" t="str">
        <x:f>IF(A481="","",SUMIFS('출고대장'!$K$7:$K$1006,'출고대장'!$A$7:$A$1006,A481))</x:f>
      </x:c>
      <x:c r="J481" s="12" t="str">
        <x:f>IF(A481="","",SUMIFS('입금대장'!$C$7:$C$1006,'입금대장'!$A$7:$A$1006,A481,'입금대장'!$E$7:$E$1006,"정상"))</x:f>
      </x:c>
      <x:c r="K481" s="12" t="str">
        <x:f>IF(A481="","",I481-J481)</x:f>
      </x:c>
      <x:c r="L481" s="13" t="str">
        <x:f>IF(A481="","",IF(K481&lt;0,"선입금·초과입금",IF(I481=0,"청구 전",IF(K481=0,"정산 완료",IF(J481=0,"미입금","부분 입금")))))</x:f>
      </x:c>
      <x:c r="M481" s="9"/>
      <x:c r="N481" s="9"/>
    </x:row>
    <x:row r="482" ht="23" customHeight="1">
      <x:c r="A482" s="9"/>
      <x:c r="B482" s="10"/>
      <x:c r="C482" s="9"/>
      <x:c r="D482" s="9"/>
      <x:c r="E482" s="9"/>
      <x:c r="F482" s="11"/>
      <x:c r="G482" s="12" t="str">
        <x:f>IF(A482="","",SUMIFS('출고대장'!$D$7:$D$1006,'출고대장'!$A$7:$A$1006,A482))</x:f>
      </x:c>
      <x:c r="H482" s="12" t="str">
        <x:f>IF(A482="","",F482-G482)</x:f>
      </x:c>
      <x:c r="I482" s="12" t="str">
        <x:f>IF(A482="","",SUMIFS('출고대장'!$K$7:$K$1006,'출고대장'!$A$7:$A$1006,A482))</x:f>
      </x:c>
      <x:c r="J482" s="12" t="str">
        <x:f>IF(A482="","",SUMIFS('입금대장'!$C$7:$C$1006,'입금대장'!$A$7:$A$1006,A482,'입금대장'!$E$7:$E$1006,"정상"))</x:f>
      </x:c>
      <x:c r="K482" s="12" t="str">
        <x:f>IF(A482="","",I482-J482)</x:f>
      </x:c>
      <x:c r="L482" s="13" t="str">
        <x:f>IF(A482="","",IF(K482&lt;0,"선입금·초과입금",IF(I482=0,"청구 전",IF(K482=0,"정산 완료",IF(J482=0,"미입금","부분 입금")))))</x:f>
      </x:c>
      <x:c r="M482" s="9"/>
      <x:c r="N482" s="9"/>
    </x:row>
    <x:row r="483" ht="23" customHeight="1">
      <x:c r="A483" s="9"/>
      <x:c r="B483" s="10"/>
      <x:c r="C483" s="9"/>
      <x:c r="D483" s="9"/>
      <x:c r="E483" s="9"/>
      <x:c r="F483" s="11"/>
      <x:c r="G483" s="12" t="str">
        <x:f>IF(A483="","",SUMIFS('출고대장'!$D$7:$D$1006,'출고대장'!$A$7:$A$1006,A483))</x:f>
      </x:c>
      <x:c r="H483" s="12" t="str">
        <x:f>IF(A483="","",F483-G483)</x:f>
      </x:c>
      <x:c r="I483" s="12" t="str">
        <x:f>IF(A483="","",SUMIFS('출고대장'!$K$7:$K$1006,'출고대장'!$A$7:$A$1006,A483))</x:f>
      </x:c>
      <x:c r="J483" s="12" t="str">
        <x:f>IF(A483="","",SUMIFS('입금대장'!$C$7:$C$1006,'입금대장'!$A$7:$A$1006,A483,'입금대장'!$E$7:$E$1006,"정상"))</x:f>
      </x:c>
      <x:c r="K483" s="12" t="str">
        <x:f>IF(A483="","",I483-J483)</x:f>
      </x:c>
      <x:c r="L483" s="13" t="str">
        <x:f>IF(A483="","",IF(K483&lt;0,"선입금·초과입금",IF(I483=0,"청구 전",IF(K483=0,"정산 완료",IF(J483=0,"미입금","부분 입금")))))</x:f>
      </x:c>
      <x:c r="M483" s="9"/>
      <x:c r="N483" s="9"/>
    </x:row>
    <x:row r="484" ht="23" customHeight="1">
      <x:c r="A484" s="9"/>
      <x:c r="B484" s="10"/>
      <x:c r="C484" s="9"/>
      <x:c r="D484" s="9"/>
      <x:c r="E484" s="9"/>
      <x:c r="F484" s="11"/>
      <x:c r="G484" s="12" t="str">
        <x:f>IF(A484="","",SUMIFS('출고대장'!$D$7:$D$1006,'출고대장'!$A$7:$A$1006,A484))</x:f>
      </x:c>
      <x:c r="H484" s="12" t="str">
        <x:f>IF(A484="","",F484-G484)</x:f>
      </x:c>
      <x:c r="I484" s="12" t="str">
        <x:f>IF(A484="","",SUMIFS('출고대장'!$K$7:$K$1006,'출고대장'!$A$7:$A$1006,A484))</x:f>
      </x:c>
      <x:c r="J484" s="12" t="str">
        <x:f>IF(A484="","",SUMIFS('입금대장'!$C$7:$C$1006,'입금대장'!$A$7:$A$1006,A484,'입금대장'!$E$7:$E$1006,"정상"))</x:f>
      </x:c>
      <x:c r="K484" s="12" t="str">
        <x:f>IF(A484="","",I484-J484)</x:f>
      </x:c>
      <x:c r="L484" s="13" t="str">
        <x:f>IF(A484="","",IF(K484&lt;0,"선입금·초과입금",IF(I484=0,"청구 전",IF(K484=0,"정산 완료",IF(J484=0,"미입금","부분 입금")))))</x:f>
      </x:c>
      <x:c r="M484" s="9"/>
      <x:c r="N484" s="9"/>
    </x:row>
    <x:row r="485" ht="23" customHeight="1">
      <x:c r="A485" s="9"/>
      <x:c r="B485" s="10"/>
      <x:c r="C485" s="9"/>
      <x:c r="D485" s="9"/>
      <x:c r="E485" s="9"/>
      <x:c r="F485" s="11"/>
      <x:c r="G485" s="12" t="str">
        <x:f>IF(A485="","",SUMIFS('출고대장'!$D$7:$D$1006,'출고대장'!$A$7:$A$1006,A485))</x:f>
      </x:c>
      <x:c r="H485" s="12" t="str">
        <x:f>IF(A485="","",F485-G485)</x:f>
      </x:c>
      <x:c r="I485" s="12" t="str">
        <x:f>IF(A485="","",SUMIFS('출고대장'!$K$7:$K$1006,'출고대장'!$A$7:$A$1006,A485))</x:f>
      </x:c>
      <x:c r="J485" s="12" t="str">
        <x:f>IF(A485="","",SUMIFS('입금대장'!$C$7:$C$1006,'입금대장'!$A$7:$A$1006,A485,'입금대장'!$E$7:$E$1006,"정상"))</x:f>
      </x:c>
      <x:c r="K485" s="12" t="str">
        <x:f>IF(A485="","",I485-J485)</x:f>
      </x:c>
      <x:c r="L485" s="13" t="str">
        <x:f>IF(A485="","",IF(K485&lt;0,"선입금·초과입금",IF(I485=0,"청구 전",IF(K485=0,"정산 완료",IF(J485=0,"미입금","부분 입금")))))</x:f>
      </x:c>
      <x:c r="M485" s="9"/>
      <x:c r="N485" s="9"/>
    </x:row>
    <x:row r="486" ht="23" customHeight="1">
      <x:c r="A486" s="9"/>
      <x:c r="B486" s="10"/>
      <x:c r="C486" s="9"/>
      <x:c r="D486" s="9"/>
      <x:c r="E486" s="9"/>
      <x:c r="F486" s="11"/>
      <x:c r="G486" s="12" t="str">
        <x:f>IF(A486="","",SUMIFS('출고대장'!$D$7:$D$1006,'출고대장'!$A$7:$A$1006,A486))</x:f>
      </x:c>
      <x:c r="H486" s="12" t="str">
        <x:f>IF(A486="","",F486-G486)</x:f>
      </x:c>
      <x:c r="I486" s="12" t="str">
        <x:f>IF(A486="","",SUMIFS('출고대장'!$K$7:$K$1006,'출고대장'!$A$7:$A$1006,A486))</x:f>
      </x:c>
      <x:c r="J486" s="12" t="str">
        <x:f>IF(A486="","",SUMIFS('입금대장'!$C$7:$C$1006,'입금대장'!$A$7:$A$1006,A486,'입금대장'!$E$7:$E$1006,"정상"))</x:f>
      </x:c>
      <x:c r="K486" s="12" t="str">
        <x:f>IF(A486="","",I486-J486)</x:f>
      </x:c>
      <x:c r="L486" s="13" t="str">
        <x:f>IF(A486="","",IF(K486&lt;0,"선입금·초과입금",IF(I486=0,"청구 전",IF(K486=0,"정산 완료",IF(J486=0,"미입금","부분 입금")))))</x:f>
      </x:c>
      <x:c r="M486" s="9"/>
      <x:c r="N486" s="9"/>
    </x:row>
    <x:row r="487" ht="23" customHeight="1">
      <x:c r="A487" s="9"/>
      <x:c r="B487" s="10"/>
      <x:c r="C487" s="9"/>
      <x:c r="D487" s="9"/>
      <x:c r="E487" s="9"/>
      <x:c r="F487" s="11"/>
      <x:c r="G487" s="12" t="str">
        <x:f>IF(A487="","",SUMIFS('출고대장'!$D$7:$D$1006,'출고대장'!$A$7:$A$1006,A487))</x:f>
      </x:c>
      <x:c r="H487" s="12" t="str">
        <x:f>IF(A487="","",F487-G487)</x:f>
      </x:c>
      <x:c r="I487" s="12" t="str">
        <x:f>IF(A487="","",SUMIFS('출고대장'!$K$7:$K$1006,'출고대장'!$A$7:$A$1006,A487))</x:f>
      </x:c>
      <x:c r="J487" s="12" t="str">
        <x:f>IF(A487="","",SUMIFS('입금대장'!$C$7:$C$1006,'입금대장'!$A$7:$A$1006,A487,'입금대장'!$E$7:$E$1006,"정상"))</x:f>
      </x:c>
      <x:c r="K487" s="12" t="str">
        <x:f>IF(A487="","",I487-J487)</x:f>
      </x:c>
      <x:c r="L487" s="13" t="str">
        <x:f>IF(A487="","",IF(K487&lt;0,"선입금·초과입금",IF(I487=0,"청구 전",IF(K487=0,"정산 완료",IF(J487=0,"미입금","부분 입금")))))</x:f>
      </x:c>
      <x:c r="M487" s="9"/>
      <x:c r="N487" s="9"/>
    </x:row>
    <x:row r="488" ht="23" customHeight="1">
      <x:c r="A488" s="9"/>
      <x:c r="B488" s="10"/>
      <x:c r="C488" s="9"/>
      <x:c r="D488" s="9"/>
      <x:c r="E488" s="9"/>
      <x:c r="F488" s="11"/>
      <x:c r="G488" s="12" t="str">
        <x:f>IF(A488="","",SUMIFS('출고대장'!$D$7:$D$1006,'출고대장'!$A$7:$A$1006,A488))</x:f>
      </x:c>
      <x:c r="H488" s="12" t="str">
        <x:f>IF(A488="","",F488-G488)</x:f>
      </x:c>
      <x:c r="I488" s="12" t="str">
        <x:f>IF(A488="","",SUMIFS('출고대장'!$K$7:$K$1006,'출고대장'!$A$7:$A$1006,A488))</x:f>
      </x:c>
      <x:c r="J488" s="12" t="str">
        <x:f>IF(A488="","",SUMIFS('입금대장'!$C$7:$C$1006,'입금대장'!$A$7:$A$1006,A488,'입금대장'!$E$7:$E$1006,"정상"))</x:f>
      </x:c>
      <x:c r="K488" s="12" t="str">
        <x:f>IF(A488="","",I488-J488)</x:f>
      </x:c>
      <x:c r="L488" s="13" t="str">
        <x:f>IF(A488="","",IF(K488&lt;0,"선입금·초과입금",IF(I488=0,"청구 전",IF(K488=0,"정산 완료",IF(J488=0,"미입금","부분 입금")))))</x:f>
      </x:c>
      <x:c r="M488" s="9"/>
      <x:c r="N488" s="9"/>
    </x:row>
    <x:row r="489" ht="23" customHeight="1">
      <x:c r="A489" s="9"/>
      <x:c r="B489" s="10"/>
      <x:c r="C489" s="9"/>
      <x:c r="D489" s="9"/>
      <x:c r="E489" s="9"/>
      <x:c r="F489" s="11"/>
      <x:c r="G489" s="12" t="str">
        <x:f>IF(A489="","",SUMIFS('출고대장'!$D$7:$D$1006,'출고대장'!$A$7:$A$1006,A489))</x:f>
      </x:c>
      <x:c r="H489" s="12" t="str">
        <x:f>IF(A489="","",F489-G489)</x:f>
      </x:c>
      <x:c r="I489" s="12" t="str">
        <x:f>IF(A489="","",SUMIFS('출고대장'!$K$7:$K$1006,'출고대장'!$A$7:$A$1006,A489))</x:f>
      </x:c>
      <x:c r="J489" s="12" t="str">
        <x:f>IF(A489="","",SUMIFS('입금대장'!$C$7:$C$1006,'입금대장'!$A$7:$A$1006,A489,'입금대장'!$E$7:$E$1006,"정상"))</x:f>
      </x:c>
      <x:c r="K489" s="12" t="str">
        <x:f>IF(A489="","",I489-J489)</x:f>
      </x:c>
      <x:c r="L489" s="13" t="str">
        <x:f>IF(A489="","",IF(K489&lt;0,"선입금·초과입금",IF(I489=0,"청구 전",IF(K489=0,"정산 완료",IF(J489=0,"미입금","부분 입금")))))</x:f>
      </x:c>
      <x:c r="M489" s="9"/>
      <x:c r="N489" s="9"/>
    </x:row>
    <x:row r="490" ht="23" customHeight="1">
      <x:c r="A490" s="9"/>
      <x:c r="B490" s="10"/>
      <x:c r="C490" s="9"/>
      <x:c r="D490" s="9"/>
      <x:c r="E490" s="9"/>
      <x:c r="F490" s="11"/>
      <x:c r="G490" s="12" t="str">
        <x:f>IF(A490="","",SUMIFS('출고대장'!$D$7:$D$1006,'출고대장'!$A$7:$A$1006,A490))</x:f>
      </x:c>
      <x:c r="H490" s="12" t="str">
        <x:f>IF(A490="","",F490-G490)</x:f>
      </x:c>
      <x:c r="I490" s="12" t="str">
        <x:f>IF(A490="","",SUMIFS('출고대장'!$K$7:$K$1006,'출고대장'!$A$7:$A$1006,A490))</x:f>
      </x:c>
      <x:c r="J490" s="12" t="str">
        <x:f>IF(A490="","",SUMIFS('입금대장'!$C$7:$C$1006,'입금대장'!$A$7:$A$1006,A490,'입금대장'!$E$7:$E$1006,"정상"))</x:f>
      </x:c>
      <x:c r="K490" s="12" t="str">
        <x:f>IF(A490="","",I490-J490)</x:f>
      </x:c>
      <x:c r="L490" s="13" t="str">
        <x:f>IF(A490="","",IF(K490&lt;0,"선입금·초과입금",IF(I490=0,"청구 전",IF(K490=0,"정산 완료",IF(J490=0,"미입금","부분 입금")))))</x:f>
      </x:c>
      <x:c r="M490" s="9"/>
      <x:c r="N490" s="9"/>
    </x:row>
    <x:row r="491" ht="23" customHeight="1">
      <x:c r="A491" s="9"/>
      <x:c r="B491" s="10"/>
      <x:c r="C491" s="9"/>
      <x:c r="D491" s="9"/>
      <x:c r="E491" s="9"/>
      <x:c r="F491" s="11"/>
      <x:c r="G491" s="12" t="str">
        <x:f>IF(A491="","",SUMIFS('출고대장'!$D$7:$D$1006,'출고대장'!$A$7:$A$1006,A491))</x:f>
      </x:c>
      <x:c r="H491" s="12" t="str">
        <x:f>IF(A491="","",F491-G491)</x:f>
      </x:c>
      <x:c r="I491" s="12" t="str">
        <x:f>IF(A491="","",SUMIFS('출고대장'!$K$7:$K$1006,'출고대장'!$A$7:$A$1006,A491))</x:f>
      </x:c>
      <x:c r="J491" s="12" t="str">
        <x:f>IF(A491="","",SUMIFS('입금대장'!$C$7:$C$1006,'입금대장'!$A$7:$A$1006,A491,'입금대장'!$E$7:$E$1006,"정상"))</x:f>
      </x:c>
      <x:c r="K491" s="12" t="str">
        <x:f>IF(A491="","",I491-J491)</x:f>
      </x:c>
      <x:c r="L491" s="13" t="str">
        <x:f>IF(A491="","",IF(K491&lt;0,"선입금·초과입금",IF(I491=0,"청구 전",IF(K491=0,"정산 완료",IF(J491=0,"미입금","부분 입금")))))</x:f>
      </x:c>
      <x:c r="M491" s="9"/>
      <x:c r="N491" s="9"/>
    </x:row>
    <x:row r="492" ht="23" customHeight="1">
      <x:c r="A492" s="9"/>
      <x:c r="B492" s="10"/>
      <x:c r="C492" s="9"/>
      <x:c r="D492" s="9"/>
      <x:c r="E492" s="9"/>
      <x:c r="F492" s="11"/>
      <x:c r="G492" s="12" t="str">
        <x:f>IF(A492="","",SUMIFS('출고대장'!$D$7:$D$1006,'출고대장'!$A$7:$A$1006,A492))</x:f>
      </x:c>
      <x:c r="H492" s="12" t="str">
        <x:f>IF(A492="","",F492-G492)</x:f>
      </x:c>
      <x:c r="I492" s="12" t="str">
        <x:f>IF(A492="","",SUMIFS('출고대장'!$K$7:$K$1006,'출고대장'!$A$7:$A$1006,A492))</x:f>
      </x:c>
      <x:c r="J492" s="12" t="str">
        <x:f>IF(A492="","",SUMIFS('입금대장'!$C$7:$C$1006,'입금대장'!$A$7:$A$1006,A492,'입금대장'!$E$7:$E$1006,"정상"))</x:f>
      </x:c>
      <x:c r="K492" s="12" t="str">
        <x:f>IF(A492="","",I492-J492)</x:f>
      </x:c>
      <x:c r="L492" s="13" t="str">
        <x:f>IF(A492="","",IF(K492&lt;0,"선입금·초과입금",IF(I492=0,"청구 전",IF(K492=0,"정산 완료",IF(J492=0,"미입금","부분 입금")))))</x:f>
      </x:c>
      <x:c r="M492" s="9"/>
      <x:c r="N492" s="9"/>
    </x:row>
    <x:row r="493" ht="23" customHeight="1">
      <x:c r="A493" s="9"/>
      <x:c r="B493" s="10"/>
      <x:c r="C493" s="9"/>
      <x:c r="D493" s="9"/>
      <x:c r="E493" s="9"/>
      <x:c r="F493" s="11"/>
      <x:c r="G493" s="12" t="str">
        <x:f>IF(A493="","",SUMIFS('출고대장'!$D$7:$D$1006,'출고대장'!$A$7:$A$1006,A493))</x:f>
      </x:c>
      <x:c r="H493" s="12" t="str">
        <x:f>IF(A493="","",F493-G493)</x:f>
      </x:c>
      <x:c r="I493" s="12" t="str">
        <x:f>IF(A493="","",SUMIFS('출고대장'!$K$7:$K$1006,'출고대장'!$A$7:$A$1006,A493))</x:f>
      </x:c>
      <x:c r="J493" s="12" t="str">
        <x:f>IF(A493="","",SUMIFS('입금대장'!$C$7:$C$1006,'입금대장'!$A$7:$A$1006,A493,'입금대장'!$E$7:$E$1006,"정상"))</x:f>
      </x:c>
      <x:c r="K493" s="12" t="str">
        <x:f>IF(A493="","",I493-J493)</x:f>
      </x:c>
      <x:c r="L493" s="13" t="str">
        <x:f>IF(A493="","",IF(K493&lt;0,"선입금·초과입금",IF(I493=0,"청구 전",IF(K493=0,"정산 완료",IF(J493=0,"미입금","부분 입금")))))</x:f>
      </x:c>
      <x:c r="M493" s="9"/>
      <x:c r="N493" s="9"/>
    </x:row>
    <x:row r="494" ht="23" customHeight="1">
      <x:c r="A494" s="9"/>
      <x:c r="B494" s="10"/>
      <x:c r="C494" s="9"/>
      <x:c r="D494" s="9"/>
      <x:c r="E494" s="9"/>
      <x:c r="F494" s="11"/>
      <x:c r="G494" s="12" t="str">
        <x:f>IF(A494="","",SUMIFS('출고대장'!$D$7:$D$1006,'출고대장'!$A$7:$A$1006,A494))</x:f>
      </x:c>
      <x:c r="H494" s="12" t="str">
        <x:f>IF(A494="","",F494-G494)</x:f>
      </x:c>
      <x:c r="I494" s="12" t="str">
        <x:f>IF(A494="","",SUMIFS('출고대장'!$K$7:$K$1006,'출고대장'!$A$7:$A$1006,A494))</x:f>
      </x:c>
      <x:c r="J494" s="12" t="str">
        <x:f>IF(A494="","",SUMIFS('입금대장'!$C$7:$C$1006,'입금대장'!$A$7:$A$1006,A494,'입금대장'!$E$7:$E$1006,"정상"))</x:f>
      </x:c>
      <x:c r="K494" s="12" t="str">
        <x:f>IF(A494="","",I494-J494)</x:f>
      </x:c>
      <x:c r="L494" s="13" t="str">
        <x:f>IF(A494="","",IF(K494&lt;0,"선입금·초과입금",IF(I494=0,"청구 전",IF(K494=0,"정산 완료",IF(J494=0,"미입금","부분 입금")))))</x:f>
      </x:c>
      <x:c r="M494" s="9"/>
      <x:c r="N494" s="9"/>
    </x:row>
    <x:row r="495" ht="23" customHeight="1">
      <x:c r="A495" s="9"/>
      <x:c r="B495" s="10"/>
      <x:c r="C495" s="9"/>
      <x:c r="D495" s="9"/>
      <x:c r="E495" s="9"/>
      <x:c r="F495" s="11"/>
      <x:c r="G495" s="12" t="str">
        <x:f>IF(A495="","",SUMIFS('출고대장'!$D$7:$D$1006,'출고대장'!$A$7:$A$1006,A495))</x:f>
      </x:c>
      <x:c r="H495" s="12" t="str">
        <x:f>IF(A495="","",F495-G495)</x:f>
      </x:c>
      <x:c r="I495" s="12" t="str">
        <x:f>IF(A495="","",SUMIFS('출고대장'!$K$7:$K$1006,'출고대장'!$A$7:$A$1006,A495))</x:f>
      </x:c>
      <x:c r="J495" s="12" t="str">
        <x:f>IF(A495="","",SUMIFS('입금대장'!$C$7:$C$1006,'입금대장'!$A$7:$A$1006,A495,'입금대장'!$E$7:$E$1006,"정상"))</x:f>
      </x:c>
      <x:c r="K495" s="12" t="str">
        <x:f>IF(A495="","",I495-J495)</x:f>
      </x:c>
      <x:c r="L495" s="13" t="str">
        <x:f>IF(A495="","",IF(K495&lt;0,"선입금·초과입금",IF(I495=0,"청구 전",IF(K495=0,"정산 완료",IF(J495=0,"미입금","부분 입금")))))</x:f>
      </x:c>
      <x:c r="M495" s="9"/>
      <x:c r="N495" s="9"/>
    </x:row>
    <x:row r="496" ht="23" customHeight="1">
      <x:c r="A496" s="9"/>
      <x:c r="B496" s="10"/>
      <x:c r="C496" s="9"/>
      <x:c r="D496" s="9"/>
      <x:c r="E496" s="9"/>
      <x:c r="F496" s="11"/>
      <x:c r="G496" s="12" t="str">
        <x:f>IF(A496="","",SUMIFS('출고대장'!$D$7:$D$1006,'출고대장'!$A$7:$A$1006,A496))</x:f>
      </x:c>
      <x:c r="H496" s="12" t="str">
        <x:f>IF(A496="","",F496-G496)</x:f>
      </x:c>
      <x:c r="I496" s="12" t="str">
        <x:f>IF(A496="","",SUMIFS('출고대장'!$K$7:$K$1006,'출고대장'!$A$7:$A$1006,A496))</x:f>
      </x:c>
      <x:c r="J496" s="12" t="str">
        <x:f>IF(A496="","",SUMIFS('입금대장'!$C$7:$C$1006,'입금대장'!$A$7:$A$1006,A496,'입금대장'!$E$7:$E$1006,"정상"))</x:f>
      </x:c>
      <x:c r="K496" s="12" t="str">
        <x:f>IF(A496="","",I496-J496)</x:f>
      </x:c>
      <x:c r="L496" s="13" t="str">
        <x:f>IF(A496="","",IF(K496&lt;0,"선입금·초과입금",IF(I496=0,"청구 전",IF(K496=0,"정산 완료",IF(J496=0,"미입금","부분 입금")))))</x:f>
      </x:c>
      <x:c r="M496" s="9"/>
      <x:c r="N496" s="9"/>
    </x:row>
    <x:row r="497" ht="23" customHeight="1">
      <x:c r="A497" s="9"/>
      <x:c r="B497" s="10"/>
      <x:c r="C497" s="9"/>
      <x:c r="D497" s="9"/>
      <x:c r="E497" s="9"/>
      <x:c r="F497" s="11"/>
      <x:c r="G497" s="12" t="str">
        <x:f>IF(A497="","",SUMIFS('출고대장'!$D$7:$D$1006,'출고대장'!$A$7:$A$1006,A497))</x:f>
      </x:c>
      <x:c r="H497" s="12" t="str">
        <x:f>IF(A497="","",F497-G497)</x:f>
      </x:c>
      <x:c r="I497" s="12" t="str">
        <x:f>IF(A497="","",SUMIFS('출고대장'!$K$7:$K$1006,'출고대장'!$A$7:$A$1006,A497))</x:f>
      </x:c>
      <x:c r="J497" s="12" t="str">
        <x:f>IF(A497="","",SUMIFS('입금대장'!$C$7:$C$1006,'입금대장'!$A$7:$A$1006,A497,'입금대장'!$E$7:$E$1006,"정상"))</x:f>
      </x:c>
      <x:c r="K497" s="12" t="str">
        <x:f>IF(A497="","",I497-J497)</x:f>
      </x:c>
      <x:c r="L497" s="13" t="str">
        <x:f>IF(A497="","",IF(K497&lt;0,"선입금·초과입금",IF(I497=0,"청구 전",IF(K497=0,"정산 완료",IF(J497=0,"미입금","부분 입금")))))</x:f>
      </x:c>
      <x:c r="M497" s="9"/>
      <x:c r="N497" s="9"/>
    </x:row>
    <x:row r="498" ht="23" customHeight="1">
      <x:c r="A498" s="9"/>
      <x:c r="B498" s="10"/>
      <x:c r="C498" s="9"/>
      <x:c r="D498" s="9"/>
      <x:c r="E498" s="9"/>
      <x:c r="F498" s="11"/>
      <x:c r="G498" s="12" t="str">
        <x:f>IF(A498="","",SUMIFS('출고대장'!$D$7:$D$1006,'출고대장'!$A$7:$A$1006,A498))</x:f>
      </x:c>
      <x:c r="H498" s="12" t="str">
        <x:f>IF(A498="","",F498-G498)</x:f>
      </x:c>
      <x:c r="I498" s="12" t="str">
        <x:f>IF(A498="","",SUMIFS('출고대장'!$K$7:$K$1006,'출고대장'!$A$7:$A$1006,A498))</x:f>
      </x:c>
      <x:c r="J498" s="12" t="str">
        <x:f>IF(A498="","",SUMIFS('입금대장'!$C$7:$C$1006,'입금대장'!$A$7:$A$1006,A498,'입금대장'!$E$7:$E$1006,"정상"))</x:f>
      </x:c>
      <x:c r="K498" s="12" t="str">
        <x:f>IF(A498="","",I498-J498)</x:f>
      </x:c>
      <x:c r="L498" s="13" t="str">
        <x:f>IF(A498="","",IF(K498&lt;0,"선입금·초과입금",IF(I498=0,"청구 전",IF(K498=0,"정산 완료",IF(J498=0,"미입금","부분 입금")))))</x:f>
      </x:c>
      <x:c r="M498" s="9"/>
      <x:c r="N498" s="9"/>
    </x:row>
    <x:row r="499" ht="23" customHeight="1">
      <x:c r="A499" s="9"/>
      <x:c r="B499" s="10"/>
      <x:c r="C499" s="9"/>
      <x:c r="D499" s="9"/>
      <x:c r="E499" s="9"/>
      <x:c r="F499" s="11"/>
      <x:c r="G499" s="12" t="str">
        <x:f>IF(A499="","",SUMIFS('출고대장'!$D$7:$D$1006,'출고대장'!$A$7:$A$1006,A499))</x:f>
      </x:c>
      <x:c r="H499" s="12" t="str">
        <x:f>IF(A499="","",F499-G499)</x:f>
      </x:c>
      <x:c r="I499" s="12" t="str">
        <x:f>IF(A499="","",SUMIFS('출고대장'!$K$7:$K$1006,'출고대장'!$A$7:$A$1006,A499))</x:f>
      </x:c>
      <x:c r="J499" s="12" t="str">
        <x:f>IF(A499="","",SUMIFS('입금대장'!$C$7:$C$1006,'입금대장'!$A$7:$A$1006,A499,'입금대장'!$E$7:$E$1006,"정상"))</x:f>
      </x:c>
      <x:c r="K499" s="12" t="str">
        <x:f>IF(A499="","",I499-J499)</x:f>
      </x:c>
      <x:c r="L499" s="13" t="str">
        <x:f>IF(A499="","",IF(K499&lt;0,"선입금·초과입금",IF(I499=0,"청구 전",IF(K499=0,"정산 완료",IF(J499=0,"미입금","부분 입금")))))</x:f>
      </x:c>
      <x:c r="M499" s="9"/>
      <x:c r="N499" s="9"/>
    </x:row>
    <x:row r="500" ht="23" customHeight="1">
      <x:c r="A500" s="9"/>
      <x:c r="B500" s="10"/>
      <x:c r="C500" s="9"/>
      <x:c r="D500" s="9"/>
      <x:c r="E500" s="9"/>
      <x:c r="F500" s="11"/>
      <x:c r="G500" s="12" t="str">
        <x:f>IF(A500="","",SUMIFS('출고대장'!$D$7:$D$1006,'출고대장'!$A$7:$A$1006,A500))</x:f>
      </x:c>
      <x:c r="H500" s="12" t="str">
        <x:f>IF(A500="","",F500-G500)</x:f>
      </x:c>
      <x:c r="I500" s="12" t="str">
        <x:f>IF(A500="","",SUMIFS('출고대장'!$K$7:$K$1006,'출고대장'!$A$7:$A$1006,A500))</x:f>
      </x:c>
      <x:c r="J500" s="12" t="str">
        <x:f>IF(A500="","",SUMIFS('입금대장'!$C$7:$C$1006,'입금대장'!$A$7:$A$1006,A500,'입금대장'!$E$7:$E$1006,"정상"))</x:f>
      </x:c>
      <x:c r="K500" s="12" t="str">
        <x:f>IF(A500="","",I500-J500)</x:f>
      </x:c>
      <x:c r="L500" s="13" t="str">
        <x:f>IF(A500="","",IF(K500&lt;0,"선입금·초과입금",IF(I500=0,"청구 전",IF(K500=0,"정산 완료",IF(J500=0,"미입금","부분 입금")))))</x:f>
      </x:c>
      <x:c r="M500" s="9"/>
      <x:c r="N500" s="9"/>
    </x:row>
    <x:row r="501" ht="23" customHeight="1">
      <x:c r="A501" s="9"/>
      <x:c r="B501" s="10"/>
      <x:c r="C501" s="9"/>
      <x:c r="D501" s="9"/>
      <x:c r="E501" s="9"/>
      <x:c r="F501" s="11"/>
      <x:c r="G501" s="12" t="str">
        <x:f>IF(A501="","",SUMIFS('출고대장'!$D$7:$D$1006,'출고대장'!$A$7:$A$1006,A501))</x:f>
      </x:c>
      <x:c r="H501" s="12" t="str">
        <x:f>IF(A501="","",F501-G501)</x:f>
      </x:c>
      <x:c r="I501" s="12" t="str">
        <x:f>IF(A501="","",SUMIFS('출고대장'!$K$7:$K$1006,'출고대장'!$A$7:$A$1006,A501))</x:f>
      </x:c>
      <x:c r="J501" s="12" t="str">
        <x:f>IF(A501="","",SUMIFS('입금대장'!$C$7:$C$1006,'입금대장'!$A$7:$A$1006,A501,'입금대장'!$E$7:$E$1006,"정상"))</x:f>
      </x:c>
      <x:c r="K501" s="12" t="str">
        <x:f>IF(A501="","",I501-J501)</x:f>
      </x:c>
      <x:c r="L501" s="13" t="str">
        <x:f>IF(A501="","",IF(K501&lt;0,"선입금·초과입금",IF(I501=0,"청구 전",IF(K501=0,"정산 완료",IF(J501=0,"미입금","부분 입금")))))</x:f>
      </x:c>
      <x:c r="M501" s="9"/>
      <x:c r="N501" s="9"/>
    </x:row>
    <x:row r="502" ht="23" customHeight="1">
      <x:c r="A502" s="9"/>
      <x:c r="B502" s="10"/>
      <x:c r="C502" s="9"/>
      <x:c r="D502" s="9"/>
      <x:c r="E502" s="9"/>
      <x:c r="F502" s="11"/>
      <x:c r="G502" s="12" t="str">
        <x:f>IF(A502="","",SUMIFS('출고대장'!$D$7:$D$1006,'출고대장'!$A$7:$A$1006,A502))</x:f>
      </x:c>
      <x:c r="H502" s="12" t="str">
        <x:f>IF(A502="","",F502-G502)</x:f>
      </x:c>
      <x:c r="I502" s="12" t="str">
        <x:f>IF(A502="","",SUMIFS('출고대장'!$K$7:$K$1006,'출고대장'!$A$7:$A$1006,A502))</x:f>
      </x:c>
      <x:c r="J502" s="12" t="str">
        <x:f>IF(A502="","",SUMIFS('입금대장'!$C$7:$C$1006,'입금대장'!$A$7:$A$1006,A502,'입금대장'!$E$7:$E$1006,"정상"))</x:f>
      </x:c>
      <x:c r="K502" s="12" t="str">
        <x:f>IF(A502="","",I502-J502)</x:f>
      </x:c>
      <x:c r="L502" s="13" t="str">
        <x:f>IF(A502="","",IF(K502&lt;0,"선입금·초과입금",IF(I502=0,"청구 전",IF(K502=0,"정산 완료",IF(J502=0,"미입금","부분 입금")))))</x:f>
      </x:c>
      <x:c r="M502" s="9"/>
      <x:c r="N502" s="9"/>
    </x:row>
    <x:row r="503" ht="23" customHeight="1">
      <x:c r="A503" s="9"/>
      <x:c r="B503" s="10"/>
      <x:c r="C503" s="9"/>
      <x:c r="D503" s="9"/>
      <x:c r="E503" s="9"/>
      <x:c r="F503" s="11"/>
      <x:c r="G503" s="12" t="str">
        <x:f>IF(A503="","",SUMIFS('출고대장'!$D$7:$D$1006,'출고대장'!$A$7:$A$1006,A503))</x:f>
      </x:c>
      <x:c r="H503" s="12" t="str">
        <x:f>IF(A503="","",F503-G503)</x:f>
      </x:c>
      <x:c r="I503" s="12" t="str">
        <x:f>IF(A503="","",SUMIFS('출고대장'!$K$7:$K$1006,'출고대장'!$A$7:$A$1006,A503))</x:f>
      </x:c>
      <x:c r="J503" s="12" t="str">
        <x:f>IF(A503="","",SUMIFS('입금대장'!$C$7:$C$1006,'입금대장'!$A$7:$A$1006,A503,'입금대장'!$E$7:$E$1006,"정상"))</x:f>
      </x:c>
      <x:c r="K503" s="12" t="str">
        <x:f>IF(A503="","",I503-J503)</x:f>
      </x:c>
      <x:c r="L503" s="13" t="str">
        <x:f>IF(A503="","",IF(K503&lt;0,"선입금·초과입금",IF(I503=0,"청구 전",IF(K503=0,"정산 완료",IF(J503=0,"미입금","부분 입금")))))</x:f>
      </x:c>
      <x:c r="M503" s="9"/>
      <x:c r="N503" s="9"/>
    </x:row>
    <x:row r="504" ht="23" customHeight="1">
      <x:c r="A504" s="9"/>
      <x:c r="B504" s="10"/>
      <x:c r="C504" s="9"/>
      <x:c r="D504" s="9"/>
      <x:c r="E504" s="9"/>
      <x:c r="F504" s="11"/>
      <x:c r="G504" s="12" t="str">
        <x:f>IF(A504="","",SUMIFS('출고대장'!$D$7:$D$1006,'출고대장'!$A$7:$A$1006,A504))</x:f>
      </x:c>
      <x:c r="H504" s="12" t="str">
        <x:f>IF(A504="","",F504-G504)</x:f>
      </x:c>
      <x:c r="I504" s="12" t="str">
        <x:f>IF(A504="","",SUMIFS('출고대장'!$K$7:$K$1006,'출고대장'!$A$7:$A$1006,A504))</x:f>
      </x:c>
      <x:c r="J504" s="12" t="str">
        <x:f>IF(A504="","",SUMIFS('입금대장'!$C$7:$C$1006,'입금대장'!$A$7:$A$1006,A504,'입금대장'!$E$7:$E$1006,"정상"))</x:f>
      </x:c>
      <x:c r="K504" s="12" t="str">
        <x:f>IF(A504="","",I504-J504)</x:f>
      </x:c>
      <x:c r="L504" s="13" t="str">
        <x:f>IF(A504="","",IF(K504&lt;0,"선입금·초과입금",IF(I504=0,"청구 전",IF(K504=0,"정산 완료",IF(J504=0,"미입금","부분 입금")))))</x:f>
      </x:c>
      <x:c r="M504" s="9"/>
      <x:c r="N504" s="9"/>
    </x:row>
    <x:row r="505" ht="23" customHeight="1">
      <x:c r="A505" s="9"/>
      <x:c r="B505" s="10"/>
      <x:c r="C505" s="9"/>
      <x:c r="D505" s="9"/>
      <x:c r="E505" s="9"/>
      <x:c r="F505" s="11"/>
      <x:c r="G505" s="12" t="str">
        <x:f>IF(A505="","",SUMIFS('출고대장'!$D$7:$D$1006,'출고대장'!$A$7:$A$1006,A505))</x:f>
      </x:c>
      <x:c r="H505" s="12" t="str">
        <x:f>IF(A505="","",F505-G505)</x:f>
      </x:c>
      <x:c r="I505" s="12" t="str">
        <x:f>IF(A505="","",SUMIFS('출고대장'!$K$7:$K$1006,'출고대장'!$A$7:$A$1006,A505))</x:f>
      </x:c>
      <x:c r="J505" s="12" t="str">
        <x:f>IF(A505="","",SUMIFS('입금대장'!$C$7:$C$1006,'입금대장'!$A$7:$A$1006,A505,'입금대장'!$E$7:$E$1006,"정상"))</x:f>
      </x:c>
      <x:c r="K505" s="12" t="str">
        <x:f>IF(A505="","",I505-J505)</x:f>
      </x:c>
      <x:c r="L505" s="13" t="str">
        <x:f>IF(A505="","",IF(K505&lt;0,"선입금·초과입금",IF(I505=0,"청구 전",IF(K505=0,"정산 완료",IF(J505=0,"미입금","부분 입금")))))</x:f>
      </x:c>
      <x:c r="M505" s="9"/>
      <x:c r="N505" s="9"/>
    </x:row>
    <x:row r="506" ht="23" customHeight="1">
      <x:c r="A506" s="9"/>
      <x:c r="B506" s="10"/>
      <x:c r="C506" s="9"/>
      <x:c r="D506" s="9"/>
      <x:c r="E506" s="9"/>
      <x:c r="F506" s="11"/>
      <x:c r="G506" s="12" t="str">
        <x:f>IF(A506="","",SUMIFS('출고대장'!$D$7:$D$1006,'출고대장'!$A$7:$A$1006,A506))</x:f>
      </x:c>
      <x:c r="H506" s="12" t="str">
        <x:f>IF(A506="","",F506-G506)</x:f>
      </x:c>
      <x:c r="I506" s="12" t="str">
        <x:f>IF(A506="","",SUMIFS('출고대장'!$K$7:$K$1006,'출고대장'!$A$7:$A$1006,A506))</x:f>
      </x:c>
      <x:c r="J506" s="12" t="str">
        <x:f>IF(A506="","",SUMIFS('입금대장'!$C$7:$C$1006,'입금대장'!$A$7:$A$1006,A506,'입금대장'!$E$7:$E$1006,"정상"))</x:f>
      </x:c>
      <x:c r="K506" s="12" t="str">
        <x:f>IF(A506="","",I506-J506)</x:f>
      </x:c>
      <x:c r="L506" s="13" t="str">
        <x:f>IF(A506="","",IF(K506&lt;0,"선입금·초과입금",IF(I506=0,"청구 전",IF(K506=0,"정산 완료",IF(J506=0,"미입금","부분 입금")))))</x:f>
      </x:c>
      <x:c r="M506" s="9"/>
      <x:c r="N506" s="9"/>
    </x:row>
    <x:row r="507" ht="23" customHeight="1">
      <x:c r="A507" s="9"/>
      <x:c r="B507" s="10"/>
      <x:c r="C507" s="9"/>
      <x:c r="D507" s="9"/>
      <x:c r="E507" s="9"/>
      <x:c r="F507" s="11"/>
      <x:c r="G507" s="12" t="str">
        <x:f>IF(A507="","",SUMIFS('출고대장'!$D$7:$D$1006,'출고대장'!$A$7:$A$1006,A507))</x:f>
      </x:c>
      <x:c r="H507" s="12" t="str">
        <x:f>IF(A507="","",F507-G507)</x:f>
      </x:c>
      <x:c r="I507" s="12" t="str">
        <x:f>IF(A507="","",SUMIFS('출고대장'!$K$7:$K$1006,'출고대장'!$A$7:$A$1006,A507))</x:f>
      </x:c>
      <x:c r="J507" s="12" t="str">
        <x:f>IF(A507="","",SUMIFS('입금대장'!$C$7:$C$1006,'입금대장'!$A$7:$A$1006,A507,'입금대장'!$E$7:$E$1006,"정상"))</x:f>
      </x:c>
      <x:c r="K507" s="12" t="str">
        <x:f>IF(A507="","",I507-J507)</x:f>
      </x:c>
      <x:c r="L507" s="13" t="str">
        <x:f>IF(A507="","",IF(K507&lt;0,"선입금·초과입금",IF(I507=0,"청구 전",IF(K507=0,"정산 완료",IF(J507=0,"미입금","부분 입금")))))</x:f>
      </x:c>
      <x:c r="M507" s="9"/>
      <x:c r="N507" s="9"/>
    </x:row>
    <x:row r="508" ht="23" customHeight="1">
      <x:c r="A508" s="9"/>
      <x:c r="B508" s="10"/>
      <x:c r="C508" s="9"/>
      <x:c r="D508" s="9"/>
      <x:c r="E508" s="9"/>
      <x:c r="F508" s="11"/>
      <x:c r="G508" s="12" t="str">
        <x:f>IF(A508="","",SUMIFS('출고대장'!$D$7:$D$1006,'출고대장'!$A$7:$A$1006,A508))</x:f>
      </x:c>
      <x:c r="H508" s="12" t="str">
        <x:f>IF(A508="","",F508-G508)</x:f>
      </x:c>
      <x:c r="I508" s="12" t="str">
        <x:f>IF(A508="","",SUMIFS('출고대장'!$K$7:$K$1006,'출고대장'!$A$7:$A$1006,A508))</x:f>
      </x:c>
      <x:c r="J508" s="12" t="str">
        <x:f>IF(A508="","",SUMIFS('입금대장'!$C$7:$C$1006,'입금대장'!$A$7:$A$1006,A508,'입금대장'!$E$7:$E$1006,"정상"))</x:f>
      </x:c>
      <x:c r="K508" s="12" t="str">
        <x:f>IF(A508="","",I508-J508)</x:f>
      </x:c>
      <x:c r="L508" s="13" t="str">
        <x:f>IF(A508="","",IF(K508&lt;0,"선입금·초과입금",IF(I508=0,"청구 전",IF(K508=0,"정산 완료",IF(J508=0,"미입금","부분 입금")))))</x:f>
      </x:c>
      <x:c r="M508" s="9"/>
      <x:c r="N508" s="9"/>
    </x:row>
    <x:row r="509" ht="23" customHeight="1">
      <x:c r="A509" s="9"/>
      <x:c r="B509" s="10"/>
      <x:c r="C509" s="9"/>
      <x:c r="D509" s="9"/>
      <x:c r="E509" s="9"/>
      <x:c r="F509" s="11"/>
      <x:c r="G509" s="12" t="str">
        <x:f>IF(A509="","",SUMIFS('출고대장'!$D$7:$D$1006,'출고대장'!$A$7:$A$1006,A509))</x:f>
      </x:c>
      <x:c r="H509" s="12" t="str">
        <x:f>IF(A509="","",F509-G509)</x:f>
      </x:c>
      <x:c r="I509" s="12" t="str">
        <x:f>IF(A509="","",SUMIFS('출고대장'!$K$7:$K$1006,'출고대장'!$A$7:$A$1006,A509))</x:f>
      </x:c>
      <x:c r="J509" s="12" t="str">
        <x:f>IF(A509="","",SUMIFS('입금대장'!$C$7:$C$1006,'입금대장'!$A$7:$A$1006,A509,'입금대장'!$E$7:$E$1006,"정상"))</x:f>
      </x:c>
      <x:c r="K509" s="12" t="str">
        <x:f>IF(A509="","",I509-J509)</x:f>
      </x:c>
      <x:c r="L509" s="13" t="str">
        <x:f>IF(A509="","",IF(K509&lt;0,"선입금·초과입금",IF(I509=0,"청구 전",IF(K509=0,"정산 완료",IF(J509=0,"미입금","부분 입금")))))</x:f>
      </x:c>
      <x:c r="M509" s="9"/>
      <x:c r="N509" s="9"/>
    </x:row>
    <x:row r="510" ht="23" customHeight="1">
      <x:c r="A510" s="9"/>
      <x:c r="B510" s="10"/>
      <x:c r="C510" s="9"/>
      <x:c r="D510" s="9"/>
      <x:c r="E510" s="9"/>
      <x:c r="F510" s="11"/>
      <x:c r="G510" s="12" t="str">
        <x:f>IF(A510="","",SUMIFS('출고대장'!$D$7:$D$1006,'출고대장'!$A$7:$A$1006,A510))</x:f>
      </x:c>
      <x:c r="H510" s="12" t="str">
        <x:f>IF(A510="","",F510-G510)</x:f>
      </x:c>
      <x:c r="I510" s="12" t="str">
        <x:f>IF(A510="","",SUMIFS('출고대장'!$K$7:$K$1006,'출고대장'!$A$7:$A$1006,A510))</x:f>
      </x:c>
      <x:c r="J510" s="12" t="str">
        <x:f>IF(A510="","",SUMIFS('입금대장'!$C$7:$C$1006,'입금대장'!$A$7:$A$1006,A510,'입금대장'!$E$7:$E$1006,"정상"))</x:f>
      </x:c>
      <x:c r="K510" s="12" t="str">
        <x:f>IF(A510="","",I510-J510)</x:f>
      </x:c>
      <x:c r="L510" s="13" t="str">
        <x:f>IF(A510="","",IF(K510&lt;0,"선입금·초과입금",IF(I510=0,"청구 전",IF(K510=0,"정산 완료",IF(J510=0,"미입금","부분 입금")))))</x:f>
      </x:c>
      <x:c r="M510" s="9"/>
      <x:c r="N510" s="9"/>
    </x:row>
    <x:row r="511" ht="23" customHeight="1">
      <x:c r="A511" s="9"/>
      <x:c r="B511" s="10"/>
      <x:c r="C511" s="9"/>
      <x:c r="D511" s="9"/>
      <x:c r="E511" s="9"/>
      <x:c r="F511" s="11"/>
      <x:c r="G511" s="12" t="str">
        <x:f>IF(A511="","",SUMIFS('출고대장'!$D$7:$D$1006,'출고대장'!$A$7:$A$1006,A511))</x:f>
      </x:c>
      <x:c r="H511" s="12" t="str">
        <x:f>IF(A511="","",F511-G511)</x:f>
      </x:c>
      <x:c r="I511" s="12" t="str">
        <x:f>IF(A511="","",SUMIFS('출고대장'!$K$7:$K$1006,'출고대장'!$A$7:$A$1006,A511))</x:f>
      </x:c>
      <x:c r="J511" s="12" t="str">
        <x:f>IF(A511="","",SUMIFS('입금대장'!$C$7:$C$1006,'입금대장'!$A$7:$A$1006,A511,'입금대장'!$E$7:$E$1006,"정상"))</x:f>
      </x:c>
      <x:c r="K511" s="12" t="str">
        <x:f>IF(A511="","",I511-J511)</x:f>
      </x:c>
      <x:c r="L511" s="13" t="str">
        <x:f>IF(A511="","",IF(K511&lt;0,"선입금·초과입금",IF(I511=0,"청구 전",IF(K511=0,"정산 완료",IF(J511=0,"미입금","부분 입금")))))</x:f>
      </x:c>
      <x:c r="M511" s="9"/>
      <x:c r="N511" s="9"/>
    </x:row>
    <x:row r="512" ht="23" customHeight="1">
      <x:c r="A512" s="9"/>
      <x:c r="B512" s="10"/>
      <x:c r="C512" s="9"/>
      <x:c r="D512" s="9"/>
      <x:c r="E512" s="9"/>
      <x:c r="F512" s="11"/>
      <x:c r="G512" s="12" t="str">
        <x:f>IF(A512="","",SUMIFS('출고대장'!$D$7:$D$1006,'출고대장'!$A$7:$A$1006,A512))</x:f>
      </x:c>
      <x:c r="H512" s="12" t="str">
        <x:f>IF(A512="","",F512-G512)</x:f>
      </x:c>
      <x:c r="I512" s="12" t="str">
        <x:f>IF(A512="","",SUMIFS('출고대장'!$K$7:$K$1006,'출고대장'!$A$7:$A$1006,A512))</x:f>
      </x:c>
      <x:c r="J512" s="12" t="str">
        <x:f>IF(A512="","",SUMIFS('입금대장'!$C$7:$C$1006,'입금대장'!$A$7:$A$1006,A512,'입금대장'!$E$7:$E$1006,"정상"))</x:f>
      </x:c>
      <x:c r="K512" s="12" t="str">
        <x:f>IF(A512="","",I512-J512)</x:f>
      </x:c>
      <x:c r="L512" s="13" t="str">
        <x:f>IF(A512="","",IF(K512&lt;0,"선입금·초과입금",IF(I512=0,"청구 전",IF(K512=0,"정산 완료",IF(J512=0,"미입금","부분 입금")))))</x:f>
      </x:c>
      <x:c r="M512" s="9"/>
      <x:c r="N512" s="9"/>
    </x:row>
    <x:row r="513" ht="23" customHeight="1">
      <x:c r="A513" s="9"/>
      <x:c r="B513" s="10"/>
      <x:c r="C513" s="9"/>
      <x:c r="D513" s="9"/>
      <x:c r="E513" s="9"/>
      <x:c r="F513" s="11"/>
      <x:c r="G513" s="12" t="str">
        <x:f>IF(A513="","",SUMIFS('출고대장'!$D$7:$D$1006,'출고대장'!$A$7:$A$1006,A513))</x:f>
      </x:c>
      <x:c r="H513" s="12" t="str">
        <x:f>IF(A513="","",F513-G513)</x:f>
      </x:c>
      <x:c r="I513" s="12" t="str">
        <x:f>IF(A513="","",SUMIFS('출고대장'!$K$7:$K$1006,'출고대장'!$A$7:$A$1006,A513))</x:f>
      </x:c>
      <x:c r="J513" s="12" t="str">
        <x:f>IF(A513="","",SUMIFS('입금대장'!$C$7:$C$1006,'입금대장'!$A$7:$A$1006,A513,'입금대장'!$E$7:$E$1006,"정상"))</x:f>
      </x:c>
      <x:c r="K513" s="12" t="str">
        <x:f>IF(A513="","",I513-J513)</x:f>
      </x:c>
      <x:c r="L513" s="13" t="str">
        <x:f>IF(A513="","",IF(K513&lt;0,"선입금·초과입금",IF(I513=0,"청구 전",IF(K513=0,"정산 완료",IF(J513=0,"미입금","부분 입금")))))</x:f>
      </x:c>
      <x:c r="M513" s="9"/>
      <x:c r="N513" s="9"/>
    </x:row>
    <x:row r="514" ht="23" customHeight="1">
      <x:c r="A514" s="9"/>
      <x:c r="B514" s="10"/>
      <x:c r="C514" s="9"/>
      <x:c r="D514" s="9"/>
      <x:c r="E514" s="9"/>
      <x:c r="F514" s="11"/>
      <x:c r="G514" s="12" t="str">
        <x:f>IF(A514="","",SUMIFS('출고대장'!$D$7:$D$1006,'출고대장'!$A$7:$A$1006,A514))</x:f>
      </x:c>
      <x:c r="H514" s="12" t="str">
        <x:f>IF(A514="","",F514-G514)</x:f>
      </x:c>
      <x:c r="I514" s="12" t="str">
        <x:f>IF(A514="","",SUMIFS('출고대장'!$K$7:$K$1006,'출고대장'!$A$7:$A$1006,A514))</x:f>
      </x:c>
      <x:c r="J514" s="12" t="str">
        <x:f>IF(A514="","",SUMIFS('입금대장'!$C$7:$C$1006,'입금대장'!$A$7:$A$1006,A514,'입금대장'!$E$7:$E$1006,"정상"))</x:f>
      </x:c>
      <x:c r="K514" s="12" t="str">
        <x:f>IF(A514="","",I514-J514)</x:f>
      </x:c>
      <x:c r="L514" s="13" t="str">
        <x:f>IF(A514="","",IF(K514&lt;0,"선입금·초과입금",IF(I514=0,"청구 전",IF(K514=0,"정산 완료",IF(J514=0,"미입금","부분 입금")))))</x:f>
      </x:c>
      <x:c r="M514" s="9"/>
      <x:c r="N514" s="9"/>
    </x:row>
    <x:row r="515" ht="23" customHeight="1">
      <x:c r="A515" s="9"/>
      <x:c r="B515" s="10"/>
      <x:c r="C515" s="9"/>
      <x:c r="D515" s="9"/>
      <x:c r="E515" s="9"/>
      <x:c r="F515" s="11"/>
      <x:c r="G515" s="12" t="str">
        <x:f>IF(A515="","",SUMIFS('출고대장'!$D$7:$D$1006,'출고대장'!$A$7:$A$1006,A515))</x:f>
      </x:c>
      <x:c r="H515" s="12" t="str">
        <x:f>IF(A515="","",F515-G515)</x:f>
      </x:c>
      <x:c r="I515" s="12" t="str">
        <x:f>IF(A515="","",SUMIFS('출고대장'!$K$7:$K$1006,'출고대장'!$A$7:$A$1006,A515))</x:f>
      </x:c>
      <x:c r="J515" s="12" t="str">
        <x:f>IF(A515="","",SUMIFS('입금대장'!$C$7:$C$1006,'입금대장'!$A$7:$A$1006,A515,'입금대장'!$E$7:$E$1006,"정상"))</x:f>
      </x:c>
      <x:c r="K515" s="12" t="str">
        <x:f>IF(A515="","",I515-J515)</x:f>
      </x:c>
      <x:c r="L515" s="13" t="str">
        <x:f>IF(A515="","",IF(K515&lt;0,"선입금·초과입금",IF(I515=0,"청구 전",IF(K515=0,"정산 완료",IF(J515=0,"미입금","부분 입금")))))</x:f>
      </x:c>
      <x:c r="M515" s="9"/>
      <x:c r="N515" s="9"/>
    </x:row>
    <x:row r="516" ht="23" customHeight="1">
      <x:c r="A516" s="9"/>
      <x:c r="B516" s="10"/>
      <x:c r="C516" s="9"/>
      <x:c r="D516" s="9"/>
      <x:c r="E516" s="9"/>
      <x:c r="F516" s="11"/>
      <x:c r="G516" s="12" t="str">
        <x:f>IF(A516="","",SUMIFS('출고대장'!$D$7:$D$1006,'출고대장'!$A$7:$A$1006,A516))</x:f>
      </x:c>
      <x:c r="H516" s="12" t="str">
        <x:f>IF(A516="","",F516-G516)</x:f>
      </x:c>
      <x:c r="I516" s="12" t="str">
        <x:f>IF(A516="","",SUMIFS('출고대장'!$K$7:$K$1006,'출고대장'!$A$7:$A$1006,A516))</x:f>
      </x:c>
      <x:c r="J516" s="12" t="str">
        <x:f>IF(A516="","",SUMIFS('입금대장'!$C$7:$C$1006,'입금대장'!$A$7:$A$1006,A516,'입금대장'!$E$7:$E$1006,"정상"))</x:f>
      </x:c>
      <x:c r="K516" s="12" t="str">
        <x:f>IF(A516="","",I516-J516)</x:f>
      </x:c>
      <x:c r="L516" s="13" t="str">
        <x:f>IF(A516="","",IF(K516&lt;0,"선입금·초과입금",IF(I516=0,"청구 전",IF(K516=0,"정산 완료",IF(J516=0,"미입금","부분 입금")))))</x:f>
      </x:c>
      <x:c r="M516" s="9"/>
      <x:c r="N516" s="9"/>
    </x:row>
    <x:row r="517" ht="23" customHeight="1">
      <x:c r="A517" s="9"/>
      <x:c r="B517" s="10"/>
      <x:c r="C517" s="9"/>
      <x:c r="D517" s="9"/>
      <x:c r="E517" s="9"/>
      <x:c r="F517" s="11"/>
      <x:c r="G517" s="12" t="str">
        <x:f>IF(A517="","",SUMIFS('출고대장'!$D$7:$D$1006,'출고대장'!$A$7:$A$1006,A517))</x:f>
      </x:c>
      <x:c r="H517" s="12" t="str">
        <x:f>IF(A517="","",F517-G517)</x:f>
      </x:c>
      <x:c r="I517" s="12" t="str">
        <x:f>IF(A517="","",SUMIFS('출고대장'!$K$7:$K$1006,'출고대장'!$A$7:$A$1006,A517))</x:f>
      </x:c>
      <x:c r="J517" s="12" t="str">
        <x:f>IF(A517="","",SUMIFS('입금대장'!$C$7:$C$1006,'입금대장'!$A$7:$A$1006,A517,'입금대장'!$E$7:$E$1006,"정상"))</x:f>
      </x:c>
      <x:c r="K517" s="12" t="str">
        <x:f>IF(A517="","",I517-J517)</x:f>
      </x:c>
      <x:c r="L517" s="13" t="str">
        <x:f>IF(A517="","",IF(K517&lt;0,"선입금·초과입금",IF(I517=0,"청구 전",IF(K517=0,"정산 완료",IF(J517=0,"미입금","부분 입금")))))</x:f>
      </x:c>
      <x:c r="M517" s="9"/>
      <x:c r="N517" s="9"/>
    </x:row>
    <x:row r="518" ht="23" customHeight="1">
      <x:c r="A518" s="9"/>
      <x:c r="B518" s="10"/>
      <x:c r="C518" s="9"/>
      <x:c r="D518" s="9"/>
      <x:c r="E518" s="9"/>
      <x:c r="F518" s="11"/>
      <x:c r="G518" s="12" t="str">
        <x:f>IF(A518="","",SUMIFS('출고대장'!$D$7:$D$1006,'출고대장'!$A$7:$A$1006,A518))</x:f>
      </x:c>
      <x:c r="H518" s="12" t="str">
        <x:f>IF(A518="","",F518-G518)</x:f>
      </x:c>
      <x:c r="I518" s="12" t="str">
        <x:f>IF(A518="","",SUMIFS('출고대장'!$K$7:$K$1006,'출고대장'!$A$7:$A$1006,A518))</x:f>
      </x:c>
      <x:c r="J518" s="12" t="str">
        <x:f>IF(A518="","",SUMIFS('입금대장'!$C$7:$C$1006,'입금대장'!$A$7:$A$1006,A518,'입금대장'!$E$7:$E$1006,"정상"))</x:f>
      </x:c>
      <x:c r="K518" s="12" t="str">
        <x:f>IF(A518="","",I518-J518)</x:f>
      </x:c>
      <x:c r="L518" s="13" t="str">
        <x:f>IF(A518="","",IF(K518&lt;0,"선입금·초과입금",IF(I518=0,"청구 전",IF(K518=0,"정산 완료",IF(J518=0,"미입금","부분 입금")))))</x:f>
      </x:c>
      <x:c r="M518" s="9"/>
      <x:c r="N518" s="9"/>
    </x:row>
    <x:row r="519" ht="23" customHeight="1">
      <x:c r="A519" s="9"/>
      <x:c r="B519" s="10"/>
      <x:c r="C519" s="9"/>
      <x:c r="D519" s="9"/>
      <x:c r="E519" s="9"/>
      <x:c r="F519" s="11"/>
      <x:c r="G519" s="12" t="str">
        <x:f>IF(A519="","",SUMIFS('출고대장'!$D$7:$D$1006,'출고대장'!$A$7:$A$1006,A519))</x:f>
      </x:c>
      <x:c r="H519" s="12" t="str">
        <x:f>IF(A519="","",F519-G519)</x:f>
      </x:c>
      <x:c r="I519" s="12" t="str">
        <x:f>IF(A519="","",SUMIFS('출고대장'!$K$7:$K$1006,'출고대장'!$A$7:$A$1006,A519))</x:f>
      </x:c>
      <x:c r="J519" s="12" t="str">
        <x:f>IF(A519="","",SUMIFS('입금대장'!$C$7:$C$1006,'입금대장'!$A$7:$A$1006,A519,'입금대장'!$E$7:$E$1006,"정상"))</x:f>
      </x:c>
      <x:c r="K519" s="12" t="str">
        <x:f>IF(A519="","",I519-J519)</x:f>
      </x:c>
      <x:c r="L519" s="13" t="str">
        <x:f>IF(A519="","",IF(K519&lt;0,"선입금·초과입금",IF(I519=0,"청구 전",IF(K519=0,"정산 완료",IF(J519=0,"미입금","부분 입금")))))</x:f>
      </x:c>
      <x:c r="M519" s="9"/>
      <x:c r="N519" s="9"/>
    </x:row>
    <x:row r="520" ht="23" customHeight="1">
      <x:c r="A520" s="9"/>
      <x:c r="B520" s="10"/>
      <x:c r="C520" s="9"/>
      <x:c r="D520" s="9"/>
      <x:c r="E520" s="9"/>
      <x:c r="F520" s="11"/>
      <x:c r="G520" s="12" t="str">
        <x:f>IF(A520="","",SUMIFS('출고대장'!$D$7:$D$1006,'출고대장'!$A$7:$A$1006,A520))</x:f>
      </x:c>
      <x:c r="H520" s="12" t="str">
        <x:f>IF(A520="","",F520-G520)</x:f>
      </x:c>
      <x:c r="I520" s="12" t="str">
        <x:f>IF(A520="","",SUMIFS('출고대장'!$K$7:$K$1006,'출고대장'!$A$7:$A$1006,A520))</x:f>
      </x:c>
      <x:c r="J520" s="12" t="str">
        <x:f>IF(A520="","",SUMIFS('입금대장'!$C$7:$C$1006,'입금대장'!$A$7:$A$1006,A520,'입금대장'!$E$7:$E$1006,"정상"))</x:f>
      </x:c>
      <x:c r="K520" s="12" t="str">
        <x:f>IF(A520="","",I520-J520)</x:f>
      </x:c>
      <x:c r="L520" s="13" t="str">
        <x:f>IF(A520="","",IF(K520&lt;0,"선입금·초과입금",IF(I520=0,"청구 전",IF(K520=0,"정산 완료",IF(J520=0,"미입금","부분 입금")))))</x:f>
      </x:c>
      <x:c r="M520" s="9"/>
      <x:c r="N520" s="9"/>
    </x:row>
    <x:row r="521" ht="23" customHeight="1">
      <x:c r="A521" s="9"/>
      <x:c r="B521" s="10"/>
      <x:c r="C521" s="9"/>
      <x:c r="D521" s="9"/>
      <x:c r="E521" s="9"/>
      <x:c r="F521" s="11"/>
      <x:c r="G521" s="12" t="str">
        <x:f>IF(A521="","",SUMIFS('출고대장'!$D$7:$D$1006,'출고대장'!$A$7:$A$1006,A521))</x:f>
      </x:c>
      <x:c r="H521" s="12" t="str">
        <x:f>IF(A521="","",F521-G521)</x:f>
      </x:c>
      <x:c r="I521" s="12" t="str">
        <x:f>IF(A521="","",SUMIFS('출고대장'!$K$7:$K$1006,'출고대장'!$A$7:$A$1006,A521))</x:f>
      </x:c>
      <x:c r="J521" s="12" t="str">
        <x:f>IF(A521="","",SUMIFS('입금대장'!$C$7:$C$1006,'입금대장'!$A$7:$A$1006,A521,'입금대장'!$E$7:$E$1006,"정상"))</x:f>
      </x:c>
      <x:c r="K521" s="12" t="str">
        <x:f>IF(A521="","",I521-J521)</x:f>
      </x:c>
      <x:c r="L521" s="13" t="str">
        <x:f>IF(A521="","",IF(K521&lt;0,"선입금·초과입금",IF(I521=0,"청구 전",IF(K521=0,"정산 완료",IF(J521=0,"미입금","부분 입금")))))</x:f>
      </x:c>
      <x:c r="M521" s="9"/>
      <x:c r="N521" s="9"/>
    </x:row>
    <x:row r="522" ht="23" customHeight="1">
      <x:c r="A522" s="9"/>
      <x:c r="B522" s="10"/>
      <x:c r="C522" s="9"/>
      <x:c r="D522" s="9"/>
      <x:c r="E522" s="9"/>
      <x:c r="F522" s="11"/>
      <x:c r="G522" s="12" t="str">
        <x:f>IF(A522="","",SUMIFS('출고대장'!$D$7:$D$1006,'출고대장'!$A$7:$A$1006,A522))</x:f>
      </x:c>
      <x:c r="H522" s="12" t="str">
        <x:f>IF(A522="","",F522-G522)</x:f>
      </x:c>
      <x:c r="I522" s="12" t="str">
        <x:f>IF(A522="","",SUMIFS('출고대장'!$K$7:$K$1006,'출고대장'!$A$7:$A$1006,A522))</x:f>
      </x:c>
      <x:c r="J522" s="12" t="str">
        <x:f>IF(A522="","",SUMIFS('입금대장'!$C$7:$C$1006,'입금대장'!$A$7:$A$1006,A522,'입금대장'!$E$7:$E$1006,"정상"))</x:f>
      </x:c>
      <x:c r="K522" s="12" t="str">
        <x:f>IF(A522="","",I522-J522)</x:f>
      </x:c>
      <x:c r="L522" s="13" t="str">
        <x:f>IF(A522="","",IF(K522&lt;0,"선입금·초과입금",IF(I522=0,"청구 전",IF(K522=0,"정산 완료",IF(J522=0,"미입금","부분 입금")))))</x:f>
      </x:c>
      <x:c r="M522" s="9"/>
      <x:c r="N522" s="9"/>
    </x:row>
    <x:row r="523" ht="23" customHeight="1">
      <x:c r="A523" s="9"/>
      <x:c r="B523" s="10"/>
      <x:c r="C523" s="9"/>
      <x:c r="D523" s="9"/>
      <x:c r="E523" s="9"/>
      <x:c r="F523" s="11"/>
      <x:c r="G523" s="12" t="str">
        <x:f>IF(A523="","",SUMIFS('출고대장'!$D$7:$D$1006,'출고대장'!$A$7:$A$1006,A523))</x:f>
      </x:c>
      <x:c r="H523" s="12" t="str">
        <x:f>IF(A523="","",F523-G523)</x:f>
      </x:c>
      <x:c r="I523" s="12" t="str">
        <x:f>IF(A523="","",SUMIFS('출고대장'!$K$7:$K$1006,'출고대장'!$A$7:$A$1006,A523))</x:f>
      </x:c>
      <x:c r="J523" s="12" t="str">
        <x:f>IF(A523="","",SUMIFS('입금대장'!$C$7:$C$1006,'입금대장'!$A$7:$A$1006,A523,'입금대장'!$E$7:$E$1006,"정상"))</x:f>
      </x:c>
      <x:c r="K523" s="12" t="str">
        <x:f>IF(A523="","",I523-J523)</x:f>
      </x:c>
      <x:c r="L523" s="13" t="str">
        <x:f>IF(A523="","",IF(K523&lt;0,"선입금·초과입금",IF(I523=0,"청구 전",IF(K523=0,"정산 완료",IF(J523=0,"미입금","부분 입금")))))</x:f>
      </x:c>
      <x:c r="M523" s="9"/>
      <x:c r="N523" s="9"/>
    </x:row>
    <x:row r="524" ht="23" customHeight="1">
      <x:c r="A524" s="9"/>
      <x:c r="B524" s="10"/>
      <x:c r="C524" s="9"/>
      <x:c r="D524" s="9"/>
      <x:c r="E524" s="9"/>
      <x:c r="F524" s="11"/>
      <x:c r="G524" s="12" t="str">
        <x:f>IF(A524="","",SUMIFS('출고대장'!$D$7:$D$1006,'출고대장'!$A$7:$A$1006,A524))</x:f>
      </x:c>
      <x:c r="H524" s="12" t="str">
        <x:f>IF(A524="","",F524-G524)</x:f>
      </x:c>
      <x:c r="I524" s="12" t="str">
        <x:f>IF(A524="","",SUMIFS('출고대장'!$K$7:$K$1006,'출고대장'!$A$7:$A$1006,A524))</x:f>
      </x:c>
      <x:c r="J524" s="12" t="str">
        <x:f>IF(A524="","",SUMIFS('입금대장'!$C$7:$C$1006,'입금대장'!$A$7:$A$1006,A524,'입금대장'!$E$7:$E$1006,"정상"))</x:f>
      </x:c>
      <x:c r="K524" s="12" t="str">
        <x:f>IF(A524="","",I524-J524)</x:f>
      </x:c>
      <x:c r="L524" s="13" t="str">
        <x:f>IF(A524="","",IF(K524&lt;0,"선입금·초과입금",IF(I524=0,"청구 전",IF(K524=0,"정산 완료",IF(J524=0,"미입금","부분 입금")))))</x:f>
      </x:c>
      <x:c r="M524" s="9"/>
      <x:c r="N524" s="9"/>
    </x:row>
    <x:row r="525" ht="23" customHeight="1">
      <x:c r="A525" s="9"/>
      <x:c r="B525" s="10"/>
      <x:c r="C525" s="9"/>
      <x:c r="D525" s="9"/>
      <x:c r="E525" s="9"/>
      <x:c r="F525" s="11"/>
      <x:c r="G525" s="12" t="str">
        <x:f>IF(A525="","",SUMIFS('출고대장'!$D$7:$D$1006,'출고대장'!$A$7:$A$1006,A525))</x:f>
      </x:c>
      <x:c r="H525" s="12" t="str">
        <x:f>IF(A525="","",F525-G525)</x:f>
      </x:c>
      <x:c r="I525" s="12" t="str">
        <x:f>IF(A525="","",SUMIFS('출고대장'!$K$7:$K$1006,'출고대장'!$A$7:$A$1006,A525))</x:f>
      </x:c>
      <x:c r="J525" s="12" t="str">
        <x:f>IF(A525="","",SUMIFS('입금대장'!$C$7:$C$1006,'입금대장'!$A$7:$A$1006,A525,'입금대장'!$E$7:$E$1006,"정상"))</x:f>
      </x:c>
      <x:c r="K525" s="12" t="str">
        <x:f>IF(A525="","",I525-J525)</x:f>
      </x:c>
      <x:c r="L525" s="13" t="str">
        <x:f>IF(A525="","",IF(K525&lt;0,"선입금·초과입금",IF(I525=0,"청구 전",IF(K525=0,"정산 완료",IF(J525=0,"미입금","부분 입금")))))</x:f>
      </x:c>
      <x:c r="M525" s="9"/>
      <x:c r="N525" s="9"/>
    </x:row>
    <x:row r="526" ht="23" customHeight="1">
      <x:c r="A526" s="9"/>
      <x:c r="B526" s="10"/>
      <x:c r="C526" s="9"/>
      <x:c r="D526" s="9"/>
      <x:c r="E526" s="9"/>
      <x:c r="F526" s="11"/>
      <x:c r="G526" s="12" t="str">
        <x:f>IF(A526="","",SUMIFS('출고대장'!$D$7:$D$1006,'출고대장'!$A$7:$A$1006,A526))</x:f>
      </x:c>
      <x:c r="H526" s="12" t="str">
        <x:f>IF(A526="","",F526-G526)</x:f>
      </x:c>
      <x:c r="I526" s="12" t="str">
        <x:f>IF(A526="","",SUMIFS('출고대장'!$K$7:$K$1006,'출고대장'!$A$7:$A$1006,A526))</x:f>
      </x:c>
      <x:c r="J526" s="12" t="str">
        <x:f>IF(A526="","",SUMIFS('입금대장'!$C$7:$C$1006,'입금대장'!$A$7:$A$1006,A526,'입금대장'!$E$7:$E$1006,"정상"))</x:f>
      </x:c>
      <x:c r="K526" s="12" t="str">
        <x:f>IF(A526="","",I526-J526)</x:f>
      </x:c>
      <x:c r="L526" s="13" t="str">
        <x:f>IF(A526="","",IF(K526&lt;0,"선입금·초과입금",IF(I526=0,"청구 전",IF(K526=0,"정산 완료",IF(J526=0,"미입금","부분 입금")))))</x:f>
      </x:c>
      <x:c r="M526" s="9"/>
      <x:c r="N526" s="9"/>
    </x:row>
    <x:row r="527" ht="23" customHeight="1">
      <x:c r="A527" s="9"/>
      <x:c r="B527" s="10"/>
      <x:c r="C527" s="9"/>
      <x:c r="D527" s="9"/>
      <x:c r="E527" s="9"/>
      <x:c r="F527" s="11"/>
      <x:c r="G527" s="12" t="str">
        <x:f>IF(A527="","",SUMIFS('출고대장'!$D$7:$D$1006,'출고대장'!$A$7:$A$1006,A527))</x:f>
      </x:c>
      <x:c r="H527" s="12" t="str">
        <x:f>IF(A527="","",F527-G527)</x:f>
      </x:c>
      <x:c r="I527" s="12" t="str">
        <x:f>IF(A527="","",SUMIFS('출고대장'!$K$7:$K$1006,'출고대장'!$A$7:$A$1006,A527))</x:f>
      </x:c>
      <x:c r="J527" s="12" t="str">
        <x:f>IF(A527="","",SUMIFS('입금대장'!$C$7:$C$1006,'입금대장'!$A$7:$A$1006,A527,'입금대장'!$E$7:$E$1006,"정상"))</x:f>
      </x:c>
      <x:c r="K527" s="12" t="str">
        <x:f>IF(A527="","",I527-J527)</x:f>
      </x:c>
      <x:c r="L527" s="13" t="str">
        <x:f>IF(A527="","",IF(K527&lt;0,"선입금·초과입금",IF(I527=0,"청구 전",IF(K527=0,"정산 완료",IF(J527=0,"미입금","부분 입금")))))</x:f>
      </x:c>
      <x:c r="M527" s="9"/>
      <x:c r="N527" s="9"/>
    </x:row>
    <x:row r="528" ht="23" customHeight="1">
      <x:c r="A528" s="9"/>
      <x:c r="B528" s="10"/>
      <x:c r="C528" s="9"/>
      <x:c r="D528" s="9"/>
      <x:c r="E528" s="9"/>
      <x:c r="F528" s="11"/>
      <x:c r="G528" s="12" t="str">
        <x:f>IF(A528="","",SUMIFS('출고대장'!$D$7:$D$1006,'출고대장'!$A$7:$A$1006,A528))</x:f>
      </x:c>
      <x:c r="H528" s="12" t="str">
        <x:f>IF(A528="","",F528-G528)</x:f>
      </x:c>
      <x:c r="I528" s="12" t="str">
        <x:f>IF(A528="","",SUMIFS('출고대장'!$K$7:$K$1006,'출고대장'!$A$7:$A$1006,A528))</x:f>
      </x:c>
      <x:c r="J528" s="12" t="str">
        <x:f>IF(A528="","",SUMIFS('입금대장'!$C$7:$C$1006,'입금대장'!$A$7:$A$1006,A528,'입금대장'!$E$7:$E$1006,"정상"))</x:f>
      </x:c>
      <x:c r="K528" s="12" t="str">
        <x:f>IF(A528="","",I528-J528)</x:f>
      </x:c>
      <x:c r="L528" s="13" t="str">
        <x:f>IF(A528="","",IF(K528&lt;0,"선입금·초과입금",IF(I528=0,"청구 전",IF(K528=0,"정산 완료",IF(J528=0,"미입금","부분 입금")))))</x:f>
      </x:c>
      <x:c r="M528" s="9"/>
      <x:c r="N528" s="9"/>
    </x:row>
    <x:row r="529" ht="23" customHeight="1">
      <x:c r="A529" s="9"/>
      <x:c r="B529" s="10"/>
      <x:c r="C529" s="9"/>
      <x:c r="D529" s="9"/>
      <x:c r="E529" s="9"/>
      <x:c r="F529" s="11"/>
      <x:c r="G529" s="12" t="str">
        <x:f>IF(A529="","",SUMIFS('출고대장'!$D$7:$D$1006,'출고대장'!$A$7:$A$1006,A529))</x:f>
      </x:c>
      <x:c r="H529" s="12" t="str">
        <x:f>IF(A529="","",F529-G529)</x:f>
      </x:c>
      <x:c r="I529" s="12" t="str">
        <x:f>IF(A529="","",SUMIFS('출고대장'!$K$7:$K$1006,'출고대장'!$A$7:$A$1006,A529))</x:f>
      </x:c>
      <x:c r="J529" s="12" t="str">
        <x:f>IF(A529="","",SUMIFS('입금대장'!$C$7:$C$1006,'입금대장'!$A$7:$A$1006,A529,'입금대장'!$E$7:$E$1006,"정상"))</x:f>
      </x:c>
      <x:c r="K529" s="12" t="str">
        <x:f>IF(A529="","",I529-J529)</x:f>
      </x:c>
      <x:c r="L529" s="13" t="str">
        <x:f>IF(A529="","",IF(K529&lt;0,"선입금·초과입금",IF(I529=0,"청구 전",IF(K529=0,"정산 완료",IF(J529=0,"미입금","부분 입금")))))</x:f>
      </x:c>
      <x:c r="M529" s="9"/>
      <x:c r="N529" s="9"/>
    </x:row>
    <x:row r="530" ht="23" customHeight="1">
      <x:c r="A530" s="9"/>
      <x:c r="B530" s="10"/>
      <x:c r="C530" s="9"/>
      <x:c r="D530" s="9"/>
      <x:c r="E530" s="9"/>
      <x:c r="F530" s="11"/>
      <x:c r="G530" s="12" t="str">
        <x:f>IF(A530="","",SUMIFS('출고대장'!$D$7:$D$1006,'출고대장'!$A$7:$A$1006,A530))</x:f>
      </x:c>
      <x:c r="H530" s="12" t="str">
        <x:f>IF(A530="","",F530-G530)</x:f>
      </x:c>
      <x:c r="I530" s="12" t="str">
        <x:f>IF(A530="","",SUMIFS('출고대장'!$K$7:$K$1006,'출고대장'!$A$7:$A$1006,A530))</x:f>
      </x:c>
      <x:c r="J530" s="12" t="str">
        <x:f>IF(A530="","",SUMIFS('입금대장'!$C$7:$C$1006,'입금대장'!$A$7:$A$1006,A530,'입금대장'!$E$7:$E$1006,"정상"))</x:f>
      </x:c>
      <x:c r="K530" s="12" t="str">
        <x:f>IF(A530="","",I530-J530)</x:f>
      </x:c>
      <x:c r="L530" s="13" t="str">
        <x:f>IF(A530="","",IF(K530&lt;0,"선입금·초과입금",IF(I530=0,"청구 전",IF(K530=0,"정산 완료",IF(J530=0,"미입금","부분 입금")))))</x:f>
      </x:c>
      <x:c r="M530" s="9"/>
      <x:c r="N530" s="9"/>
    </x:row>
    <x:row r="531" ht="23" customHeight="1">
      <x:c r="A531" s="9"/>
      <x:c r="B531" s="10"/>
      <x:c r="C531" s="9"/>
      <x:c r="D531" s="9"/>
      <x:c r="E531" s="9"/>
      <x:c r="F531" s="11"/>
      <x:c r="G531" s="12" t="str">
        <x:f>IF(A531="","",SUMIFS('출고대장'!$D$7:$D$1006,'출고대장'!$A$7:$A$1006,A531))</x:f>
      </x:c>
      <x:c r="H531" s="12" t="str">
        <x:f>IF(A531="","",F531-G531)</x:f>
      </x:c>
      <x:c r="I531" s="12" t="str">
        <x:f>IF(A531="","",SUMIFS('출고대장'!$K$7:$K$1006,'출고대장'!$A$7:$A$1006,A531))</x:f>
      </x:c>
      <x:c r="J531" s="12" t="str">
        <x:f>IF(A531="","",SUMIFS('입금대장'!$C$7:$C$1006,'입금대장'!$A$7:$A$1006,A531,'입금대장'!$E$7:$E$1006,"정상"))</x:f>
      </x:c>
      <x:c r="K531" s="12" t="str">
        <x:f>IF(A531="","",I531-J531)</x:f>
      </x:c>
      <x:c r="L531" s="13" t="str">
        <x:f>IF(A531="","",IF(K531&lt;0,"선입금·초과입금",IF(I531=0,"청구 전",IF(K531=0,"정산 완료",IF(J531=0,"미입금","부분 입금")))))</x:f>
      </x:c>
      <x:c r="M531" s="9"/>
      <x:c r="N531" s="9"/>
    </x:row>
    <x:row r="532" ht="23" customHeight="1">
      <x:c r="A532" s="9"/>
      <x:c r="B532" s="10"/>
      <x:c r="C532" s="9"/>
      <x:c r="D532" s="9"/>
      <x:c r="E532" s="9"/>
      <x:c r="F532" s="11"/>
      <x:c r="G532" s="12" t="str">
        <x:f>IF(A532="","",SUMIFS('출고대장'!$D$7:$D$1006,'출고대장'!$A$7:$A$1006,A532))</x:f>
      </x:c>
      <x:c r="H532" s="12" t="str">
        <x:f>IF(A532="","",F532-G532)</x:f>
      </x:c>
      <x:c r="I532" s="12" t="str">
        <x:f>IF(A532="","",SUMIFS('출고대장'!$K$7:$K$1006,'출고대장'!$A$7:$A$1006,A532))</x:f>
      </x:c>
      <x:c r="J532" s="12" t="str">
        <x:f>IF(A532="","",SUMIFS('입금대장'!$C$7:$C$1006,'입금대장'!$A$7:$A$1006,A532,'입금대장'!$E$7:$E$1006,"정상"))</x:f>
      </x:c>
      <x:c r="K532" s="12" t="str">
        <x:f>IF(A532="","",I532-J532)</x:f>
      </x:c>
      <x:c r="L532" s="13" t="str">
        <x:f>IF(A532="","",IF(K532&lt;0,"선입금·초과입금",IF(I532=0,"청구 전",IF(K532=0,"정산 완료",IF(J532=0,"미입금","부분 입금")))))</x:f>
      </x:c>
      <x:c r="M532" s="9"/>
      <x:c r="N532" s="9"/>
    </x:row>
    <x:row r="533" ht="23" customHeight="1">
      <x:c r="A533" s="9"/>
      <x:c r="B533" s="10"/>
      <x:c r="C533" s="9"/>
      <x:c r="D533" s="9"/>
      <x:c r="E533" s="9"/>
      <x:c r="F533" s="11"/>
      <x:c r="G533" s="12" t="str">
        <x:f>IF(A533="","",SUMIFS('출고대장'!$D$7:$D$1006,'출고대장'!$A$7:$A$1006,A533))</x:f>
      </x:c>
      <x:c r="H533" s="12" t="str">
        <x:f>IF(A533="","",F533-G533)</x:f>
      </x:c>
      <x:c r="I533" s="12" t="str">
        <x:f>IF(A533="","",SUMIFS('출고대장'!$K$7:$K$1006,'출고대장'!$A$7:$A$1006,A533))</x:f>
      </x:c>
      <x:c r="J533" s="12" t="str">
        <x:f>IF(A533="","",SUMIFS('입금대장'!$C$7:$C$1006,'입금대장'!$A$7:$A$1006,A533,'입금대장'!$E$7:$E$1006,"정상"))</x:f>
      </x:c>
      <x:c r="K533" s="12" t="str">
        <x:f>IF(A533="","",I533-J533)</x:f>
      </x:c>
      <x:c r="L533" s="13" t="str">
        <x:f>IF(A533="","",IF(K533&lt;0,"선입금·초과입금",IF(I533=0,"청구 전",IF(K533=0,"정산 완료",IF(J533=0,"미입금","부분 입금")))))</x:f>
      </x:c>
      <x:c r="M533" s="9"/>
      <x:c r="N533" s="9"/>
    </x:row>
    <x:row r="534" ht="23" customHeight="1">
      <x:c r="A534" s="9"/>
      <x:c r="B534" s="10"/>
      <x:c r="C534" s="9"/>
      <x:c r="D534" s="9"/>
      <x:c r="E534" s="9"/>
      <x:c r="F534" s="11"/>
      <x:c r="G534" s="12" t="str">
        <x:f>IF(A534="","",SUMIFS('출고대장'!$D$7:$D$1006,'출고대장'!$A$7:$A$1006,A534))</x:f>
      </x:c>
      <x:c r="H534" s="12" t="str">
        <x:f>IF(A534="","",F534-G534)</x:f>
      </x:c>
      <x:c r="I534" s="12" t="str">
        <x:f>IF(A534="","",SUMIFS('출고대장'!$K$7:$K$1006,'출고대장'!$A$7:$A$1006,A534))</x:f>
      </x:c>
      <x:c r="J534" s="12" t="str">
        <x:f>IF(A534="","",SUMIFS('입금대장'!$C$7:$C$1006,'입금대장'!$A$7:$A$1006,A534,'입금대장'!$E$7:$E$1006,"정상"))</x:f>
      </x:c>
      <x:c r="K534" s="12" t="str">
        <x:f>IF(A534="","",I534-J534)</x:f>
      </x:c>
      <x:c r="L534" s="13" t="str">
        <x:f>IF(A534="","",IF(K534&lt;0,"선입금·초과입금",IF(I534=0,"청구 전",IF(K534=0,"정산 완료",IF(J534=0,"미입금","부분 입금")))))</x:f>
      </x:c>
      <x:c r="M534" s="9"/>
      <x:c r="N534" s="9"/>
    </x:row>
    <x:row r="535" ht="23" customHeight="1">
      <x:c r="A535" s="9"/>
      <x:c r="B535" s="10"/>
      <x:c r="C535" s="9"/>
      <x:c r="D535" s="9"/>
      <x:c r="E535" s="9"/>
      <x:c r="F535" s="11"/>
      <x:c r="G535" s="12" t="str">
        <x:f>IF(A535="","",SUMIFS('출고대장'!$D$7:$D$1006,'출고대장'!$A$7:$A$1006,A535))</x:f>
      </x:c>
      <x:c r="H535" s="12" t="str">
        <x:f>IF(A535="","",F535-G535)</x:f>
      </x:c>
      <x:c r="I535" s="12" t="str">
        <x:f>IF(A535="","",SUMIFS('출고대장'!$K$7:$K$1006,'출고대장'!$A$7:$A$1006,A535))</x:f>
      </x:c>
      <x:c r="J535" s="12" t="str">
        <x:f>IF(A535="","",SUMIFS('입금대장'!$C$7:$C$1006,'입금대장'!$A$7:$A$1006,A535,'입금대장'!$E$7:$E$1006,"정상"))</x:f>
      </x:c>
      <x:c r="K535" s="12" t="str">
        <x:f>IF(A535="","",I535-J535)</x:f>
      </x:c>
      <x:c r="L535" s="13" t="str">
        <x:f>IF(A535="","",IF(K535&lt;0,"선입금·초과입금",IF(I535=0,"청구 전",IF(K535=0,"정산 완료",IF(J535=0,"미입금","부분 입금")))))</x:f>
      </x:c>
      <x:c r="M535" s="9"/>
      <x:c r="N535" s="9"/>
    </x:row>
    <x:row r="536" ht="23" customHeight="1">
      <x:c r="A536" s="9"/>
      <x:c r="B536" s="10"/>
      <x:c r="C536" s="9"/>
      <x:c r="D536" s="9"/>
      <x:c r="E536" s="9"/>
      <x:c r="F536" s="11"/>
      <x:c r="G536" s="12" t="str">
        <x:f>IF(A536="","",SUMIFS('출고대장'!$D$7:$D$1006,'출고대장'!$A$7:$A$1006,A536))</x:f>
      </x:c>
      <x:c r="H536" s="12" t="str">
        <x:f>IF(A536="","",F536-G536)</x:f>
      </x:c>
      <x:c r="I536" s="12" t="str">
        <x:f>IF(A536="","",SUMIFS('출고대장'!$K$7:$K$1006,'출고대장'!$A$7:$A$1006,A536))</x:f>
      </x:c>
      <x:c r="J536" s="12" t="str">
        <x:f>IF(A536="","",SUMIFS('입금대장'!$C$7:$C$1006,'입금대장'!$A$7:$A$1006,A536,'입금대장'!$E$7:$E$1006,"정상"))</x:f>
      </x:c>
      <x:c r="K536" s="12" t="str">
        <x:f>IF(A536="","",I536-J536)</x:f>
      </x:c>
      <x:c r="L536" s="13" t="str">
        <x:f>IF(A536="","",IF(K536&lt;0,"선입금·초과입금",IF(I536=0,"청구 전",IF(K536=0,"정산 완료",IF(J536=0,"미입금","부분 입금")))))</x:f>
      </x:c>
      <x:c r="M536" s="9"/>
      <x:c r="N536" s="9"/>
    </x:row>
    <x:row r="537" ht="23" customHeight="1">
      <x:c r="A537" s="9"/>
      <x:c r="B537" s="10"/>
      <x:c r="C537" s="9"/>
      <x:c r="D537" s="9"/>
      <x:c r="E537" s="9"/>
      <x:c r="F537" s="11"/>
      <x:c r="G537" s="12" t="str">
        <x:f>IF(A537="","",SUMIFS('출고대장'!$D$7:$D$1006,'출고대장'!$A$7:$A$1006,A537))</x:f>
      </x:c>
      <x:c r="H537" s="12" t="str">
        <x:f>IF(A537="","",F537-G537)</x:f>
      </x:c>
      <x:c r="I537" s="12" t="str">
        <x:f>IF(A537="","",SUMIFS('출고대장'!$K$7:$K$1006,'출고대장'!$A$7:$A$1006,A537))</x:f>
      </x:c>
      <x:c r="J537" s="12" t="str">
        <x:f>IF(A537="","",SUMIFS('입금대장'!$C$7:$C$1006,'입금대장'!$A$7:$A$1006,A537,'입금대장'!$E$7:$E$1006,"정상"))</x:f>
      </x:c>
      <x:c r="K537" s="12" t="str">
        <x:f>IF(A537="","",I537-J537)</x:f>
      </x:c>
      <x:c r="L537" s="13" t="str">
        <x:f>IF(A537="","",IF(K537&lt;0,"선입금·초과입금",IF(I537=0,"청구 전",IF(K537=0,"정산 완료",IF(J537=0,"미입금","부분 입금")))))</x:f>
      </x:c>
      <x:c r="M537" s="9"/>
      <x:c r="N537" s="9"/>
    </x:row>
    <x:row r="538" ht="23" customHeight="1">
      <x:c r="A538" s="9"/>
      <x:c r="B538" s="10"/>
      <x:c r="C538" s="9"/>
      <x:c r="D538" s="9"/>
      <x:c r="E538" s="9"/>
      <x:c r="F538" s="11"/>
      <x:c r="G538" s="12" t="str">
        <x:f>IF(A538="","",SUMIFS('출고대장'!$D$7:$D$1006,'출고대장'!$A$7:$A$1006,A538))</x:f>
      </x:c>
      <x:c r="H538" s="12" t="str">
        <x:f>IF(A538="","",F538-G538)</x:f>
      </x:c>
      <x:c r="I538" s="12" t="str">
        <x:f>IF(A538="","",SUMIFS('출고대장'!$K$7:$K$1006,'출고대장'!$A$7:$A$1006,A538))</x:f>
      </x:c>
      <x:c r="J538" s="12" t="str">
        <x:f>IF(A538="","",SUMIFS('입금대장'!$C$7:$C$1006,'입금대장'!$A$7:$A$1006,A538,'입금대장'!$E$7:$E$1006,"정상"))</x:f>
      </x:c>
      <x:c r="K538" s="12" t="str">
        <x:f>IF(A538="","",I538-J538)</x:f>
      </x:c>
      <x:c r="L538" s="13" t="str">
        <x:f>IF(A538="","",IF(K538&lt;0,"선입금·초과입금",IF(I538=0,"청구 전",IF(K538=0,"정산 완료",IF(J538=0,"미입금","부분 입금")))))</x:f>
      </x:c>
      <x:c r="M538" s="9"/>
      <x:c r="N538" s="9"/>
    </x:row>
    <x:row r="539" ht="23" customHeight="1">
      <x:c r="A539" s="9"/>
      <x:c r="B539" s="10"/>
      <x:c r="C539" s="9"/>
      <x:c r="D539" s="9"/>
      <x:c r="E539" s="9"/>
      <x:c r="F539" s="11"/>
      <x:c r="G539" s="12" t="str">
        <x:f>IF(A539="","",SUMIFS('출고대장'!$D$7:$D$1006,'출고대장'!$A$7:$A$1006,A539))</x:f>
      </x:c>
      <x:c r="H539" s="12" t="str">
        <x:f>IF(A539="","",F539-G539)</x:f>
      </x:c>
      <x:c r="I539" s="12" t="str">
        <x:f>IF(A539="","",SUMIFS('출고대장'!$K$7:$K$1006,'출고대장'!$A$7:$A$1006,A539))</x:f>
      </x:c>
      <x:c r="J539" s="12" t="str">
        <x:f>IF(A539="","",SUMIFS('입금대장'!$C$7:$C$1006,'입금대장'!$A$7:$A$1006,A539,'입금대장'!$E$7:$E$1006,"정상"))</x:f>
      </x:c>
      <x:c r="K539" s="12" t="str">
        <x:f>IF(A539="","",I539-J539)</x:f>
      </x:c>
      <x:c r="L539" s="13" t="str">
        <x:f>IF(A539="","",IF(K539&lt;0,"선입금·초과입금",IF(I539=0,"청구 전",IF(K539=0,"정산 완료",IF(J539=0,"미입금","부분 입금")))))</x:f>
      </x:c>
      <x:c r="M539" s="9"/>
      <x:c r="N539" s="9"/>
    </x:row>
    <x:row r="540" ht="23" customHeight="1">
      <x:c r="A540" s="9"/>
      <x:c r="B540" s="10"/>
      <x:c r="C540" s="9"/>
      <x:c r="D540" s="9"/>
      <x:c r="E540" s="9"/>
      <x:c r="F540" s="11"/>
      <x:c r="G540" s="12" t="str">
        <x:f>IF(A540="","",SUMIFS('출고대장'!$D$7:$D$1006,'출고대장'!$A$7:$A$1006,A540))</x:f>
      </x:c>
      <x:c r="H540" s="12" t="str">
        <x:f>IF(A540="","",F540-G540)</x:f>
      </x:c>
      <x:c r="I540" s="12" t="str">
        <x:f>IF(A540="","",SUMIFS('출고대장'!$K$7:$K$1006,'출고대장'!$A$7:$A$1006,A540))</x:f>
      </x:c>
      <x:c r="J540" s="12" t="str">
        <x:f>IF(A540="","",SUMIFS('입금대장'!$C$7:$C$1006,'입금대장'!$A$7:$A$1006,A540,'입금대장'!$E$7:$E$1006,"정상"))</x:f>
      </x:c>
      <x:c r="K540" s="12" t="str">
        <x:f>IF(A540="","",I540-J540)</x:f>
      </x:c>
      <x:c r="L540" s="13" t="str">
        <x:f>IF(A540="","",IF(K540&lt;0,"선입금·초과입금",IF(I540=0,"청구 전",IF(K540=0,"정산 완료",IF(J540=0,"미입금","부분 입금")))))</x:f>
      </x:c>
      <x:c r="M540" s="9"/>
      <x:c r="N540" s="9"/>
    </x:row>
    <x:row r="541" ht="23" customHeight="1">
      <x:c r="A541" s="9"/>
      <x:c r="B541" s="10"/>
      <x:c r="C541" s="9"/>
      <x:c r="D541" s="9"/>
      <x:c r="E541" s="9"/>
      <x:c r="F541" s="11"/>
      <x:c r="G541" s="12" t="str">
        <x:f>IF(A541="","",SUMIFS('출고대장'!$D$7:$D$1006,'출고대장'!$A$7:$A$1006,A541))</x:f>
      </x:c>
      <x:c r="H541" s="12" t="str">
        <x:f>IF(A541="","",F541-G541)</x:f>
      </x:c>
      <x:c r="I541" s="12" t="str">
        <x:f>IF(A541="","",SUMIFS('출고대장'!$K$7:$K$1006,'출고대장'!$A$7:$A$1006,A541))</x:f>
      </x:c>
      <x:c r="J541" s="12" t="str">
        <x:f>IF(A541="","",SUMIFS('입금대장'!$C$7:$C$1006,'입금대장'!$A$7:$A$1006,A541,'입금대장'!$E$7:$E$1006,"정상"))</x:f>
      </x:c>
      <x:c r="K541" s="12" t="str">
        <x:f>IF(A541="","",I541-J541)</x:f>
      </x:c>
      <x:c r="L541" s="13" t="str">
        <x:f>IF(A541="","",IF(K541&lt;0,"선입금·초과입금",IF(I541=0,"청구 전",IF(K541=0,"정산 완료",IF(J541=0,"미입금","부분 입금")))))</x:f>
      </x:c>
      <x:c r="M541" s="9"/>
      <x:c r="N541" s="9"/>
    </x:row>
    <x:row r="542" ht="23" customHeight="1">
      <x:c r="A542" s="9"/>
      <x:c r="B542" s="10"/>
      <x:c r="C542" s="9"/>
      <x:c r="D542" s="9"/>
      <x:c r="E542" s="9"/>
      <x:c r="F542" s="11"/>
      <x:c r="G542" s="12" t="str">
        <x:f>IF(A542="","",SUMIFS('출고대장'!$D$7:$D$1006,'출고대장'!$A$7:$A$1006,A542))</x:f>
      </x:c>
      <x:c r="H542" s="12" t="str">
        <x:f>IF(A542="","",F542-G542)</x:f>
      </x:c>
      <x:c r="I542" s="12" t="str">
        <x:f>IF(A542="","",SUMIFS('출고대장'!$K$7:$K$1006,'출고대장'!$A$7:$A$1006,A542))</x:f>
      </x:c>
      <x:c r="J542" s="12" t="str">
        <x:f>IF(A542="","",SUMIFS('입금대장'!$C$7:$C$1006,'입금대장'!$A$7:$A$1006,A542,'입금대장'!$E$7:$E$1006,"정상"))</x:f>
      </x:c>
      <x:c r="K542" s="12" t="str">
        <x:f>IF(A542="","",I542-J542)</x:f>
      </x:c>
      <x:c r="L542" s="13" t="str">
        <x:f>IF(A542="","",IF(K542&lt;0,"선입금·초과입금",IF(I542=0,"청구 전",IF(K542=0,"정산 완료",IF(J542=0,"미입금","부분 입금")))))</x:f>
      </x:c>
      <x:c r="M542" s="9"/>
      <x:c r="N542" s="9"/>
    </x:row>
    <x:row r="543" ht="23" customHeight="1">
      <x:c r="A543" s="9"/>
      <x:c r="B543" s="10"/>
      <x:c r="C543" s="9"/>
      <x:c r="D543" s="9"/>
      <x:c r="E543" s="9"/>
      <x:c r="F543" s="11"/>
      <x:c r="G543" s="12" t="str">
        <x:f>IF(A543="","",SUMIFS('출고대장'!$D$7:$D$1006,'출고대장'!$A$7:$A$1006,A543))</x:f>
      </x:c>
      <x:c r="H543" s="12" t="str">
        <x:f>IF(A543="","",F543-G543)</x:f>
      </x:c>
      <x:c r="I543" s="12" t="str">
        <x:f>IF(A543="","",SUMIFS('출고대장'!$K$7:$K$1006,'출고대장'!$A$7:$A$1006,A543))</x:f>
      </x:c>
      <x:c r="J543" s="12" t="str">
        <x:f>IF(A543="","",SUMIFS('입금대장'!$C$7:$C$1006,'입금대장'!$A$7:$A$1006,A543,'입금대장'!$E$7:$E$1006,"정상"))</x:f>
      </x:c>
      <x:c r="K543" s="12" t="str">
        <x:f>IF(A543="","",I543-J543)</x:f>
      </x:c>
      <x:c r="L543" s="13" t="str">
        <x:f>IF(A543="","",IF(K543&lt;0,"선입금·초과입금",IF(I543=0,"청구 전",IF(K543=0,"정산 완료",IF(J543=0,"미입금","부분 입금")))))</x:f>
      </x:c>
      <x:c r="M543" s="9"/>
      <x:c r="N543" s="9"/>
    </x:row>
    <x:row r="544" ht="23" customHeight="1">
      <x:c r="A544" s="9"/>
      <x:c r="B544" s="10"/>
      <x:c r="C544" s="9"/>
      <x:c r="D544" s="9"/>
      <x:c r="E544" s="9"/>
      <x:c r="F544" s="11"/>
      <x:c r="G544" s="12" t="str">
        <x:f>IF(A544="","",SUMIFS('출고대장'!$D$7:$D$1006,'출고대장'!$A$7:$A$1006,A544))</x:f>
      </x:c>
      <x:c r="H544" s="12" t="str">
        <x:f>IF(A544="","",F544-G544)</x:f>
      </x:c>
      <x:c r="I544" s="12" t="str">
        <x:f>IF(A544="","",SUMIFS('출고대장'!$K$7:$K$1006,'출고대장'!$A$7:$A$1006,A544))</x:f>
      </x:c>
      <x:c r="J544" s="12" t="str">
        <x:f>IF(A544="","",SUMIFS('입금대장'!$C$7:$C$1006,'입금대장'!$A$7:$A$1006,A544,'입금대장'!$E$7:$E$1006,"정상"))</x:f>
      </x:c>
      <x:c r="K544" s="12" t="str">
        <x:f>IF(A544="","",I544-J544)</x:f>
      </x:c>
      <x:c r="L544" s="13" t="str">
        <x:f>IF(A544="","",IF(K544&lt;0,"선입금·초과입금",IF(I544=0,"청구 전",IF(K544=0,"정산 완료",IF(J544=0,"미입금","부분 입금")))))</x:f>
      </x:c>
      <x:c r="M544" s="9"/>
      <x:c r="N544" s="9"/>
    </x:row>
    <x:row r="545" ht="23" customHeight="1">
      <x:c r="A545" s="9"/>
      <x:c r="B545" s="10"/>
      <x:c r="C545" s="9"/>
      <x:c r="D545" s="9"/>
      <x:c r="E545" s="9"/>
      <x:c r="F545" s="11"/>
      <x:c r="G545" s="12" t="str">
        <x:f>IF(A545="","",SUMIFS('출고대장'!$D$7:$D$1006,'출고대장'!$A$7:$A$1006,A545))</x:f>
      </x:c>
      <x:c r="H545" s="12" t="str">
        <x:f>IF(A545="","",F545-G545)</x:f>
      </x:c>
      <x:c r="I545" s="12" t="str">
        <x:f>IF(A545="","",SUMIFS('출고대장'!$K$7:$K$1006,'출고대장'!$A$7:$A$1006,A545))</x:f>
      </x:c>
      <x:c r="J545" s="12" t="str">
        <x:f>IF(A545="","",SUMIFS('입금대장'!$C$7:$C$1006,'입금대장'!$A$7:$A$1006,A545,'입금대장'!$E$7:$E$1006,"정상"))</x:f>
      </x:c>
      <x:c r="K545" s="12" t="str">
        <x:f>IF(A545="","",I545-J545)</x:f>
      </x:c>
      <x:c r="L545" s="13" t="str">
        <x:f>IF(A545="","",IF(K545&lt;0,"선입금·초과입금",IF(I545=0,"청구 전",IF(K545=0,"정산 완료",IF(J545=0,"미입금","부분 입금")))))</x:f>
      </x:c>
      <x:c r="M545" s="9"/>
      <x:c r="N545" s="9"/>
    </x:row>
    <x:row r="546" ht="23" customHeight="1">
      <x:c r="A546" s="9"/>
      <x:c r="B546" s="10"/>
      <x:c r="C546" s="9"/>
      <x:c r="D546" s="9"/>
      <x:c r="E546" s="9"/>
      <x:c r="F546" s="11"/>
      <x:c r="G546" s="12" t="str">
        <x:f>IF(A546="","",SUMIFS('출고대장'!$D$7:$D$1006,'출고대장'!$A$7:$A$1006,A546))</x:f>
      </x:c>
      <x:c r="H546" s="12" t="str">
        <x:f>IF(A546="","",F546-G546)</x:f>
      </x:c>
      <x:c r="I546" s="12" t="str">
        <x:f>IF(A546="","",SUMIFS('출고대장'!$K$7:$K$1006,'출고대장'!$A$7:$A$1006,A546))</x:f>
      </x:c>
      <x:c r="J546" s="12" t="str">
        <x:f>IF(A546="","",SUMIFS('입금대장'!$C$7:$C$1006,'입금대장'!$A$7:$A$1006,A546,'입금대장'!$E$7:$E$1006,"정상"))</x:f>
      </x:c>
      <x:c r="K546" s="12" t="str">
        <x:f>IF(A546="","",I546-J546)</x:f>
      </x:c>
      <x:c r="L546" s="13" t="str">
        <x:f>IF(A546="","",IF(K546&lt;0,"선입금·초과입금",IF(I546=0,"청구 전",IF(K546=0,"정산 완료",IF(J546=0,"미입금","부분 입금")))))</x:f>
      </x:c>
      <x:c r="M546" s="9"/>
      <x:c r="N546" s="9"/>
    </x:row>
    <x:row r="547" ht="23" customHeight="1">
      <x:c r="A547" s="9"/>
      <x:c r="B547" s="10"/>
      <x:c r="C547" s="9"/>
      <x:c r="D547" s="9"/>
      <x:c r="E547" s="9"/>
      <x:c r="F547" s="11"/>
      <x:c r="G547" s="12" t="str">
        <x:f>IF(A547="","",SUMIFS('출고대장'!$D$7:$D$1006,'출고대장'!$A$7:$A$1006,A547))</x:f>
      </x:c>
      <x:c r="H547" s="12" t="str">
        <x:f>IF(A547="","",F547-G547)</x:f>
      </x:c>
      <x:c r="I547" s="12" t="str">
        <x:f>IF(A547="","",SUMIFS('출고대장'!$K$7:$K$1006,'출고대장'!$A$7:$A$1006,A547))</x:f>
      </x:c>
      <x:c r="J547" s="12" t="str">
        <x:f>IF(A547="","",SUMIFS('입금대장'!$C$7:$C$1006,'입금대장'!$A$7:$A$1006,A547,'입금대장'!$E$7:$E$1006,"정상"))</x:f>
      </x:c>
      <x:c r="K547" s="12" t="str">
        <x:f>IF(A547="","",I547-J547)</x:f>
      </x:c>
      <x:c r="L547" s="13" t="str">
        <x:f>IF(A547="","",IF(K547&lt;0,"선입금·초과입금",IF(I547=0,"청구 전",IF(K547=0,"정산 완료",IF(J547=0,"미입금","부분 입금")))))</x:f>
      </x:c>
      <x:c r="M547" s="9"/>
      <x:c r="N547" s="9"/>
    </x:row>
    <x:row r="548" ht="23" customHeight="1">
      <x:c r="A548" s="9"/>
      <x:c r="B548" s="10"/>
      <x:c r="C548" s="9"/>
      <x:c r="D548" s="9"/>
      <x:c r="E548" s="9"/>
      <x:c r="F548" s="11"/>
      <x:c r="G548" s="12" t="str">
        <x:f>IF(A548="","",SUMIFS('출고대장'!$D$7:$D$1006,'출고대장'!$A$7:$A$1006,A548))</x:f>
      </x:c>
      <x:c r="H548" s="12" t="str">
        <x:f>IF(A548="","",F548-G548)</x:f>
      </x:c>
      <x:c r="I548" s="12" t="str">
        <x:f>IF(A548="","",SUMIFS('출고대장'!$K$7:$K$1006,'출고대장'!$A$7:$A$1006,A548))</x:f>
      </x:c>
      <x:c r="J548" s="12" t="str">
        <x:f>IF(A548="","",SUMIFS('입금대장'!$C$7:$C$1006,'입금대장'!$A$7:$A$1006,A548,'입금대장'!$E$7:$E$1006,"정상"))</x:f>
      </x:c>
      <x:c r="K548" s="12" t="str">
        <x:f>IF(A548="","",I548-J548)</x:f>
      </x:c>
      <x:c r="L548" s="13" t="str">
        <x:f>IF(A548="","",IF(K548&lt;0,"선입금·초과입금",IF(I548=0,"청구 전",IF(K548=0,"정산 완료",IF(J548=0,"미입금","부분 입금")))))</x:f>
      </x:c>
      <x:c r="M548" s="9"/>
      <x:c r="N548" s="9"/>
    </x:row>
    <x:row r="549" ht="23" customHeight="1">
      <x:c r="A549" s="9"/>
      <x:c r="B549" s="10"/>
      <x:c r="C549" s="9"/>
      <x:c r="D549" s="9"/>
      <x:c r="E549" s="9"/>
      <x:c r="F549" s="11"/>
      <x:c r="G549" s="12" t="str">
        <x:f>IF(A549="","",SUMIFS('출고대장'!$D$7:$D$1006,'출고대장'!$A$7:$A$1006,A549))</x:f>
      </x:c>
      <x:c r="H549" s="12" t="str">
        <x:f>IF(A549="","",F549-G549)</x:f>
      </x:c>
      <x:c r="I549" s="12" t="str">
        <x:f>IF(A549="","",SUMIFS('출고대장'!$K$7:$K$1006,'출고대장'!$A$7:$A$1006,A549))</x:f>
      </x:c>
      <x:c r="J549" s="12" t="str">
        <x:f>IF(A549="","",SUMIFS('입금대장'!$C$7:$C$1006,'입금대장'!$A$7:$A$1006,A549,'입금대장'!$E$7:$E$1006,"정상"))</x:f>
      </x:c>
      <x:c r="K549" s="12" t="str">
        <x:f>IF(A549="","",I549-J549)</x:f>
      </x:c>
      <x:c r="L549" s="13" t="str">
        <x:f>IF(A549="","",IF(K549&lt;0,"선입금·초과입금",IF(I549=0,"청구 전",IF(K549=0,"정산 완료",IF(J549=0,"미입금","부분 입금")))))</x:f>
      </x:c>
      <x:c r="M549" s="9"/>
      <x:c r="N549" s="9"/>
    </x:row>
    <x:row r="550" ht="23" customHeight="1">
      <x:c r="A550" s="9"/>
      <x:c r="B550" s="10"/>
      <x:c r="C550" s="9"/>
      <x:c r="D550" s="9"/>
      <x:c r="E550" s="9"/>
      <x:c r="F550" s="11"/>
      <x:c r="G550" s="12" t="str">
        <x:f>IF(A550="","",SUMIFS('출고대장'!$D$7:$D$1006,'출고대장'!$A$7:$A$1006,A550))</x:f>
      </x:c>
      <x:c r="H550" s="12" t="str">
        <x:f>IF(A550="","",F550-G550)</x:f>
      </x:c>
      <x:c r="I550" s="12" t="str">
        <x:f>IF(A550="","",SUMIFS('출고대장'!$K$7:$K$1006,'출고대장'!$A$7:$A$1006,A550))</x:f>
      </x:c>
      <x:c r="J550" s="12" t="str">
        <x:f>IF(A550="","",SUMIFS('입금대장'!$C$7:$C$1006,'입금대장'!$A$7:$A$1006,A550,'입금대장'!$E$7:$E$1006,"정상"))</x:f>
      </x:c>
      <x:c r="K550" s="12" t="str">
        <x:f>IF(A550="","",I550-J550)</x:f>
      </x:c>
      <x:c r="L550" s="13" t="str">
        <x:f>IF(A550="","",IF(K550&lt;0,"선입금·초과입금",IF(I550=0,"청구 전",IF(K550=0,"정산 완료",IF(J550=0,"미입금","부분 입금")))))</x:f>
      </x:c>
      <x:c r="M550" s="9"/>
      <x:c r="N550" s="9"/>
    </x:row>
    <x:row r="551" ht="23" customHeight="1">
      <x:c r="A551" s="9"/>
      <x:c r="B551" s="10"/>
      <x:c r="C551" s="9"/>
      <x:c r="D551" s="9"/>
      <x:c r="E551" s="9"/>
      <x:c r="F551" s="11"/>
      <x:c r="G551" s="12" t="str">
        <x:f>IF(A551="","",SUMIFS('출고대장'!$D$7:$D$1006,'출고대장'!$A$7:$A$1006,A551))</x:f>
      </x:c>
      <x:c r="H551" s="12" t="str">
        <x:f>IF(A551="","",F551-G551)</x:f>
      </x:c>
      <x:c r="I551" s="12" t="str">
        <x:f>IF(A551="","",SUMIFS('출고대장'!$K$7:$K$1006,'출고대장'!$A$7:$A$1006,A551))</x:f>
      </x:c>
      <x:c r="J551" s="12" t="str">
        <x:f>IF(A551="","",SUMIFS('입금대장'!$C$7:$C$1006,'입금대장'!$A$7:$A$1006,A551,'입금대장'!$E$7:$E$1006,"정상"))</x:f>
      </x:c>
      <x:c r="K551" s="12" t="str">
        <x:f>IF(A551="","",I551-J551)</x:f>
      </x:c>
      <x:c r="L551" s="13" t="str">
        <x:f>IF(A551="","",IF(K551&lt;0,"선입금·초과입금",IF(I551=0,"청구 전",IF(K551=0,"정산 완료",IF(J551=0,"미입금","부분 입금")))))</x:f>
      </x:c>
      <x:c r="M551" s="9"/>
      <x:c r="N551" s="9"/>
    </x:row>
    <x:row r="552" ht="23" customHeight="1">
      <x:c r="A552" s="9"/>
      <x:c r="B552" s="10"/>
      <x:c r="C552" s="9"/>
      <x:c r="D552" s="9"/>
      <x:c r="E552" s="9"/>
      <x:c r="F552" s="11"/>
      <x:c r="G552" s="12" t="str">
        <x:f>IF(A552="","",SUMIFS('출고대장'!$D$7:$D$1006,'출고대장'!$A$7:$A$1006,A552))</x:f>
      </x:c>
      <x:c r="H552" s="12" t="str">
        <x:f>IF(A552="","",F552-G552)</x:f>
      </x:c>
      <x:c r="I552" s="12" t="str">
        <x:f>IF(A552="","",SUMIFS('출고대장'!$K$7:$K$1006,'출고대장'!$A$7:$A$1006,A552))</x:f>
      </x:c>
      <x:c r="J552" s="12" t="str">
        <x:f>IF(A552="","",SUMIFS('입금대장'!$C$7:$C$1006,'입금대장'!$A$7:$A$1006,A552,'입금대장'!$E$7:$E$1006,"정상"))</x:f>
      </x:c>
      <x:c r="K552" s="12" t="str">
        <x:f>IF(A552="","",I552-J552)</x:f>
      </x:c>
      <x:c r="L552" s="13" t="str">
        <x:f>IF(A552="","",IF(K552&lt;0,"선입금·초과입금",IF(I552=0,"청구 전",IF(K552=0,"정산 완료",IF(J552=0,"미입금","부분 입금")))))</x:f>
      </x:c>
      <x:c r="M552" s="9"/>
      <x:c r="N552" s="9"/>
    </x:row>
    <x:row r="553" ht="23" customHeight="1">
      <x:c r="A553" s="9"/>
      <x:c r="B553" s="10"/>
      <x:c r="C553" s="9"/>
      <x:c r="D553" s="9"/>
      <x:c r="E553" s="9"/>
      <x:c r="F553" s="11"/>
      <x:c r="G553" s="12" t="str">
        <x:f>IF(A553="","",SUMIFS('출고대장'!$D$7:$D$1006,'출고대장'!$A$7:$A$1006,A553))</x:f>
      </x:c>
      <x:c r="H553" s="12" t="str">
        <x:f>IF(A553="","",F553-G553)</x:f>
      </x:c>
      <x:c r="I553" s="12" t="str">
        <x:f>IF(A553="","",SUMIFS('출고대장'!$K$7:$K$1006,'출고대장'!$A$7:$A$1006,A553))</x:f>
      </x:c>
      <x:c r="J553" s="12" t="str">
        <x:f>IF(A553="","",SUMIFS('입금대장'!$C$7:$C$1006,'입금대장'!$A$7:$A$1006,A553,'입금대장'!$E$7:$E$1006,"정상"))</x:f>
      </x:c>
      <x:c r="K553" s="12" t="str">
        <x:f>IF(A553="","",I553-J553)</x:f>
      </x:c>
      <x:c r="L553" s="13" t="str">
        <x:f>IF(A553="","",IF(K553&lt;0,"선입금·초과입금",IF(I553=0,"청구 전",IF(K553=0,"정산 완료",IF(J553=0,"미입금","부분 입금")))))</x:f>
      </x:c>
      <x:c r="M553" s="9"/>
      <x:c r="N553" s="9"/>
    </x:row>
    <x:row r="554" ht="23" customHeight="1">
      <x:c r="A554" s="9"/>
      <x:c r="B554" s="10"/>
      <x:c r="C554" s="9"/>
      <x:c r="D554" s="9"/>
      <x:c r="E554" s="9"/>
      <x:c r="F554" s="11"/>
      <x:c r="G554" s="12" t="str">
        <x:f>IF(A554="","",SUMIFS('출고대장'!$D$7:$D$1006,'출고대장'!$A$7:$A$1006,A554))</x:f>
      </x:c>
      <x:c r="H554" s="12" t="str">
        <x:f>IF(A554="","",F554-G554)</x:f>
      </x:c>
      <x:c r="I554" s="12" t="str">
        <x:f>IF(A554="","",SUMIFS('출고대장'!$K$7:$K$1006,'출고대장'!$A$7:$A$1006,A554))</x:f>
      </x:c>
      <x:c r="J554" s="12" t="str">
        <x:f>IF(A554="","",SUMIFS('입금대장'!$C$7:$C$1006,'입금대장'!$A$7:$A$1006,A554,'입금대장'!$E$7:$E$1006,"정상"))</x:f>
      </x:c>
      <x:c r="K554" s="12" t="str">
        <x:f>IF(A554="","",I554-J554)</x:f>
      </x:c>
      <x:c r="L554" s="13" t="str">
        <x:f>IF(A554="","",IF(K554&lt;0,"선입금·초과입금",IF(I554=0,"청구 전",IF(K554=0,"정산 완료",IF(J554=0,"미입금","부분 입금")))))</x:f>
      </x:c>
      <x:c r="M554" s="9"/>
      <x:c r="N554" s="9"/>
    </x:row>
    <x:row r="555" ht="23" customHeight="1">
      <x:c r="A555" s="9"/>
      <x:c r="B555" s="10"/>
      <x:c r="C555" s="9"/>
      <x:c r="D555" s="9"/>
      <x:c r="E555" s="9"/>
      <x:c r="F555" s="11"/>
      <x:c r="G555" s="12" t="str">
        <x:f>IF(A555="","",SUMIFS('출고대장'!$D$7:$D$1006,'출고대장'!$A$7:$A$1006,A555))</x:f>
      </x:c>
      <x:c r="H555" s="12" t="str">
        <x:f>IF(A555="","",F555-G555)</x:f>
      </x:c>
      <x:c r="I555" s="12" t="str">
        <x:f>IF(A555="","",SUMIFS('출고대장'!$K$7:$K$1006,'출고대장'!$A$7:$A$1006,A555))</x:f>
      </x:c>
      <x:c r="J555" s="12" t="str">
        <x:f>IF(A555="","",SUMIFS('입금대장'!$C$7:$C$1006,'입금대장'!$A$7:$A$1006,A555,'입금대장'!$E$7:$E$1006,"정상"))</x:f>
      </x:c>
      <x:c r="K555" s="12" t="str">
        <x:f>IF(A555="","",I555-J555)</x:f>
      </x:c>
      <x:c r="L555" s="13" t="str">
        <x:f>IF(A555="","",IF(K555&lt;0,"선입금·초과입금",IF(I555=0,"청구 전",IF(K555=0,"정산 완료",IF(J555=0,"미입금","부분 입금")))))</x:f>
      </x:c>
      <x:c r="M555" s="9"/>
      <x:c r="N555" s="9"/>
    </x:row>
    <x:row r="556" ht="23" customHeight="1">
      <x:c r="A556" s="9"/>
      <x:c r="B556" s="10"/>
      <x:c r="C556" s="9"/>
      <x:c r="D556" s="9"/>
      <x:c r="E556" s="9"/>
      <x:c r="F556" s="11"/>
      <x:c r="G556" s="12" t="str">
        <x:f>IF(A556="","",SUMIFS('출고대장'!$D$7:$D$1006,'출고대장'!$A$7:$A$1006,A556))</x:f>
      </x:c>
      <x:c r="H556" s="12" t="str">
        <x:f>IF(A556="","",F556-G556)</x:f>
      </x:c>
      <x:c r="I556" s="12" t="str">
        <x:f>IF(A556="","",SUMIFS('출고대장'!$K$7:$K$1006,'출고대장'!$A$7:$A$1006,A556))</x:f>
      </x:c>
      <x:c r="J556" s="12" t="str">
        <x:f>IF(A556="","",SUMIFS('입금대장'!$C$7:$C$1006,'입금대장'!$A$7:$A$1006,A556,'입금대장'!$E$7:$E$1006,"정상"))</x:f>
      </x:c>
      <x:c r="K556" s="12" t="str">
        <x:f>IF(A556="","",I556-J556)</x:f>
      </x:c>
      <x:c r="L556" s="13" t="str">
        <x:f>IF(A556="","",IF(K556&lt;0,"선입금·초과입금",IF(I556=0,"청구 전",IF(K556=0,"정산 완료",IF(J556=0,"미입금","부분 입금")))))</x:f>
      </x:c>
      <x:c r="M556" s="9"/>
      <x:c r="N556" s="9"/>
    </x:row>
    <x:row r="557" ht="23" customHeight="1">
      <x:c r="A557" s="9"/>
      <x:c r="B557" s="10"/>
      <x:c r="C557" s="9"/>
      <x:c r="D557" s="9"/>
      <x:c r="E557" s="9"/>
      <x:c r="F557" s="11"/>
      <x:c r="G557" s="12" t="str">
        <x:f>IF(A557="","",SUMIFS('출고대장'!$D$7:$D$1006,'출고대장'!$A$7:$A$1006,A557))</x:f>
      </x:c>
      <x:c r="H557" s="12" t="str">
        <x:f>IF(A557="","",F557-G557)</x:f>
      </x:c>
      <x:c r="I557" s="12" t="str">
        <x:f>IF(A557="","",SUMIFS('출고대장'!$K$7:$K$1006,'출고대장'!$A$7:$A$1006,A557))</x:f>
      </x:c>
      <x:c r="J557" s="12" t="str">
        <x:f>IF(A557="","",SUMIFS('입금대장'!$C$7:$C$1006,'입금대장'!$A$7:$A$1006,A557,'입금대장'!$E$7:$E$1006,"정상"))</x:f>
      </x:c>
      <x:c r="K557" s="12" t="str">
        <x:f>IF(A557="","",I557-J557)</x:f>
      </x:c>
      <x:c r="L557" s="13" t="str">
        <x:f>IF(A557="","",IF(K557&lt;0,"선입금·초과입금",IF(I557=0,"청구 전",IF(K557=0,"정산 완료",IF(J557=0,"미입금","부분 입금")))))</x:f>
      </x:c>
      <x:c r="M557" s="9"/>
      <x:c r="N557" s="9"/>
    </x:row>
    <x:row r="558" ht="23" customHeight="1">
      <x:c r="A558" s="9"/>
      <x:c r="B558" s="10"/>
      <x:c r="C558" s="9"/>
      <x:c r="D558" s="9"/>
      <x:c r="E558" s="9"/>
      <x:c r="F558" s="11"/>
      <x:c r="G558" s="12" t="str">
        <x:f>IF(A558="","",SUMIFS('출고대장'!$D$7:$D$1006,'출고대장'!$A$7:$A$1006,A558))</x:f>
      </x:c>
      <x:c r="H558" s="12" t="str">
        <x:f>IF(A558="","",F558-G558)</x:f>
      </x:c>
      <x:c r="I558" s="12" t="str">
        <x:f>IF(A558="","",SUMIFS('출고대장'!$K$7:$K$1006,'출고대장'!$A$7:$A$1006,A558))</x:f>
      </x:c>
      <x:c r="J558" s="12" t="str">
        <x:f>IF(A558="","",SUMIFS('입금대장'!$C$7:$C$1006,'입금대장'!$A$7:$A$1006,A558,'입금대장'!$E$7:$E$1006,"정상"))</x:f>
      </x:c>
      <x:c r="K558" s="12" t="str">
        <x:f>IF(A558="","",I558-J558)</x:f>
      </x:c>
      <x:c r="L558" s="13" t="str">
        <x:f>IF(A558="","",IF(K558&lt;0,"선입금·초과입금",IF(I558=0,"청구 전",IF(K558=0,"정산 완료",IF(J558=0,"미입금","부분 입금")))))</x:f>
      </x:c>
      <x:c r="M558" s="9"/>
      <x:c r="N558" s="9"/>
    </x:row>
    <x:row r="559" ht="23" customHeight="1">
      <x:c r="A559" s="9"/>
      <x:c r="B559" s="10"/>
      <x:c r="C559" s="9"/>
      <x:c r="D559" s="9"/>
      <x:c r="E559" s="9"/>
      <x:c r="F559" s="11"/>
      <x:c r="G559" s="12" t="str">
        <x:f>IF(A559="","",SUMIFS('출고대장'!$D$7:$D$1006,'출고대장'!$A$7:$A$1006,A559))</x:f>
      </x:c>
      <x:c r="H559" s="12" t="str">
        <x:f>IF(A559="","",F559-G559)</x:f>
      </x:c>
      <x:c r="I559" s="12" t="str">
        <x:f>IF(A559="","",SUMIFS('출고대장'!$K$7:$K$1006,'출고대장'!$A$7:$A$1006,A559))</x:f>
      </x:c>
      <x:c r="J559" s="12" t="str">
        <x:f>IF(A559="","",SUMIFS('입금대장'!$C$7:$C$1006,'입금대장'!$A$7:$A$1006,A559,'입금대장'!$E$7:$E$1006,"정상"))</x:f>
      </x:c>
      <x:c r="K559" s="12" t="str">
        <x:f>IF(A559="","",I559-J559)</x:f>
      </x:c>
      <x:c r="L559" s="13" t="str">
        <x:f>IF(A559="","",IF(K559&lt;0,"선입금·초과입금",IF(I559=0,"청구 전",IF(K559=0,"정산 완료",IF(J559=0,"미입금","부분 입금")))))</x:f>
      </x:c>
      <x:c r="M559" s="9"/>
      <x:c r="N559" s="9"/>
    </x:row>
    <x:row r="560" ht="23" customHeight="1">
      <x:c r="A560" s="9"/>
      <x:c r="B560" s="10"/>
      <x:c r="C560" s="9"/>
      <x:c r="D560" s="9"/>
      <x:c r="E560" s="9"/>
      <x:c r="F560" s="11"/>
      <x:c r="G560" s="12" t="str">
        <x:f>IF(A560="","",SUMIFS('출고대장'!$D$7:$D$1006,'출고대장'!$A$7:$A$1006,A560))</x:f>
      </x:c>
      <x:c r="H560" s="12" t="str">
        <x:f>IF(A560="","",F560-G560)</x:f>
      </x:c>
      <x:c r="I560" s="12" t="str">
        <x:f>IF(A560="","",SUMIFS('출고대장'!$K$7:$K$1006,'출고대장'!$A$7:$A$1006,A560))</x:f>
      </x:c>
      <x:c r="J560" s="12" t="str">
        <x:f>IF(A560="","",SUMIFS('입금대장'!$C$7:$C$1006,'입금대장'!$A$7:$A$1006,A560,'입금대장'!$E$7:$E$1006,"정상"))</x:f>
      </x:c>
      <x:c r="K560" s="12" t="str">
        <x:f>IF(A560="","",I560-J560)</x:f>
      </x:c>
      <x:c r="L560" s="13" t="str">
        <x:f>IF(A560="","",IF(K560&lt;0,"선입금·초과입금",IF(I560=0,"청구 전",IF(K560=0,"정산 완료",IF(J560=0,"미입금","부분 입금")))))</x:f>
      </x:c>
      <x:c r="M560" s="9"/>
      <x:c r="N560" s="9"/>
    </x:row>
    <x:row r="561" ht="23" customHeight="1">
      <x:c r="A561" s="9"/>
      <x:c r="B561" s="10"/>
      <x:c r="C561" s="9"/>
      <x:c r="D561" s="9"/>
      <x:c r="E561" s="9"/>
      <x:c r="F561" s="11"/>
      <x:c r="G561" s="12" t="str">
        <x:f>IF(A561="","",SUMIFS('출고대장'!$D$7:$D$1006,'출고대장'!$A$7:$A$1006,A561))</x:f>
      </x:c>
      <x:c r="H561" s="12" t="str">
        <x:f>IF(A561="","",F561-G561)</x:f>
      </x:c>
      <x:c r="I561" s="12" t="str">
        <x:f>IF(A561="","",SUMIFS('출고대장'!$K$7:$K$1006,'출고대장'!$A$7:$A$1006,A561))</x:f>
      </x:c>
      <x:c r="J561" s="12" t="str">
        <x:f>IF(A561="","",SUMIFS('입금대장'!$C$7:$C$1006,'입금대장'!$A$7:$A$1006,A561,'입금대장'!$E$7:$E$1006,"정상"))</x:f>
      </x:c>
      <x:c r="K561" s="12" t="str">
        <x:f>IF(A561="","",I561-J561)</x:f>
      </x:c>
      <x:c r="L561" s="13" t="str">
        <x:f>IF(A561="","",IF(K561&lt;0,"선입금·초과입금",IF(I561=0,"청구 전",IF(K561=0,"정산 완료",IF(J561=0,"미입금","부분 입금")))))</x:f>
      </x:c>
      <x:c r="M561" s="9"/>
      <x:c r="N561" s="9"/>
    </x:row>
    <x:row r="562" ht="23" customHeight="1">
      <x:c r="A562" s="9"/>
      <x:c r="B562" s="10"/>
      <x:c r="C562" s="9"/>
      <x:c r="D562" s="9"/>
      <x:c r="E562" s="9"/>
      <x:c r="F562" s="11"/>
      <x:c r="G562" s="12" t="str">
        <x:f>IF(A562="","",SUMIFS('출고대장'!$D$7:$D$1006,'출고대장'!$A$7:$A$1006,A562))</x:f>
      </x:c>
      <x:c r="H562" s="12" t="str">
        <x:f>IF(A562="","",F562-G562)</x:f>
      </x:c>
      <x:c r="I562" s="12" t="str">
        <x:f>IF(A562="","",SUMIFS('출고대장'!$K$7:$K$1006,'출고대장'!$A$7:$A$1006,A562))</x:f>
      </x:c>
      <x:c r="J562" s="12" t="str">
        <x:f>IF(A562="","",SUMIFS('입금대장'!$C$7:$C$1006,'입금대장'!$A$7:$A$1006,A562,'입금대장'!$E$7:$E$1006,"정상"))</x:f>
      </x:c>
      <x:c r="K562" s="12" t="str">
        <x:f>IF(A562="","",I562-J562)</x:f>
      </x:c>
      <x:c r="L562" s="13" t="str">
        <x:f>IF(A562="","",IF(K562&lt;0,"선입금·초과입금",IF(I562=0,"청구 전",IF(K562=0,"정산 완료",IF(J562=0,"미입금","부분 입금")))))</x:f>
      </x:c>
      <x:c r="M562" s="9"/>
      <x:c r="N562" s="9"/>
    </x:row>
    <x:row r="563" ht="23" customHeight="1">
      <x:c r="A563" s="9"/>
      <x:c r="B563" s="10"/>
      <x:c r="C563" s="9"/>
      <x:c r="D563" s="9"/>
      <x:c r="E563" s="9"/>
      <x:c r="F563" s="11"/>
      <x:c r="G563" s="12" t="str">
        <x:f>IF(A563="","",SUMIFS('출고대장'!$D$7:$D$1006,'출고대장'!$A$7:$A$1006,A563))</x:f>
      </x:c>
      <x:c r="H563" s="12" t="str">
        <x:f>IF(A563="","",F563-G563)</x:f>
      </x:c>
      <x:c r="I563" s="12" t="str">
        <x:f>IF(A563="","",SUMIFS('출고대장'!$K$7:$K$1006,'출고대장'!$A$7:$A$1006,A563))</x:f>
      </x:c>
      <x:c r="J563" s="12" t="str">
        <x:f>IF(A563="","",SUMIFS('입금대장'!$C$7:$C$1006,'입금대장'!$A$7:$A$1006,A563,'입금대장'!$E$7:$E$1006,"정상"))</x:f>
      </x:c>
      <x:c r="K563" s="12" t="str">
        <x:f>IF(A563="","",I563-J563)</x:f>
      </x:c>
      <x:c r="L563" s="13" t="str">
        <x:f>IF(A563="","",IF(K563&lt;0,"선입금·초과입금",IF(I563=0,"청구 전",IF(K563=0,"정산 완료",IF(J563=0,"미입금","부분 입금")))))</x:f>
      </x:c>
      <x:c r="M563" s="9"/>
      <x:c r="N563" s="9"/>
    </x:row>
    <x:row r="564" ht="23" customHeight="1">
      <x:c r="A564" s="9"/>
      <x:c r="B564" s="10"/>
      <x:c r="C564" s="9"/>
      <x:c r="D564" s="9"/>
      <x:c r="E564" s="9"/>
      <x:c r="F564" s="11"/>
      <x:c r="G564" s="12" t="str">
        <x:f>IF(A564="","",SUMIFS('출고대장'!$D$7:$D$1006,'출고대장'!$A$7:$A$1006,A564))</x:f>
      </x:c>
      <x:c r="H564" s="12" t="str">
        <x:f>IF(A564="","",F564-G564)</x:f>
      </x:c>
      <x:c r="I564" s="12" t="str">
        <x:f>IF(A564="","",SUMIFS('출고대장'!$K$7:$K$1006,'출고대장'!$A$7:$A$1006,A564))</x:f>
      </x:c>
      <x:c r="J564" s="12" t="str">
        <x:f>IF(A564="","",SUMIFS('입금대장'!$C$7:$C$1006,'입금대장'!$A$7:$A$1006,A564,'입금대장'!$E$7:$E$1006,"정상"))</x:f>
      </x:c>
      <x:c r="K564" s="12" t="str">
        <x:f>IF(A564="","",I564-J564)</x:f>
      </x:c>
      <x:c r="L564" s="13" t="str">
        <x:f>IF(A564="","",IF(K564&lt;0,"선입금·초과입금",IF(I564=0,"청구 전",IF(K564=0,"정산 완료",IF(J564=0,"미입금","부분 입금")))))</x:f>
      </x:c>
      <x:c r="M564" s="9"/>
      <x:c r="N564" s="9"/>
    </x:row>
    <x:row r="565" ht="23" customHeight="1">
      <x:c r="A565" s="9"/>
      <x:c r="B565" s="10"/>
      <x:c r="C565" s="9"/>
      <x:c r="D565" s="9"/>
      <x:c r="E565" s="9"/>
      <x:c r="F565" s="11"/>
      <x:c r="G565" s="12" t="str">
        <x:f>IF(A565="","",SUMIFS('출고대장'!$D$7:$D$1006,'출고대장'!$A$7:$A$1006,A565))</x:f>
      </x:c>
      <x:c r="H565" s="12" t="str">
        <x:f>IF(A565="","",F565-G565)</x:f>
      </x:c>
      <x:c r="I565" s="12" t="str">
        <x:f>IF(A565="","",SUMIFS('출고대장'!$K$7:$K$1006,'출고대장'!$A$7:$A$1006,A565))</x:f>
      </x:c>
      <x:c r="J565" s="12" t="str">
        <x:f>IF(A565="","",SUMIFS('입금대장'!$C$7:$C$1006,'입금대장'!$A$7:$A$1006,A565,'입금대장'!$E$7:$E$1006,"정상"))</x:f>
      </x:c>
      <x:c r="K565" s="12" t="str">
        <x:f>IF(A565="","",I565-J565)</x:f>
      </x:c>
      <x:c r="L565" s="13" t="str">
        <x:f>IF(A565="","",IF(K565&lt;0,"선입금·초과입금",IF(I565=0,"청구 전",IF(K565=0,"정산 완료",IF(J565=0,"미입금","부분 입금")))))</x:f>
      </x:c>
      <x:c r="M565" s="9"/>
      <x:c r="N565" s="9"/>
    </x:row>
    <x:row r="566" ht="23" customHeight="1">
      <x:c r="A566" s="9"/>
      <x:c r="B566" s="10"/>
      <x:c r="C566" s="9"/>
      <x:c r="D566" s="9"/>
      <x:c r="E566" s="9"/>
      <x:c r="F566" s="11"/>
      <x:c r="G566" s="12" t="str">
        <x:f>IF(A566="","",SUMIFS('출고대장'!$D$7:$D$1006,'출고대장'!$A$7:$A$1006,A566))</x:f>
      </x:c>
      <x:c r="H566" s="12" t="str">
        <x:f>IF(A566="","",F566-G566)</x:f>
      </x:c>
      <x:c r="I566" s="12" t="str">
        <x:f>IF(A566="","",SUMIFS('출고대장'!$K$7:$K$1006,'출고대장'!$A$7:$A$1006,A566))</x:f>
      </x:c>
      <x:c r="J566" s="12" t="str">
        <x:f>IF(A566="","",SUMIFS('입금대장'!$C$7:$C$1006,'입금대장'!$A$7:$A$1006,A566,'입금대장'!$E$7:$E$1006,"정상"))</x:f>
      </x:c>
      <x:c r="K566" s="12" t="str">
        <x:f>IF(A566="","",I566-J566)</x:f>
      </x:c>
      <x:c r="L566" s="13" t="str">
        <x:f>IF(A566="","",IF(K566&lt;0,"선입금·초과입금",IF(I566=0,"청구 전",IF(K566=0,"정산 완료",IF(J566=0,"미입금","부분 입금")))))</x:f>
      </x:c>
      <x:c r="M566" s="9"/>
      <x:c r="N566" s="9"/>
    </x:row>
    <x:row r="567" ht="23" customHeight="1">
      <x:c r="A567" s="9"/>
      <x:c r="B567" s="10"/>
      <x:c r="C567" s="9"/>
      <x:c r="D567" s="9"/>
      <x:c r="E567" s="9"/>
      <x:c r="F567" s="11"/>
      <x:c r="G567" s="12" t="str">
        <x:f>IF(A567="","",SUMIFS('출고대장'!$D$7:$D$1006,'출고대장'!$A$7:$A$1006,A567))</x:f>
      </x:c>
      <x:c r="H567" s="12" t="str">
        <x:f>IF(A567="","",F567-G567)</x:f>
      </x:c>
      <x:c r="I567" s="12" t="str">
        <x:f>IF(A567="","",SUMIFS('출고대장'!$K$7:$K$1006,'출고대장'!$A$7:$A$1006,A567))</x:f>
      </x:c>
      <x:c r="J567" s="12" t="str">
        <x:f>IF(A567="","",SUMIFS('입금대장'!$C$7:$C$1006,'입금대장'!$A$7:$A$1006,A567,'입금대장'!$E$7:$E$1006,"정상"))</x:f>
      </x:c>
      <x:c r="K567" s="12" t="str">
        <x:f>IF(A567="","",I567-J567)</x:f>
      </x:c>
      <x:c r="L567" s="13" t="str">
        <x:f>IF(A567="","",IF(K567&lt;0,"선입금·초과입금",IF(I567=0,"청구 전",IF(K567=0,"정산 완료",IF(J567=0,"미입금","부분 입금")))))</x:f>
      </x:c>
      <x:c r="M567" s="9"/>
      <x:c r="N567" s="9"/>
    </x:row>
    <x:row r="568" ht="23" customHeight="1">
      <x:c r="A568" s="9"/>
      <x:c r="B568" s="10"/>
      <x:c r="C568" s="9"/>
      <x:c r="D568" s="9"/>
      <x:c r="E568" s="9"/>
      <x:c r="F568" s="11"/>
      <x:c r="G568" s="12" t="str">
        <x:f>IF(A568="","",SUMIFS('출고대장'!$D$7:$D$1006,'출고대장'!$A$7:$A$1006,A568))</x:f>
      </x:c>
      <x:c r="H568" s="12" t="str">
        <x:f>IF(A568="","",F568-G568)</x:f>
      </x:c>
      <x:c r="I568" s="12" t="str">
        <x:f>IF(A568="","",SUMIFS('출고대장'!$K$7:$K$1006,'출고대장'!$A$7:$A$1006,A568))</x:f>
      </x:c>
      <x:c r="J568" s="12" t="str">
        <x:f>IF(A568="","",SUMIFS('입금대장'!$C$7:$C$1006,'입금대장'!$A$7:$A$1006,A568,'입금대장'!$E$7:$E$1006,"정상"))</x:f>
      </x:c>
      <x:c r="K568" s="12" t="str">
        <x:f>IF(A568="","",I568-J568)</x:f>
      </x:c>
      <x:c r="L568" s="13" t="str">
        <x:f>IF(A568="","",IF(K568&lt;0,"선입금·초과입금",IF(I568=0,"청구 전",IF(K568=0,"정산 완료",IF(J568=0,"미입금","부분 입금")))))</x:f>
      </x:c>
      <x:c r="M568" s="9"/>
      <x:c r="N568" s="9"/>
    </x:row>
    <x:row r="569" ht="23" customHeight="1">
      <x:c r="A569" s="9"/>
      <x:c r="B569" s="10"/>
      <x:c r="C569" s="9"/>
      <x:c r="D569" s="9"/>
      <x:c r="E569" s="9"/>
      <x:c r="F569" s="11"/>
      <x:c r="G569" s="12" t="str">
        <x:f>IF(A569="","",SUMIFS('출고대장'!$D$7:$D$1006,'출고대장'!$A$7:$A$1006,A569))</x:f>
      </x:c>
      <x:c r="H569" s="12" t="str">
        <x:f>IF(A569="","",F569-G569)</x:f>
      </x:c>
      <x:c r="I569" s="12" t="str">
        <x:f>IF(A569="","",SUMIFS('출고대장'!$K$7:$K$1006,'출고대장'!$A$7:$A$1006,A569))</x:f>
      </x:c>
      <x:c r="J569" s="12" t="str">
        <x:f>IF(A569="","",SUMIFS('입금대장'!$C$7:$C$1006,'입금대장'!$A$7:$A$1006,A569,'입금대장'!$E$7:$E$1006,"정상"))</x:f>
      </x:c>
      <x:c r="K569" s="12" t="str">
        <x:f>IF(A569="","",I569-J569)</x:f>
      </x:c>
      <x:c r="L569" s="13" t="str">
        <x:f>IF(A569="","",IF(K569&lt;0,"선입금·초과입금",IF(I569=0,"청구 전",IF(K569=0,"정산 완료",IF(J569=0,"미입금","부분 입금")))))</x:f>
      </x:c>
      <x:c r="M569" s="9"/>
      <x:c r="N569" s="9"/>
    </x:row>
    <x:row r="570" ht="23" customHeight="1">
      <x:c r="A570" s="9"/>
      <x:c r="B570" s="10"/>
      <x:c r="C570" s="9"/>
      <x:c r="D570" s="9"/>
      <x:c r="E570" s="9"/>
      <x:c r="F570" s="11"/>
      <x:c r="G570" s="12" t="str">
        <x:f>IF(A570="","",SUMIFS('출고대장'!$D$7:$D$1006,'출고대장'!$A$7:$A$1006,A570))</x:f>
      </x:c>
      <x:c r="H570" s="12" t="str">
        <x:f>IF(A570="","",F570-G570)</x:f>
      </x:c>
      <x:c r="I570" s="12" t="str">
        <x:f>IF(A570="","",SUMIFS('출고대장'!$K$7:$K$1006,'출고대장'!$A$7:$A$1006,A570))</x:f>
      </x:c>
      <x:c r="J570" s="12" t="str">
        <x:f>IF(A570="","",SUMIFS('입금대장'!$C$7:$C$1006,'입금대장'!$A$7:$A$1006,A570,'입금대장'!$E$7:$E$1006,"정상"))</x:f>
      </x:c>
      <x:c r="K570" s="12" t="str">
        <x:f>IF(A570="","",I570-J570)</x:f>
      </x:c>
      <x:c r="L570" s="13" t="str">
        <x:f>IF(A570="","",IF(K570&lt;0,"선입금·초과입금",IF(I570=0,"청구 전",IF(K570=0,"정산 완료",IF(J570=0,"미입금","부분 입금")))))</x:f>
      </x:c>
      <x:c r="M570" s="9"/>
      <x:c r="N570" s="9"/>
    </x:row>
    <x:row r="571" ht="23" customHeight="1">
      <x:c r="A571" s="9"/>
      <x:c r="B571" s="10"/>
      <x:c r="C571" s="9"/>
      <x:c r="D571" s="9"/>
      <x:c r="E571" s="9"/>
      <x:c r="F571" s="11"/>
      <x:c r="G571" s="12" t="str">
        <x:f>IF(A571="","",SUMIFS('출고대장'!$D$7:$D$1006,'출고대장'!$A$7:$A$1006,A571))</x:f>
      </x:c>
      <x:c r="H571" s="12" t="str">
        <x:f>IF(A571="","",F571-G571)</x:f>
      </x:c>
      <x:c r="I571" s="12" t="str">
        <x:f>IF(A571="","",SUMIFS('출고대장'!$K$7:$K$1006,'출고대장'!$A$7:$A$1006,A571))</x:f>
      </x:c>
      <x:c r="J571" s="12" t="str">
        <x:f>IF(A571="","",SUMIFS('입금대장'!$C$7:$C$1006,'입금대장'!$A$7:$A$1006,A571,'입금대장'!$E$7:$E$1006,"정상"))</x:f>
      </x:c>
      <x:c r="K571" s="12" t="str">
        <x:f>IF(A571="","",I571-J571)</x:f>
      </x:c>
      <x:c r="L571" s="13" t="str">
        <x:f>IF(A571="","",IF(K571&lt;0,"선입금·초과입금",IF(I571=0,"청구 전",IF(K571=0,"정산 완료",IF(J571=0,"미입금","부분 입금")))))</x:f>
      </x:c>
      <x:c r="M571" s="9"/>
      <x:c r="N571" s="9"/>
    </x:row>
    <x:row r="572" ht="23" customHeight="1">
      <x:c r="A572" s="9"/>
      <x:c r="B572" s="10"/>
      <x:c r="C572" s="9"/>
      <x:c r="D572" s="9"/>
      <x:c r="E572" s="9"/>
      <x:c r="F572" s="11"/>
      <x:c r="G572" s="12" t="str">
        <x:f>IF(A572="","",SUMIFS('출고대장'!$D$7:$D$1006,'출고대장'!$A$7:$A$1006,A572))</x:f>
      </x:c>
      <x:c r="H572" s="12" t="str">
        <x:f>IF(A572="","",F572-G572)</x:f>
      </x:c>
      <x:c r="I572" s="12" t="str">
        <x:f>IF(A572="","",SUMIFS('출고대장'!$K$7:$K$1006,'출고대장'!$A$7:$A$1006,A572))</x:f>
      </x:c>
      <x:c r="J572" s="12" t="str">
        <x:f>IF(A572="","",SUMIFS('입금대장'!$C$7:$C$1006,'입금대장'!$A$7:$A$1006,A572,'입금대장'!$E$7:$E$1006,"정상"))</x:f>
      </x:c>
      <x:c r="K572" s="12" t="str">
        <x:f>IF(A572="","",I572-J572)</x:f>
      </x:c>
      <x:c r="L572" s="13" t="str">
        <x:f>IF(A572="","",IF(K572&lt;0,"선입금·초과입금",IF(I572=0,"청구 전",IF(K572=0,"정산 완료",IF(J572=0,"미입금","부분 입금")))))</x:f>
      </x:c>
      <x:c r="M572" s="9"/>
      <x:c r="N572" s="9"/>
    </x:row>
    <x:row r="573" ht="23" customHeight="1">
      <x:c r="A573" s="9"/>
      <x:c r="B573" s="10"/>
      <x:c r="C573" s="9"/>
      <x:c r="D573" s="9"/>
      <x:c r="E573" s="9"/>
      <x:c r="F573" s="11"/>
      <x:c r="G573" s="12" t="str">
        <x:f>IF(A573="","",SUMIFS('출고대장'!$D$7:$D$1006,'출고대장'!$A$7:$A$1006,A573))</x:f>
      </x:c>
      <x:c r="H573" s="12" t="str">
        <x:f>IF(A573="","",F573-G573)</x:f>
      </x:c>
      <x:c r="I573" s="12" t="str">
        <x:f>IF(A573="","",SUMIFS('출고대장'!$K$7:$K$1006,'출고대장'!$A$7:$A$1006,A573))</x:f>
      </x:c>
      <x:c r="J573" s="12" t="str">
        <x:f>IF(A573="","",SUMIFS('입금대장'!$C$7:$C$1006,'입금대장'!$A$7:$A$1006,A573,'입금대장'!$E$7:$E$1006,"정상"))</x:f>
      </x:c>
      <x:c r="K573" s="12" t="str">
        <x:f>IF(A573="","",I573-J573)</x:f>
      </x:c>
      <x:c r="L573" s="13" t="str">
        <x:f>IF(A573="","",IF(K573&lt;0,"선입금·초과입금",IF(I573=0,"청구 전",IF(K573=0,"정산 완료",IF(J573=0,"미입금","부분 입금")))))</x:f>
      </x:c>
      <x:c r="M573" s="9"/>
      <x:c r="N573" s="9"/>
    </x:row>
    <x:row r="574" ht="23" customHeight="1">
      <x:c r="A574" s="9"/>
      <x:c r="B574" s="10"/>
      <x:c r="C574" s="9"/>
      <x:c r="D574" s="9"/>
      <x:c r="E574" s="9"/>
      <x:c r="F574" s="11"/>
      <x:c r="G574" s="12" t="str">
        <x:f>IF(A574="","",SUMIFS('출고대장'!$D$7:$D$1006,'출고대장'!$A$7:$A$1006,A574))</x:f>
      </x:c>
      <x:c r="H574" s="12" t="str">
        <x:f>IF(A574="","",F574-G574)</x:f>
      </x:c>
      <x:c r="I574" s="12" t="str">
        <x:f>IF(A574="","",SUMIFS('출고대장'!$K$7:$K$1006,'출고대장'!$A$7:$A$1006,A574))</x:f>
      </x:c>
      <x:c r="J574" s="12" t="str">
        <x:f>IF(A574="","",SUMIFS('입금대장'!$C$7:$C$1006,'입금대장'!$A$7:$A$1006,A574,'입금대장'!$E$7:$E$1006,"정상"))</x:f>
      </x:c>
      <x:c r="K574" s="12" t="str">
        <x:f>IF(A574="","",I574-J574)</x:f>
      </x:c>
      <x:c r="L574" s="13" t="str">
        <x:f>IF(A574="","",IF(K574&lt;0,"선입금·초과입금",IF(I574=0,"청구 전",IF(K574=0,"정산 완료",IF(J574=0,"미입금","부분 입금")))))</x:f>
      </x:c>
      <x:c r="M574" s="9"/>
      <x:c r="N574" s="9"/>
    </x:row>
    <x:row r="575" ht="23" customHeight="1">
      <x:c r="A575" s="9"/>
      <x:c r="B575" s="10"/>
      <x:c r="C575" s="9"/>
      <x:c r="D575" s="9"/>
      <x:c r="E575" s="9"/>
      <x:c r="F575" s="11"/>
      <x:c r="G575" s="12" t="str">
        <x:f>IF(A575="","",SUMIFS('출고대장'!$D$7:$D$1006,'출고대장'!$A$7:$A$1006,A575))</x:f>
      </x:c>
      <x:c r="H575" s="12" t="str">
        <x:f>IF(A575="","",F575-G575)</x:f>
      </x:c>
      <x:c r="I575" s="12" t="str">
        <x:f>IF(A575="","",SUMIFS('출고대장'!$K$7:$K$1006,'출고대장'!$A$7:$A$1006,A575))</x:f>
      </x:c>
      <x:c r="J575" s="12" t="str">
        <x:f>IF(A575="","",SUMIFS('입금대장'!$C$7:$C$1006,'입금대장'!$A$7:$A$1006,A575,'입금대장'!$E$7:$E$1006,"정상"))</x:f>
      </x:c>
      <x:c r="K575" s="12" t="str">
        <x:f>IF(A575="","",I575-J575)</x:f>
      </x:c>
      <x:c r="L575" s="13" t="str">
        <x:f>IF(A575="","",IF(K575&lt;0,"선입금·초과입금",IF(I575=0,"청구 전",IF(K575=0,"정산 완료",IF(J575=0,"미입금","부분 입금")))))</x:f>
      </x:c>
      <x:c r="M575" s="9"/>
      <x:c r="N575" s="9"/>
    </x:row>
    <x:row r="576" ht="23" customHeight="1">
      <x:c r="A576" s="9"/>
      <x:c r="B576" s="10"/>
      <x:c r="C576" s="9"/>
      <x:c r="D576" s="9"/>
      <x:c r="E576" s="9"/>
      <x:c r="F576" s="11"/>
      <x:c r="G576" s="12" t="str">
        <x:f>IF(A576="","",SUMIFS('출고대장'!$D$7:$D$1006,'출고대장'!$A$7:$A$1006,A576))</x:f>
      </x:c>
      <x:c r="H576" s="12" t="str">
        <x:f>IF(A576="","",F576-G576)</x:f>
      </x:c>
      <x:c r="I576" s="12" t="str">
        <x:f>IF(A576="","",SUMIFS('출고대장'!$K$7:$K$1006,'출고대장'!$A$7:$A$1006,A576))</x:f>
      </x:c>
      <x:c r="J576" s="12" t="str">
        <x:f>IF(A576="","",SUMIFS('입금대장'!$C$7:$C$1006,'입금대장'!$A$7:$A$1006,A576,'입금대장'!$E$7:$E$1006,"정상"))</x:f>
      </x:c>
      <x:c r="K576" s="12" t="str">
        <x:f>IF(A576="","",I576-J576)</x:f>
      </x:c>
      <x:c r="L576" s="13" t="str">
        <x:f>IF(A576="","",IF(K576&lt;0,"선입금·초과입금",IF(I576=0,"청구 전",IF(K576=0,"정산 완료",IF(J576=0,"미입금","부분 입금")))))</x:f>
      </x:c>
      <x:c r="M576" s="9"/>
      <x:c r="N576" s="9"/>
    </x:row>
    <x:row r="577" ht="23" customHeight="1">
      <x:c r="A577" s="9"/>
      <x:c r="B577" s="10"/>
      <x:c r="C577" s="9"/>
      <x:c r="D577" s="9"/>
      <x:c r="E577" s="9"/>
      <x:c r="F577" s="11"/>
      <x:c r="G577" s="12" t="str">
        <x:f>IF(A577="","",SUMIFS('출고대장'!$D$7:$D$1006,'출고대장'!$A$7:$A$1006,A577))</x:f>
      </x:c>
      <x:c r="H577" s="12" t="str">
        <x:f>IF(A577="","",F577-G577)</x:f>
      </x:c>
      <x:c r="I577" s="12" t="str">
        <x:f>IF(A577="","",SUMIFS('출고대장'!$K$7:$K$1006,'출고대장'!$A$7:$A$1006,A577))</x:f>
      </x:c>
      <x:c r="J577" s="12" t="str">
        <x:f>IF(A577="","",SUMIFS('입금대장'!$C$7:$C$1006,'입금대장'!$A$7:$A$1006,A577,'입금대장'!$E$7:$E$1006,"정상"))</x:f>
      </x:c>
      <x:c r="K577" s="12" t="str">
        <x:f>IF(A577="","",I577-J577)</x:f>
      </x:c>
      <x:c r="L577" s="13" t="str">
        <x:f>IF(A577="","",IF(K577&lt;0,"선입금·초과입금",IF(I577=0,"청구 전",IF(K577=0,"정산 완료",IF(J577=0,"미입금","부분 입금")))))</x:f>
      </x:c>
      <x:c r="M577" s="9"/>
      <x:c r="N577" s="9"/>
    </x:row>
    <x:row r="578" ht="23" customHeight="1">
      <x:c r="A578" s="9"/>
      <x:c r="B578" s="10"/>
      <x:c r="C578" s="9"/>
      <x:c r="D578" s="9"/>
      <x:c r="E578" s="9"/>
      <x:c r="F578" s="11"/>
      <x:c r="G578" s="12" t="str">
        <x:f>IF(A578="","",SUMIFS('출고대장'!$D$7:$D$1006,'출고대장'!$A$7:$A$1006,A578))</x:f>
      </x:c>
      <x:c r="H578" s="12" t="str">
        <x:f>IF(A578="","",F578-G578)</x:f>
      </x:c>
      <x:c r="I578" s="12" t="str">
        <x:f>IF(A578="","",SUMIFS('출고대장'!$K$7:$K$1006,'출고대장'!$A$7:$A$1006,A578))</x:f>
      </x:c>
      <x:c r="J578" s="12" t="str">
        <x:f>IF(A578="","",SUMIFS('입금대장'!$C$7:$C$1006,'입금대장'!$A$7:$A$1006,A578,'입금대장'!$E$7:$E$1006,"정상"))</x:f>
      </x:c>
      <x:c r="K578" s="12" t="str">
        <x:f>IF(A578="","",I578-J578)</x:f>
      </x:c>
      <x:c r="L578" s="13" t="str">
        <x:f>IF(A578="","",IF(K578&lt;0,"선입금·초과입금",IF(I578=0,"청구 전",IF(K578=0,"정산 완료",IF(J578=0,"미입금","부분 입금")))))</x:f>
      </x:c>
      <x:c r="M578" s="9"/>
      <x:c r="N578" s="9"/>
    </x:row>
    <x:row r="579" ht="23" customHeight="1">
      <x:c r="A579" s="9"/>
      <x:c r="B579" s="10"/>
      <x:c r="C579" s="9"/>
      <x:c r="D579" s="9"/>
      <x:c r="E579" s="9"/>
      <x:c r="F579" s="11"/>
      <x:c r="G579" s="12" t="str">
        <x:f>IF(A579="","",SUMIFS('출고대장'!$D$7:$D$1006,'출고대장'!$A$7:$A$1006,A579))</x:f>
      </x:c>
      <x:c r="H579" s="12" t="str">
        <x:f>IF(A579="","",F579-G579)</x:f>
      </x:c>
      <x:c r="I579" s="12" t="str">
        <x:f>IF(A579="","",SUMIFS('출고대장'!$K$7:$K$1006,'출고대장'!$A$7:$A$1006,A579))</x:f>
      </x:c>
      <x:c r="J579" s="12" t="str">
        <x:f>IF(A579="","",SUMIFS('입금대장'!$C$7:$C$1006,'입금대장'!$A$7:$A$1006,A579,'입금대장'!$E$7:$E$1006,"정상"))</x:f>
      </x:c>
      <x:c r="K579" s="12" t="str">
        <x:f>IF(A579="","",I579-J579)</x:f>
      </x:c>
      <x:c r="L579" s="13" t="str">
        <x:f>IF(A579="","",IF(K579&lt;0,"선입금·초과입금",IF(I579=0,"청구 전",IF(K579=0,"정산 완료",IF(J579=0,"미입금","부분 입금")))))</x:f>
      </x:c>
      <x:c r="M579" s="9"/>
      <x:c r="N579" s="9"/>
    </x:row>
    <x:row r="580" ht="23" customHeight="1">
      <x:c r="A580" s="9"/>
      <x:c r="B580" s="10"/>
      <x:c r="C580" s="9"/>
      <x:c r="D580" s="9"/>
      <x:c r="E580" s="9"/>
      <x:c r="F580" s="11"/>
      <x:c r="G580" s="12" t="str">
        <x:f>IF(A580="","",SUMIFS('출고대장'!$D$7:$D$1006,'출고대장'!$A$7:$A$1006,A580))</x:f>
      </x:c>
      <x:c r="H580" s="12" t="str">
        <x:f>IF(A580="","",F580-G580)</x:f>
      </x:c>
      <x:c r="I580" s="12" t="str">
        <x:f>IF(A580="","",SUMIFS('출고대장'!$K$7:$K$1006,'출고대장'!$A$7:$A$1006,A580))</x:f>
      </x:c>
      <x:c r="J580" s="12" t="str">
        <x:f>IF(A580="","",SUMIFS('입금대장'!$C$7:$C$1006,'입금대장'!$A$7:$A$1006,A580,'입금대장'!$E$7:$E$1006,"정상"))</x:f>
      </x:c>
      <x:c r="K580" s="12" t="str">
        <x:f>IF(A580="","",I580-J580)</x:f>
      </x:c>
      <x:c r="L580" s="13" t="str">
        <x:f>IF(A580="","",IF(K580&lt;0,"선입금·초과입금",IF(I580=0,"청구 전",IF(K580=0,"정산 완료",IF(J580=0,"미입금","부분 입금")))))</x:f>
      </x:c>
      <x:c r="M580" s="9"/>
      <x:c r="N580" s="9"/>
    </x:row>
    <x:row r="581" ht="23" customHeight="1">
      <x:c r="A581" s="9"/>
      <x:c r="B581" s="10"/>
      <x:c r="C581" s="9"/>
      <x:c r="D581" s="9"/>
      <x:c r="E581" s="9"/>
      <x:c r="F581" s="11"/>
      <x:c r="G581" s="12" t="str">
        <x:f>IF(A581="","",SUMIFS('출고대장'!$D$7:$D$1006,'출고대장'!$A$7:$A$1006,A581))</x:f>
      </x:c>
      <x:c r="H581" s="12" t="str">
        <x:f>IF(A581="","",F581-G581)</x:f>
      </x:c>
      <x:c r="I581" s="12" t="str">
        <x:f>IF(A581="","",SUMIFS('출고대장'!$K$7:$K$1006,'출고대장'!$A$7:$A$1006,A581))</x:f>
      </x:c>
      <x:c r="J581" s="12" t="str">
        <x:f>IF(A581="","",SUMIFS('입금대장'!$C$7:$C$1006,'입금대장'!$A$7:$A$1006,A581,'입금대장'!$E$7:$E$1006,"정상"))</x:f>
      </x:c>
      <x:c r="K581" s="12" t="str">
        <x:f>IF(A581="","",I581-J581)</x:f>
      </x:c>
      <x:c r="L581" s="13" t="str">
        <x:f>IF(A581="","",IF(K581&lt;0,"선입금·초과입금",IF(I581=0,"청구 전",IF(K581=0,"정산 완료",IF(J581=0,"미입금","부분 입금")))))</x:f>
      </x:c>
      <x:c r="M581" s="9"/>
      <x:c r="N581" s="9"/>
    </x:row>
    <x:row r="582" ht="23" customHeight="1">
      <x:c r="A582" s="9"/>
      <x:c r="B582" s="10"/>
      <x:c r="C582" s="9"/>
      <x:c r="D582" s="9"/>
      <x:c r="E582" s="9"/>
      <x:c r="F582" s="11"/>
      <x:c r="G582" s="12" t="str">
        <x:f>IF(A582="","",SUMIFS('출고대장'!$D$7:$D$1006,'출고대장'!$A$7:$A$1006,A582))</x:f>
      </x:c>
      <x:c r="H582" s="12" t="str">
        <x:f>IF(A582="","",F582-G582)</x:f>
      </x:c>
      <x:c r="I582" s="12" t="str">
        <x:f>IF(A582="","",SUMIFS('출고대장'!$K$7:$K$1006,'출고대장'!$A$7:$A$1006,A582))</x:f>
      </x:c>
      <x:c r="J582" s="12" t="str">
        <x:f>IF(A582="","",SUMIFS('입금대장'!$C$7:$C$1006,'입금대장'!$A$7:$A$1006,A582,'입금대장'!$E$7:$E$1006,"정상"))</x:f>
      </x:c>
      <x:c r="K582" s="12" t="str">
        <x:f>IF(A582="","",I582-J582)</x:f>
      </x:c>
      <x:c r="L582" s="13" t="str">
        <x:f>IF(A582="","",IF(K582&lt;0,"선입금·초과입금",IF(I582=0,"청구 전",IF(K582=0,"정산 완료",IF(J582=0,"미입금","부분 입금")))))</x:f>
      </x:c>
      <x:c r="M582" s="9"/>
      <x:c r="N582" s="9"/>
    </x:row>
    <x:row r="583" ht="23" customHeight="1">
      <x:c r="A583" s="9"/>
      <x:c r="B583" s="10"/>
      <x:c r="C583" s="9"/>
      <x:c r="D583" s="9"/>
      <x:c r="E583" s="9"/>
      <x:c r="F583" s="11"/>
      <x:c r="G583" s="12" t="str">
        <x:f>IF(A583="","",SUMIFS('출고대장'!$D$7:$D$1006,'출고대장'!$A$7:$A$1006,A583))</x:f>
      </x:c>
      <x:c r="H583" s="12" t="str">
        <x:f>IF(A583="","",F583-G583)</x:f>
      </x:c>
      <x:c r="I583" s="12" t="str">
        <x:f>IF(A583="","",SUMIFS('출고대장'!$K$7:$K$1006,'출고대장'!$A$7:$A$1006,A583))</x:f>
      </x:c>
      <x:c r="J583" s="12" t="str">
        <x:f>IF(A583="","",SUMIFS('입금대장'!$C$7:$C$1006,'입금대장'!$A$7:$A$1006,A583,'입금대장'!$E$7:$E$1006,"정상"))</x:f>
      </x:c>
      <x:c r="K583" s="12" t="str">
        <x:f>IF(A583="","",I583-J583)</x:f>
      </x:c>
      <x:c r="L583" s="13" t="str">
        <x:f>IF(A583="","",IF(K583&lt;0,"선입금·초과입금",IF(I583=0,"청구 전",IF(K583=0,"정산 완료",IF(J583=0,"미입금","부분 입금")))))</x:f>
      </x:c>
      <x:c r="M583" s="9"/>
      <x:c r="N583" s="9"/>
    </x:row>
    <x:row r="584" ht="23" customHeight="1">
      <x:c r="A584" s="9"/>
      <x:c r="B584" s="10"/>
      <x:c r="C584" s="9"/>
      <x:c r="D584" s="9"/>
      <x:c r="E584" s="9"/>
      <x:c r="F584" s="11"/>
      <x:c r="G584" s="12" t="str">
        <x:f>IF(A584="","",SUMIFS('출고대장'!$D$7:$D$1006,'출고대장'!$A$7:$A$1006,A584))</x:f>
      </x:c>
      <x:c r="H584" s="12" t="str">
        <x:f>IF(A584="","",F584-G584)</x:f>
      </x:c>
      <x:c r="I584" s="12" t="str">
        <x:f>IF(A584="","",SUMIFS('출고대장'!$K$7:$K$1006,'출고대장'!$A$7:$A$1006,A584))</x:f>
      </x:c>
      <x:c r="J584" s="12" t="str">
        <x:f>IF(A584="","",SUMIFS('입금대장'!$C$7:$C$1006,'입금대장'!$A$7:$A$1006,A584,'입금대장'!$E$7:$E$1006,"정상"))</x:f>
      </x:c>
      <x:c r="K584" s="12" t="str">
        <x:f>IF(A584="","",I584-J584)</x:f>
      </x:c>
      <x:c r="L584" s="13" t="str">
        <x:f>IF(A584="","",IF(K584&lt;0,"선입금·초과입금",IF(I584=0,"청구 전",IF(K584=0,"정산 완료",IF(J584=0,"미입금","부분 입금")))))</x:f>
      </x:c>
      <x:c r="M584" s="9"/>
      <x:c r="N584" s="9"/>
    </x:row>
    <x:row r="585" ht="23" customHeight="1">
      <x:c r="A585" s="9"/>
      <x:c r="B585" s="10"/>
      <x:c r="C585" s="9"/>
      <x:c r="D585" s="9"/>
      <x:c r="E585" s="9"/>
      <x:c r="F585" s="11"/>
      <x:c r="G585" s="12" t="str">
        <x:f>IF(A585="","",SUMIFS('출고대장'!$D$7:$D$1006,'출고대장'!$A$7:$A$1006,A585))</x:f>
      </x:c>
      <x:c r="H585" s="12" t="str">
        <x:f>IF(A585="","",F585-G585)</x:f>
      </x:c>
      <x:c r="I585" s="12" t="str">
        <x:f>IF(A585="","",SUMIFS('출고대장'!$K$7:$K$1006,'출고대장'!$A$7:$A$1006,A585))</x:f>
      </x:c>
      <x:c r="J585" s="12" t="str">
        <x:f>IF(A585="","",SUMIFS('입금대장'!$C$7:$C$1006,'입금대장'!$A$7:$A$1006,A585,'입금대장'!$E$7:$E$1006,"정상"))</x:f>
      </x:c>
      <x:c r="K585" s="12" t="str">
        <x:f>IF(A585="","",I585-J585)</x:f>
      </x:c>
      <x:c r="L585" s="13" t="str">
        <x:f>IF(A585="","",IF(K585&lt;0,"선입금·초과입금",IF(I585=0,"청구 전",IF(K585=0,"정산 완료",IF(J585=0,"미입금","부분 입금")))))</x:f>
      </x:c>
      <x:c r="M585" s="9"/>
      <x:c r="N585" s="9"/>
    </x:row>
    <x:row r="586" ht="23" customHeight="1">
      <x:c r="A586" s="9"/>
      <x:c r="B586" s="10"/>
      <x:c r="C586" s="9"/>
      <x:c r="D586" s="9"/>
      <x:c r="E586" s="9"/>
      <x:c r="F586" s="11"/>
      <x:c r="G586" s="12" t="str">
        <x:f>IF(A586="","",SUMIFS('출고대장'!$D$7:$D$1006,'출고대장'!$A$7:$A$1006,A586))</x:f>
      </x:c>
      <x:c r="H586" s="12" t="str">
        <x:f>IF(A586="","",F586-G586)</x:f>
      </x:c>
      <x:c r="I586" s="12" t="str">
        <x:f>IF(A586="","",SUMIFS('출고대장'!$K$7:$K$1006,'출고대장'!$A$7:$A$1006,A586))</x:f>
      </x:c>
      <x:c r="J586" s="12" t="str">
        <x:f>IF(A586="","",SUMIFS('입금대장'!$C$7:$C$1006,'입금대장'!$A$7:$A$1006,A586,'입금대장'!$E$7:$E$1006,"정상"))</x:f>
      </x:c>
      <x:c r="K586" s="12" t="str">
        <x:f>IF(A586="","",I586-J586)</x:f>
      </x:c>
      <x:c r="L586" s="13" t="str">
        <x:f>IF(A586="","",IF(K586&lt;0,"선입금·초과입금",IF(I586=0,"청구 전",IF(K586=0,"정산 완료",IF(J586=0,"미입금","부분 입금")))))</x:f>
      </x:c>
      <x:c r="M586" s="9"/>
      <x:c r="N586" s="9"/>
    </x:row>
    <x:row r="587" ht="23" customHeight="1">
      <x:c r="A587" s="9"/>
      <x:c r="B587" s="10"/>
      <x:c r="C587" s="9"/>
      <x:c r="D587" s="9"/>
      <x:c r="E587" s="9"/>
      <x:c r="F587" s="11"/>
      <x:c r="G587" s="12" t="str">
        <x:f>IF(A587="","",SUMIFS('출고대장'!$D$7:$D$1006,'출고대장'!$A$7:$A$1006,A587))</x:f>
      </x:c>
      <x:c r="H587" s="12" t="str">
        <x:f>IF(A587="","",F587-G587)</x:f>
      </x:c>
      <x:c r="I587" s="12" t="str">
        <x:f>IF(A587="","",SUMIFS('출고대장'!$K$7:$K$1006,'출고대장'!$A$7:$A$1006,A587))</x:f>
      </x:c>
      <x:c r="J587" s="12" t="str">
        <x:f>IF(A587="","",SUMIFS('입금대장'!$C$7:$C$1006,'입금대장'!$A$7:$A$1006,A587,'입금대장'!$E$7:$E$1006,"정상"))</x:f>
      </x:c>
      <x:c r="K587" s="12" t="str">
        <x:f>IF(A587="","",I587-J587)</x:f>
      </x:c>
      <x:c r="L587" s="13" t="str">
        <x:f>IF(A587="","",IF(K587&lt;0,"선입금·초과입금",IF(I587=0,"청구 전",IF(K587=0,"정산 완료",IF(J587=0,"미입금","부분 입금")))))</x:f>
      </x:c>
      <x:c r="M587" s="9"/>
      <x:c r="N587" s="9"/>
    </x:row>
    <x:row r="588" ht="23" customHeight="1">
      <x:c r="A588" s="9"/>
      <x:c r="B588" s="10"/>
      <x:c r="C588" s="9"/>
      <x:c r="D588" s="9"/>
      <x:c r="E588" s="9"/>
      <x:c r="F588" s="11"/>
      <x:c r="G588" s="12" t="str">
        <x:f>IF(A588="","",SUMIFS('출고대장'!$D$7:$D$1006,'출고대장'!$A$7:$A$1006,A588))</x:f>
      </x:c>
      <x:c r="H588" s="12" t="str">
        <x:f>IF(A588="","",F588-G588)</x:f>
      </x:c>
      <x:c r="I588" s="12" t="str">
        <x:f>IF(A588="","",SUMIFS('출고대장'!$K$7:$K$1006,'출고대장'!$A$7:$A$1006,A588))</x:f>
      </x:c>
      <x:c r="J588" s="12" t="str">
        <x:f>IF(A588="","",SUMIFS('입금대장'!$C$7:$C$1006,'입금대장'!$A$7:$A$1006,A588,'입금대장'!$E$7:$E$1006,"정상"))</x:f>
      </x:c>
      <x:c r="K588" s="12" t="str">
        <x:f>IF(A588="","",I588-J588)</x:f>
      </x:c>
      <x:c r="L588" s="13" t="str">
        <x:f>IF(A588="","",IF(K588&lt;0,"선입금·초과입금",IF(I588=0,"청구 전",IF(K588=0,"정산 완료",IF(J588=0,"미입금","부분 입금")))))</x:f>
      </x:c>
      <x:c r="M588" s="9"/>
      <x:c r="N588" s="9"/>
    </x:row>
    <x:row r="589" ht="23" customHeight="1">
      <x:c r="A589" s="9"/>
      <x:c r="B589" s="10"/>
      <x:c r="C589" s="9"/>
      <x:c r="D589" s="9"/>
      <x:c r="E589" s="9"/>
      <x:c r="F589" s="11"/>
      <x:c r="G589" s="12" t="str">
        <x:f>IF(A589="","",SUMIFS('출고대장'!$D$7:$D$1006,'출고대장'!$A$7:$A$1006,A589))</x:f>
      </x:c>
      <x:c r="H589" s="12" t="str">
        <x:f>IF(A589="","",F589-G589)</x:f>
      </x:c>
      <x:c r="I589" s="12" t="str">
        <x:f>IF(A589="","",SUMIFS('출고대장'!$K$7:$K$1006,'출고대장'!$A$7:$A$1006,A589))</x:f>
      </x:c>
      <x:c r="J589" s="12" t="str">
        <x:f>IF(A589="","",SUMIFS('입금대장'!$C$7:$C$1006,'입금대장'!$A$7:$A$1006,A589,'입금대장'!$E$7:$E$1006,"정상"))</x:f>
      </x:c>
      <x:c r="K589" s="12" t="str">
        <x:f>IF(A589="","",I589-J589)</x:f>
      </x:c>
      <x:c r="L589" s="13" t="str">
        <x:f>IF(A589="","",IF(K589&lt;0,"선입금·초과입금",IF(I589=0,"청구 전",IF(K589=0,"정산 완료",IF(J589=0,"미입금","부분 입금")))))</x:f>
      </x:c>
      <x:c r="M589" s="9"/>
      <x:c r="N589" s="9"/>
    </x:row>
    <x:row r="590" ht="23" customHeight="1">
      <x:c r="A590" s="9"/>
      <x:c r="B590" s="10"/>
      <x:c r="C590" s="9"/>
      <x:c r="D590" s="9"/>
      <x:c r="E590" s="9"/>
      <x:c r="F590" s="11"/>
      <x:c r="G590" s="12" t="str">
        <x:f>IF(A590="","",SUMIFS('출고대장'!$D$7:$D$1006,'출고대장'!$A$7:$A$1006,A590))</x:f>
      </x:c>
      <x:c r="H590" s="12" t="str">
        <x:f>IF(A590="","",F590-G590)</x:f>
      </x:c>
      <x:c r="I590" s="12" t="str">
        <x:f>IF(A590="","",SUMIFS('출고대장'!$K$7:$K$1006,'출고대장'!$A$7:$A$1006,A590))</x:f>
      </x:c>
      <x:c r="J590" s="12" t="str">
        <x:f>IF(A590="","",SUMIFS('입금대장'!$C$7:$C$1006,'입금대장'!$A$7:$A$1006,A590,'입금대장'!$E$7:$E$1006,"정상"))</x:f>
      </x:c>
      <x:c r="K590" s="12" t="str">
        <x:f>IF(A590="","",I590-J590)</x:f>
      </x:c>
      <x:c r="L590" s="13" t="str">
        <x:f>IF(A590="","",IF(K590&lt;0,"선입금·초과입금",IF(I590=0,"청구 전",IF(K590=0,"정산 완료",IF(J590=0,"미입금","부분 입금")))))</x:f>
      </x:c>
      <x:c r="M590" s="9"/>
      <x:c r="N590" s="9"/>
    </x:row>
    <x:row r="591" ht="23" customHeight="1">
      <x:c r="A591" s="9"/>
      <x:c r="B591" s="10"/>
      <x:c r="C591" s="9"/>
      <x:c r="D591" s="9"/>
      <x:c r="E591" s="9"/>
      <x:c r="F591" s="11"/>
      <x:c r="G591" s="12" t="str">
        <x:f>IF(A591="","",SUMIFS('출고대장'!$D$7:$D$1006,'출고대장'!$A$7:$A$1006,A591))</x:f>
      </x:c>
      <x:c r="H591" s="12" t="str">
        <x:f>IF(A591="","",F591-G591)</x:f>
      </x:c>
      <x:c r="I591" s="12" t="str">
        <x:f>IF(A591="","",SUMIFS('출고대장'!$K$7:$K$1006,'출고대장'!$A$7:$A$1006,A591))</x:f>
      </x:c>
      <x:c r="J591" s="12" t="str">
        <x:f>IF(A591="","",SUMIFS('입금대장'!$C$7:$C$1006,'입금대장'!$A$7:$A$1006,A591,'입금대장'!$E$7:$E$1006,"정상"))</x:f>
      </x:c>
      <x:c r="K591" s="12" t="str">
        <x:f>IF(A591="","",I591-J591)</x:f>
      </x:c>
      <x:c r="L591" s="13" t="str">
        <x:f>IF(A591="","",IF(K591&lt;0,"선입금·초과입금",IF(I591=0,"청구 전",IF(K591=0,"정산 완료",IF(J591=0,"미입금","부분 입금")))))</x:f>
      </x:c>
      <x:c r="M591" s="9"/>
      <x:c r="N591" s="9"/>
    </x:row>
    <x:row r="592" ht="23" customHeight="1">
      <x:c r="A592" s="9"/>
      <x:c r="B592" s="10"/>
      <x:c r="C592" s="9"/>
      <x:c r="D592" s="9"/>
      <x:c r="E592" s="9"/>
      <x:c r="F592" s="11"/>
      <x:c r="G592" s="12" t="str">
        <x:f>IF(A592="","",SUMIFS('출고대장'!$D$7:$D$1006,'출고대장'!$A$7:$A$1006,A592))</x:f>
      </x:c>
      <x:c r="H592" s="12" t="str">
        <x:f>IF(A592="","",F592-G592)</x:f>
      </x:c>
      <x:c r="I592" s="12" t="str">
        <x:f>IF(A592="","",SUMIFS('출고대장'!$K$7:$K$1006,'출고대장'!$A$7:$A$1006,A592))</x:f>
      </x:c>
      <x:c r="J592" s="12" t="str">
        <x:f>IF(A592="","",SUMIFS('입금대장'!$C$7:$C$1006,'입금대장'!$A$7:$A$1006,A592,'입금대장'!$E$7:$E$1006,"정상"))</x:f>
      </x:c>
      <x:c r="K592" s="12" t="str">
        <x:f>IF(A592="","",I592-J592)</x:f>
      </x:c>
      <x:c r="L592" s="13" t="str">
        <x:f>IF(A592="","",IF(K592&lt;0,"선입금·초과입금",IF(I592=0,"청구 전",IF(K592=0,"정산 완료",IF(J592=0,"미입금","부분 입금")))))</x:f>
      </x:c>
      <x:c r="M592" s="9"/>
      <x:c r="N592" s="9"/>
    </x:row>
    <x:row r="593" ht="23" customHeight="1">
      <x:c r="A593" s="9"/>
      <x:c r="B593" s="10"/>
      <x:c r="C593" s="9"/>
      <x:c r="D593" s="9"/>
      <x:c r="E593" s="9"/>
      <x:c r="F593" s="11"/>
      <x:c r="G593" s="12" t="str">
        <x:f>IF(A593="","",SUMIFS('출고대장'!$D$7:$D$1006,'출고대장'!$A$7:$A$1006,A593))</x:f>
      </x:c>
      <x:c r="H593" s="12" t="str">
        <x:f>IF(A593="","",F593-G593)</x:f>
      </x:c>
      <x:c r="I593" s="12" t="str">
        <x:f>IF(A593="","",SUMIFS('출고대장'!$K$7:$K$1006,'출고대장'!$A$7:$A$1006,A593))</x:f>
      </x:c>
      <x:c r="J593" s="12" t="str">
        <x:f>IF(A593="","",SUMIFS('입금대장'!$C$7:$C$1006,'입금대장'!$A$7:$A$1006,A593,'입금대장'!$E$7:$E$1006,"정상"))</x:f>
      </x:c>
      <x:c r="K593" s="12" t="str">
        <x:f>IF(A593="","",I593-J593)</x:f>
      </x:c>
      <x:c r="L593" s="13" t="str">
        <x:f>IF(A593="","",IF(K593&lt;0,"선입금·초과입금",IF(I593=0,"청구 전",IF(K593=0,"정산 완료",IF(J593=0,"미입금","부분 입금")))))</x:f>
      </x:c>
      <x:c r="M593" s="9"/>
      <x:c r="N593" s="9"/>
    </x:row>
    <x:row r="594" ht="23" customHeight="1">
      <x:c r="A594" s="9"/>
      <x:c r="B594" s="10"/>
      <x:c r="C594" s="9"/>
      <x:c r="D594" s="9"/>
      <x:c r="E594" s="9"/>
      <x:c r="F594" s="11"/>
      <x:c r="G594" s="12" t="str">
        <x:f>IF(A594="","",SUMIFS('출고대장'!$D$7:$D$1006,'출고대장'!$A$7:$A$1006,A594))</x:f>
      </x:c>
      <x:c r="H594" s="12" t="str">
        <x:f>IF(A594="","",F594-G594)</x:f>
      </x:c>
      <x:c r="I594" s="12" t="str">
        <x:f>IF(A594="","",SUMIFS('출고대장'!$K$7:$K$1006,'출고대장'!$A$7:$A$1006,A594))</x:f>
      </x:c>
      <x:c r="J594" s="12" t="str">
        <x:f>IF(A594="","",SUMIFS('입금대장'!$C$7:$C$1006,'입금대장'!$A$7:$A$1006,A594,'입금대장'!$E$7:$E$1006,"정상"))</x:f>
      </x:c>
      <x:c r="K594" s="12" t="str">
        <x:f>IF(A594="","",I594-J594)</x:f>
      </x:c>
      <x:c r="L594" s="13" t="str">
        <x:f>IF(A594="","",IF(K594&lt;0,"선입금·초과입금",IF(I594=0,"청구 전",IF(K594=0,"정산 완료",IF(J594=0,"미입금","부분 입금")))))</x:f>
      </x:c>
      <x:c r="M594" s="9"/>
      <x:c r="N594" s="9"/>
    </x:row>
    <x:row r="595" ht="23" customHeight="1">
      <x:c r="A595" s="9"/>
      <x:c r="B595" s="10"/>
      <x:c r="C595" s="9"/>
      <x:c r="D595" s="9"/>
      <x:c r="E595" s="9"/>
      <x:c r="F595" s="11"/>
      <x:c r="G595" s="12" t="str">
        <x:f>IF(A595="","",SUMIFS('출고대장'!$D$7:$D$1006,'출고대장'!$A$7:$A$1006,A595))</x:f>
      </x:c>
      <x:c r="H595" s="12" t="str">
        <x:f>IF(A595="","",F595-G595)</x:f>
      </x:c>
      <x:c r="I595" s="12" t="str">
        <x:f>IF(A595="","",SUMIFS('출고대장'!$K$7:$K$1006,'출고대장'!$A$7:$A$1006,A595))</x:f>
      </x:c>
      <x:c r="J595" s="12" t="str">
        <x:f>IF(A595="","",SUMIFS('입금대장'!$C$7:$C$1006,'입금대장'!$A$7:$A$1006,A595,'입금대장'!$E$7:$E$1006,"정상"))</x:f>
      </x:c>
      <x:c r="K595" s="12" t="str">
        <x:f>IF(A595="","",I595-J595)</x:f>
      </x:c>
      <x:c r="L595" s="13" t="str">
        <x:f>IF(A595="","",IF(K595&lt;0,"선입금·초과입금",IF(I595=0,"청구 전",IF(K595=0,"정산 완료",IF(J595=0,"미입금","부분 입금")))))</x:f>
      </x:c>
      <x:c r="M595" s="9"/>
      <x:c r="N595" s="9"/>
    </x:row>
    <x:row r="596" ht="23" customHeight="1">
      <x:c r="A596" s="9"/>
      <x:c r="B596" s="10"/>
      <x:c r="C596" s="9"/>
      <x:c r="D596" s="9"/>
      <x:c r="E596" s="9"/>
      <x:c r="F596" s="11"/>
      <x:c r="G596" s="12" t="str">
        <x:f>IF(A596="","",SUMIFS('출고대장'!$D$7:$D$1006,'출고대장'!$A$7:$A$1006,A596))</x:f>
      </x:c>
      <x:c r="H596" s="12" t="str">
        <x:f>IF(A596="","",F596-G596)</x:f>
      </x:c>
      <x:c r="I596" s="12" t="str">
        <x:f>IF(A596="","",SUMIFS('출고대장'!$K$7:$K$1006,'출고대장'!$A$7:$A$1006,A596))</x:f>
      </x:c>
      <x:c r="J596" s="12" t="str">
        <x:f>IF(A596="","",SUMIFS('입금대장'!$C$7:$C$1006,'입금대장'!$A$7:$A$1006,A596,'입금대장'!$E$7:$E$1006,"정상"))</x:f>
      </x:c>
      <x:c r="K596" s="12" t="str">
        <x:f>IF(A596="","",I596-J596)</x:f>
      </x:c>
      <x:c r="L596" s="13" t="str">
        <x:f>IF(A596="","",IF(K596&lt;0,"선입금·초과입금",IF(I596=0,"청구 전",IF(K596=0,"정산 완료",IF(J596=0,"미입금","부분 입금")))))</x:f>
      </x:c>
      <x:c r="M596" s="9"/>
      <x:c r="N596" s="9"/>
    </x:row>
    <x:row r="597" ht="23" customHeight="1">
      <x:c r="A597" s="9"/>
      <x:c r="B597" s="10"/>
      <x:c r="C597" s="9"/>
      <x:c r="D597" s="9"/>
      <x:c r="E597" s="9"/>
      <x:c r="F597" s="11"/>
      <x:c r="G597" s="12" t="str">
        <x:f>IF(A597="","",SUMIFS('출고대장'!$D$7:$D$1006,'출고대장'!$A$7:$A$1006,A597))</x:f>
      </x:c>
      <x:c r="H597" s="12" t="str">
        <x:f>IF(A597="","",F597-G597)</x:f>
      </x:c>
      <x:c r="I597" s="12" t="str">
        <x:f>IF(A597="","",SUMIFS('출고대장'!$K$7:$K$1006,'출고대장'!$A$7:$A$1006,A597))</x:f>
      </x:c>
      <x:c r="J597" s="12" t="str">
        <x:f>IF(A597="","",SUMIFS('입금대장'!$C$7:$C$1006,'입금대장'!$A$7:$A$1006,A597,'입금대장'!$E$7:$E$1006,"정상"))</x:f>
      </x:c>
      <x:c r="K597" s="12" t="str">
        <x:f>IF(A597="","",I597-J597)</x:f>
      </x:c>
      <x:c r="L597" s="13" t="str">
        <x:f>IF(A597="","",IF(K597&lt;0,"선입금·초과입금",IF(I597=0,"청구 전",IF(K597=0,"정산 완료",IF(J597=0,"미입금","부분 입금")))))</x:f>
      </x:c>
      <x:c r="M597" s="9"/>
      <x:c r="N597" s="9"/>
    </x:row>
    <x:row r="598" ht="23" customHeight="1">
      <x:c r="A598" s="9"/>
      <x:c r="B598" s="10"/>
      <x:c r="C598" s="9"/>
      <x:c r="D598" s="9"/>
      <x:c r="E598" s="9"/>
      <x:c r="F598" s="11"/>
      <x:c r="G598" s="12" t="str">
        <x:f>IF(A598="","",SUMIFS('출고대장'!$D$7:$D$1006,'출고대장'!$A$7:$A$1006,A598))</x:f>
      </x:c>
      <x:c r="H598" s="12" t="str">
        <x:f>IF(A598="","",F598-G598)</x:f>
      </x:c>
      <x:c r="I598" s="12" t="str">
        <x:f>IF(A598="","",SUMIFS('출고대장'!$K$7:$K$1006,'출고대장'!$A$7:$A$1006,A598))</x:f>
      </x:c>
      <x:c r="J598" s="12" t="str">
        <x:f>IF(A598="","",SUMIFS('입금대장'!$C$7:$C$1006,'입금대장'!$A$7:$A$1006,A598,'입금대장'!$E$7:$E$1006,"정상"))</x:f>
      </x:c>
      <x:c r="K598" s="12" t="str">
        <x:f>IF(A598="","",I598-J598)</x:f>
      </x:c>
      <x:c r="L598" s="13" t="str">
        <x:f>IF(A598="","",IF(K598&lt;0,"선입금·초과입금",IF(I598=0,"청구 전",IF(K598=0,"정산 완료",IF(J598=0,"미입금","부분 입금")))))</x:f>
      </x:c>
      <x:c r="M598" s="9"/>
      <x:c r="N598" s="9"/>
    </x:row>
    <x:row r="599" ht="23" customHeight="1">
      <x:c r="A599" s="9"/>
      <x:c r="B599" s="10"/>
      <x:c r="C599" s="9"/>
      <x:c r="D599" s="9"/>
      <x:c r="E599" s="9"/>
      <x:c r="F599" s="11"/>
      <x:c r="G599" s="12" t="str">
        <x:f>IF(A599="","",SUMIFS('출고대장'!$D$7:$D$1006,'출고대장'!$A$7:$A$1006,A599))</x:f>
      </x:c>
      <x:c r="H599" s="12" t="str">
        <x:f>IF(A599="","",F599-G599)</x:f>
      </x:c>
      <x:c r="I599" s="12" t="str">
        <x:f>IF(A599="","",SUMIFS('출고대장'!$K$7:$K$1006,'출고대장'!$A$7:$A$1006,A599))</x:f>
      </x:c>
      <x:c r="J599" s="12" t="str">
        <x:f>IF(A599="","",SUMIFS('입금대장'!$C$7:$C$1006,'입금대장'!$A$7:$A$1006,A599,'입금대장'!$E$7:$E$1006,"정상"))</x:f>
      </x:c>
      <x:c r="K599" s="12" t="str">
        <x:f>IF(A599="","",I599-J599)</x:f>
      </x:c>
      <x:c r="L599" s="13" t="str">
        <x:f>IF(A599="","",IF(K599&lt;0,"선입금·초과입금",IF(I599=0,"청구 전",IF(K599=0,"정산 완료",IF(J599=0,"미입금","부분 입금")))))</x:f>
      </x:c>
      <x:c r="M599" s="9"/>
      <x:c r="N599" s="9"/>
    </x:row>
    <x:row r="600" ht="23" customHeight="1">
      <x:c r="A600" s="9"/>
      <x:c r="B600" s="10"/>
      <x:c r="C600" s="9"/>
      <x:c r="D600" s="9"/>
      <x:c r="E600" s="9"/>
      <x:c r="F600" s="11"/>
      <x:c r="G600" s="12" t="str">
        <x:f>IF(A600="","",SUMIFS('출고대장'!$D$7:$D$1006,'출고대장'!$A$7:$A$1006,A600))</x:f>
      </x:c>
      <x:c r="H600" s="12" t="str">
        <x:f>IF(A600="","",F600-G600)</x:f>
      </x:c>
      <x:c r="I600" s="12" t="str">
        <x:f>IF(A600="","",SUMIFS('출고대장'!$K$7:$K$1006,'출고대장'!$A$7:$A$1006,A600))</x:f>
      </x:c>
      <x:c r="J600" s="12" t="str">
        <x:f>IF(A600="","",SUMIFS('입금대장'!$C$7:$C$1006,'입금대장'!$A$7:$A$1006,A600,'입금대장'!$E$7:$E$1006,"정상"))</x:f>
      </x:c>
      <x:c r="K600" s="12" t="str">
        <x:f>IF(A600="","",I600-J600)</x:f>
      </x:c>
      <x:c r="L600" s="13" t="str">
        <x:f>IF(A600="","",IF(K600&lt;0,"선입금·초과입금",IF(I600=0,"청구 전",IF(K600=0,"정산 완료",IF(J600=0,"미입금","부분 입금")))))</x:f>
      </x:c>
      <x:c r="M600" s="9"/>
      <x:c r="N600" s="9"/>
    </x:row>
    <x:row r="601" ht="23" customHeight="1">
      <x:c r="A601" s="9"/>
      <x:c r="B601" s="10"/>
      <x:c r="C601" s="9"/>
      <x:c r="D601" s="9"/>
      <x:c r="E601" s="9"/>
      <x:c r="F601" s="11"/>
      <x:c r="G601" s="12" t="str">
        <x:f>IF(A601="","",SUMIFS('출고대장'!$D$7:$D$1006,'출고대장'!$A$7:$A$1006,A601))</x:f>
      </x:c>
      <x:c r="H601" s="12" t="str">
        <x:f>IF(A601="","",F601-G601)</x:f>
      </x:c>
      <x:c r="I601" s="12" t="str">
        <x:f>IF(A601="","",SUMIFS('출고대장'!$K$7:$K$1006,'출고대장'!$A$7:$A$1006,A601))</x:f>
      </x:c>
      <x:c r="J601" s="12" t="str">
        <x:f>IF(A601="","",SUMIFS('입금대장'!$C$7:$C$1006,'입금대장'!$A$7:$A$1006,A601,'입금대장'!$E$7:$E$1006,"정상"))</x:f>
      </x:c>
      <x:c r="K601" s="12" t="str">
        <x:f>IF(A601="","",I601-J601)</x:f>
      </x:c>
      <x:c r="L601" s="13" t="str">
        <x:f>IF(A601="","",IF(K601&lt;0,"선입금·초과입금",IF(I601=0,"청구 전",IF(K601=0,"정산 완료",IF(J601=0,"미입금","부분 입금")))))</x:f>
      </x:c>
      <x:c r="M601" s="9"/>
      <x:c r="N601" s="9"/>
    </x:row>
    <x:row r="602" ht="23" customHeight="1">
      <x:c r="A602" s="9"/>
      <x:c r="B602" s="10"/>
      <x:c r="C602" s="9"/>
      <x:c r="D602" s="9"/>
      <x:c r="E602" s="9"/>
      <x:c r="F602" s="11"/>
      <x:c r="G602" s="12" t="str">
        <x:f>IF(A602="","",SUMIFS('출고대장'!$D$7:$D$1006,'출고대장'!$A$7:$A$1006,A602))</x:f>
      </x:c>
      <x:c r="H602" s="12" t="str">
        <x:f>IF(A602="","",F602-G602)</x:f>
      </x:c>
      <x:c r="I602" s="12" t="str">
        <x:f>IF(A602="","",SUMIFS('출고대장'!$K$7:$K$1006,'출고대장'!$A$7:$A$1006,A602))</x:f>
      </x:c>
      <x:c r="J602" s="12" t="str">
        <x:f>IF(A602="","",SUMIFS('입금대장'!$C$7:$C$1006,'입금대장'!$A$7:$A$1006,A602,'입금대장'!$E$7:$E$1006,"정상"))</x:f>
      </x:c>
      <x:c r="K602" s="12" t="str">
        <x:f>IF(A602="","",I602-J602)</x:f>
      </x:c>
      <x:c r="L602" s="13" t="str">
        <x:f>IF(A602="","",IF(K602&lt;0,"선입금·초과입금",IF(I602=0,"청구 전",IF(K602=0,"정산 완료",IF(J602=0,"미입금","부분 입금")))))</x:f>
      </x:c>
      <x:c r="M602" s="9"/>
      <x:c r="N602" s="9"/>
    </x:row>
    <x:row r="603" ht="23" customHeight="1">
      <x:c r="A603" s="9"/>
      <x:c r="B603" s="10"/>
      <x:c r="C603" s="9"/>
      <x:c r="D603" s="9"/>
      <x:c r="E603" s="9"/>
      <x:c r="F603" s="11"/>
      <x:c r="G603" s="12" t="str">
        <x:f>IF(A603="","",SUMIFS('출고대장'!$D$7:$D$1006,'출고대장'!$A$7:$A$1006,A603))</x:f>
      </x:c>
      <x:c r="H603" s="12" t="str">
        <x:f>IF(A603="","",F603-G603)</x:f>
      </x:c>
      <x:c r="I603" s="12" t="str">
        <x:f>IF(A603="","",SUMIFS('출고대장'!$K$7:$K$1006,'출고대장'!$A$7:$A$1006,A603))</x:f>
      </x:c>
      <x:c r="J603" s="12" t="str">
        <x:f>IF(A603="","",SUMIFS('입금대장'!$C$7:$C$1006,'입금대장'!$A$7:$A$1006,A603,'입금대장'!$E$7:$E$1006,"정상"))</x:f>
      </x:c>
      <x:c r="K603" s="12" t="str">
        <x:f>IF(A603="","",I603-J603)</x:f>
      </x:c>
      <x:c r="L603" s="13" t="str">
        <x:f>IF(A603="","",IF(K603&lt;0,"선입금·초과입금",IF(I603=0,"청구 전",IF(K603=0,"정산 완료",IF(J603=0,"미입금","부분 입금")))))</x:f>
      </x:c>
      <x:c r="M603" s="9"/>
      <x:c r="N603" s="9"/>
    </x:row>
    <x:row r="604" ht="23" customHeight="1">
      <x:c r="A604" s="9"/>
      <x:c r="B604" s="10"/>
      <x:c r="C604" s="9"/>
      <x:c r="D604" s="9"/>
      <x:c r="E604" s="9"/>
      <x:c r="F604" s="11"/>
      <x:c r="G604" s="12" t="str">
        <x:f>IF(A604="","",SUMIFS('출고대장'!$D$7:$D$1006,'출고대장'!$A$7:$A$1006,A604))</x:f>
      </x:c>
      <x:c r="H604" s="12" t="str">
        <x:f>IF(A604="","",F604-G604)</x:f>
      </x:c>
      <x:c r="I604" s="12" t="str">
        <x:f>IF(A604="","",SUMIFS('출고대장'!$K$7:$K$1006,'출고대장'!$A$7:$A$1006,A604))</x:f>
      </x:c>
      <x:c r="J604" s="12" t="str">
        <x:f>IF(A604="","",SUMIFS('입금대장'!$C$7:$C$1006,'입금대장'!$A$7:$A$1006,A604,'입금대장'!$E$7:$E$1006,"정상"))</x:f>
      </x:c>
      <x:c r="K604" s="12" t="str">
        <x:f>IF(A604="","",I604-J604)</x:f>
      </x:c>
      <x:c r="L604" s="13" t="str">
        <x:f>IF(A604="","",IF(K604&lt;0,"선입금·초과입금",IF(I604=0,"청구 전",IF(K604=0,"정산 완료",IF(J604=0,"미입금","부분 입금")))))</x:f>
      </x:c>
      <x:c r="M604" s="9"/>
      <x:c r="N604" s="9"/>
    </x:row>
    <x:row r="605" ht="23" customHeight="1">
      <x:c r="A605" s="9"/>
      <x:c r="B605" s="10"/>
      <x:c r="C605" s="9"/>
      <x:c r="D605" s="9"/>
      <x:c r="E605" s="9"/>
      <x:c r="F605" s="11"/>
      <x:c r="G605" s="12" t="str">
        <x:f>IF(A605="","",SUMIFS('출고대장'!$D$7:$D$1006,'출고대장'!$A$7:$A$1006,A605))</x:f>
      </x:c>
      <x:c r="H605" s="12" t="str">
        <x:f>IF(A605="","",F605-G605)</x:f>
      </x:c>
      <x:c r="I605" s="12" t="str">
        <x:f>IF(A605="","",SUMIFS('출고대장'!$K$7:$K$1006,'출고대장'!$A$7:$A$1006,A605))</x:f>
      </x:c>
      <x:c r="J605" s="12" t="str">
        <x:f>IF(A605="","",SUMIFS('입금대장'!$C$7:$C$1006,'입금대장'!$A$7:$A$1006,A605,'입금대장'!$E$7:$E$1006,"정상"))</x:f>
      </x:c>
      <x:c r="K605" s="12" t="str">
        <x:f>IF(A605="","",I605-J605)</x:f>
      </x:c>
      <x:c r="L605" s="13" t="str">
        <x:f>IF(A605="","",IF(K605&lt;0,"선입금·초과입금",IF(I605=0,"청구 전",IF(K605=0,"정산 완료",IF(J605=0,"미입금","부분 입금")))))</x:f>
      </x:c>
      <x:c r="M605" s="9"/>
      <x:c r="N605" s="9"/>
    </x:row>
    <x:row r="606" ht="23" customHeight="1">
      <x:c r="A606" s="9"/>
      <x:c r="B606" s="10"/>
      <x:c r="C606" s="9"/>
      <x:c r="D606" s="9"/>
      <x:c r="E606" s="9"/>
      <x:c r="F606" s="11"/>
      <x:c r="G606" s="12" t="str">
        <x:f>IF(A606="","",SUMIFS('출고대장'!$D$7:$D$1006,'출고대장'!$A$7:$A$1006,A606))</x:f>
      </x:c>
      <x:c r="H606" s="12" t="str">
        <x:f>IF(A606="","",F606-G606)</x:f>
      </x:c>
      <x:c r="I606" s="12" t="str">
        <x:f>IF(A606="","",SUMIFS('출고대장'!$K$7:$K$1006,'출고대장'!$A$7:$A$1006,A606))</x:f>
      </x:c>
      <x:c r="J606" s="12" t="str">
        <x:f>IF(A606="","",SUMIFS('입금대장'!$C$7:$C$1006,'입금대장'!$A$7:$A$1006,A606,'입금대장'!$E$7:$E$1006,"정상"))</x:f>
      </x:c>
      <x:c r="K606" s="12" t="str">
        <x:f>IF(A606="","",I606-J606)</x:f>
      </x:c>
      <x:c r="L606" s="13" t="str">
        <x:f>IF(A606="","",IF(K606&lt;0,"선입금·초과입금",IF(I606=0,"청구 전",IF(K606=0,"정산 완료",IF(J606=0,"미입금","부분 입금")))))</x:f>
      </x:c>
      <x:c r="M606" s="9"/>
      <x:c r="N606" s="9"/>
    </x:row>
    <x:row r="607" ht="23" customHeight="1">
      <x:c r="A607" s="9"/>
      <x:c r="B607" s="10"/>
      <x:c r="C607" s="9"/>
      <x:c r="D607" s="9"/>
      <x:c r="E607" s="9"/>
      <x:c r="F607" s="11"/>
      <x:c r="G607" s="12" t="str">
        <x:f>IF(A607="","",SUMIFS('출고대장'!$D$7:$D$1006,'출고대장'!$A$7:$A$1006,A607))</x:f>
      </x:c>
      <x:c r="H607" s="12" t="str">
        <x:f>IF(A607="","",F607-G607)</x:f>
      </x:c>
      <x:c r="I607" s="12" t="str">
        <x:f>IF(A607="","",SUMIFS('출고대장'!$K$7:$K$1006,'출고대장'!$A$7:$A$1006,A607))</x:f>
      </x:c>
      <x:c r="J607" s="12" t="str">
        <x:f>IF(A607="","",SUMIFS('입금대장'!$C$7:$C$1006,'입금대장'!$A$7:$A$1006,A607,'입금대장'!$E$7:$E$1006,"정상"))</x:f>
      </x:c>
      <x:c r="K607" s="12" t="str">
        <x:f>IF(A607="","",I607-J607)</x:f>
      </x:c>
      <x:c r="L607" s="13" t="str">
        <x:f>IF(A607="","",IF(K607&lt;0,"선입금·초과입금",IF(I607=0,"청구 전",IF(K607=0,"정산 완료",IF(J607=0,"미입금","부분 입금")))))</x:f>
      </x:c>
      <x:c r="M607" s="9"/>
      <x:c r="N607" s="9"/>
    </x:row>
    <x:row r="608" ht="23" customHeight="1">
      <x:c r="A608" s="9"/>
      <x:c r="B608" s="10"/>
      <x:c r="C608" s="9"/>
      <x:c r="D608" s="9"/>
      <x:c r="E608" s="9"/>
      <x:c r="F608" s="11"/>
      <x:c r="G608" s="12" t="str">
        <x:f>IF(A608="","",SUMIFS('출고대장'!$D$7:$D$1006,'출고대장'!$A$7:$A$1006,A608))</x:f>
      </x:c>
      <x:c r="H608" s="12" t="str">
        <x:f>IF(A608="","",F608-G608)</x:f>
      </x:c>
      <x:c r="I608" s="12" t="str">
        <x:f>IF(A608="","",SUMIFS('출고대장'!$K$7:$K$1006,'출고대장'!$A$7:$A$1006,A608))</x:f>
      </x:c>
      <x:c r="J608" s="12" t="str">
        <x:f>IF(A608="","",SUMIFS('입금대장'!$C$7:$C$1006,'입금대장'!$A$7:$A$1006,A608,'입금대장'!$E$7:$E$1006,"정상"))</x:f>
      </x:c>
      <x:c r="K608" s="12" t="str">
        <x:f>IF(A608="","",I608-J608)</x:f>
      </x:c>
      <x:c r="L608" s="13" t="str">
        <x:f>IF(A608="","",IF(K608&lt;0,"선입금·초과입금",IF(I608=0,"청구 전",IF(K608=0,"정산 완료",IF(J608=0,"미입금","부분 입금")))))</x:f>
      </x:c>
      <x:c r="M608" s="9"/>
      <x:c r="N608" s="9"/>
    </x:row>
    <x:row r="609" ht="23" customHeight="1">
      <x:c r="A609" s="9"/>
      <x:c r="B609" s="10"/>
      <x:c r="C609" s="9"/>
      <x:c r="D609" s="9"/>
      <x:c r="E609" s="9"/>
      <x:c r="F609" s="11"/>
      <x:c r="G609" s="12" t="str">
        <x:f>IF(A609="","",SUMIFS('출고대장'!$D$7:$D$1006,'출고대장'!$A$7:$A$1006,A609))</x:f>
      </x:c>
      <x:c r="H609" s="12" t="str">
        <x:f>IF(A609="","",F609-G609)</x:f>
      </x:c>
      <x:c r="I609" s="12" t="str">
        <x:f>IF(A609="","",SUMIFS('출고대장'!$K$7:$K$1006,'출고대장'!$A$7:$A$1006,A609))</x:f>
      </x:c>
      <x:c r="J609" s="12" t="str">
        <x:f>IF(A609="","",SUMIFS('입금대장'!$C$7:$C$1006,'입금대장'!$A$7:$A$1006,A609,'입금대장'!$E$7:$E$1006,"정상"))</x:f>
      </x:c>
      <x:c r="K609" s="12" t="str">
        <x:f>IF(A609="","",I609-J609)</x:f>
      </x:c>
      <x:c r="L609" s="13" t="str">
        <x:f>IF(A609="","",IF(K609&lt;0,"선입금·초과입금",IF(I609=0,"청구 전",IF(K609=0,"정산 완료",IF(J609=0,"미입금","부분 입금")))))</x:f>
      </x:c>
      <x:c r="M609" s="9"/>
      <x:c r="N609" s="9"/>
    </x:row>
    <x:row r="610" ht="23" customHeight="1">
      <x:c r="A610" s="9"/>
      <x:c r="B610" s="10"/>
      <x:c r="C610" s="9"/>
      <x:c r="D610" s="9"/>
      <x:c r="E610" s="9"/>
      <x:c r="F610" s="11"/>
      <x:c r="G610" s="12" t="str">
        <x:f>IF(A610="","",SUMIFS('출고대장'!$D$7:$D$1006,'출고대장'!$A$7:$A$1006,A610))</x:f>
      </x:c>
      <x:c r="H610" s="12" t="str">
        <x:f>IF(A610="","",F610-G610)</x:f>
      </x:c>
      <x:c r="I610" s="12" t="str">
        <x:f>IF(A610="","",SUMIFS('출고대장'!$K$7:$K$1006,'출고대장'!$A$7:$A$1006,A610))</x:f>
      </x:c>
      <x:c r="J610" s="12" t="str">
        <x:f>IF(A610="","",SUMIFS('입금대장'!$C$7:$C$1006,'입금대장'!$A$7:$A$1006,A610,'입금대장'!$E$7:$E$1006,"정상"))</x:f>
      </x:c>
      <x:c r="K610" s="12" t="str">
        <x:f>IF(A610="","",I610-J610)</x:f>
      </x:c>
      <x:c r="L610" s="13" t="str">
        <x:f>IF(A610="","",IF(K610&lt;0,"선입금·초과입금",IF(I610=0,"청구 전",IF(K610=0,"정산 완료",IF(J610=0,"미입금","부분 입금")))))</x:f>
      </x:c>
      <x:c r="M610" s="9"/>
      <x:c r="N610" s="9"/>
    </x:row>
    <x:row r="611" ht="23" customHeight="1">
      <x:c r="A611" s="9"/>
      <x:c r="B611" s="10"/>
      <x:c r="C611" s="9"/>
      <x:c r="D611" s="9"/>
      <x:c r="E611" s="9"/>
      <x:c r="F611" s="11"/>
      <x:c r="G611" s="12" t="str">
        <x:f>IF(A611="","",SUMIFS('출고대장'!$D$7:$D$1006,'출고대장'!$A$7:$A$1006,A611))</x:f>
      </x:c>
      <x:c r="H611" s="12" t="str">
        <x:f>IF(A611="","",F611-G611)</x:f>
      </x:c>
      <x:c r="I611" s="12" t="str">
        <x:f>IF(A611="","",SUMIFS('출고대장'!$K$7:$K$1006,'출고대장'!$A$7:$A$1006,A611))</x:f>
      </x:c>
      <x:c r="J611" s="12" t="str">
        <x:f>IF(A611="","",SUMIFS('입금대장'!$C$7:$C$1006,'입금대장'!$A$7:$A$1006,A611,'입금대장'!$E$7:$E$1006,"정상"))</x:f>
      </x:c>
      <x:c r="K611" s="12" t="str">
        <x:f>IF(A611="","",I611-J611)</x:f>
      </x:c>
      <x:c r="L611" s="13" t="str">
        <x:f>IF(A611="","",IF(K611&lt;0,"선입금·초과입금",IF(I611=0,"청구 전",IF(K611=0,"정산 완료",IF(J611=0,"미입금","부분 입금")))))</x:f>
      </x:c>
      <x:c r="M611" s="9"/>
      <x:c r="N611" s="9"/>
    </x:row>
    <x:row r="612" ht="23" customHeight="1">
      <x:c r="A612" s="9"/>
      <x:c r="B612" s="10"/>
      <x:c r="C612" s="9"/>
      <x:c r="D612" s="9"/>
      <x:c r="E612" s="9"/>
      <x:c r="F612" s="11"/>
      <x:c r="G612" s="12" t="str">
        <x:f>IF(A612="","",SUMIFS('출고대장'!$D$7:$D$1006,'출고대장'!$A$7:$A$1006,A612))</x:f>
      </x:c>
      <x:c r="H612" s="12" t="str">
        <x:f>IF(A612="","",F612-G612)</x:f>
      </x:c>
      <x:c r="I612" s="12" t="str">
        <x:f>IF(A612="","",SUMIFS('출고대장'!$K$7:$K$1006,'출고대장'!$A$7:$A$1006,A612))</x:f>
      </x:c>
      <x:c r="J612" s="12" t="str">
        <x:f>IF(A612="","",SUMIFS('입금대장'!$C$7:$C$1006,'입금대장'!$A$7:$A$1006,A612,'입금대장'!$E$7:$E$1006,"정상"))</x:f>
      </x:c>
      <x:c r="K612" s="12" t="str">
        <x:f>IF(A612="","",I612-J612)</x:f>
      </x:c>
      <x:c r="L612" s="13" t="str">
        <x:f>IF(A612="","",IF(K612&lt;0,"선입금·초과입금",IF(I612=0,"청구 전",IF(K612=0,"정산 완료",IF(J612=0,"미입금","부분 입금")))))</x:f>
      </x:c>
      <x:c r="M612" s="9"/>
      <x:c r="N612" s="9"/>
    </x:row>
    <x:row r="613" ht="23" customHeight="1">
      <x:c r="A613" s="9"/>
      <x:c r="B613" s="10"/>
      <x:c r="C613" s="9"/>
      <x:c r="D613" s="9"/>
      <x:c r="E613" s="9"/>
      <x:c r="F613" s="11"/>
      <x:c r="G613" s="12" t="str">
        <x:f>IF(A613="","",SUMIFS('출고대장'!$D$7:$D$1006,'출고대장'!$A$7:$A$1006,A613))</x:f>
      </x:c>
      <x:c r="H613" s="12" t="str">
        <x:f>IF(A613="","",F613-G613)</x:f>
      </x:c>
      <x:c r="I613" s="12" t="str">
        <x:f>IF(A613="","",SUMIFS('출고대장'!$K$7:$K$1006,'출고대장'!$A$7:$A$1006,A613))</x:f>
      </x:c>
      <x:c r="J613" s="12" t="str">
        <x:f>IF(A613="","",SUMIFS('입금대장'!$C$7:$C$1006,'입금대장'!$A$7:$A$1006,A613,'입금대장'!$E$7:$E$1006,"정상"))</x:f>
      </x:c>
      <x:c r="K613" s="12" t="str">
        <x:f>IF(A613="","",I613-J613)</x:f>
      </x:c>
      <x:c r="L613" s="13" t="str">
        <x:f>IF(A613="","",IF(K613&lt;0,"선입금·초과입금",IF(I613=0,"청구 전",IF(K613=0,"정산 완료",IF(J613=0,"미입금","부분 입금")))))</x:f>
      </x:c>
      <x:c r="M613" s="9"/>
      <x:c r="N613" s="9"/>
    </x:row>
    <x:row r="614" ht="23" customHeight="1">
      <x:c r="A614" s="9"/>
      <x:c r="B614" s="10"/>
      <x:c r="C614" s="9"/>
      <x:c r="D614" s="9"/>
      <x:c r="E614" s="9"/>
      <x:c r="F614" s="11"/>
      <x:c r="G614" s="12" t="str">
        <x:f>IF(A614="","",SUMIFS('출고대장'!$D$7:$D$1006,'출고대장'!$A$7:$A$1006,A614))</x:f>
      </x:c>
      <x:c r="H614" s="12" t="str">
        <x:f>IF(A614="","",F614-G614)</x:f>
      </x:c>
      <x:c r="I614" s="12" t="str">
        <x:f>IF(A614="","",SUMIFS('출고대장'!$K$7:$K$1006,'출고대장'!$A$7:$A$1006,A614))</x:f>
      </x:c>
      <x:c r="J614" s="12" t="str">
        <x:f>IF(A614="","",SUMIFS('입금대장'!$C$7:$C$1006,'입금대장'!$A$7:$A$1006,A614,'입금대장'!$E$7:$E$1006,"정상"))</x:f>
      </x:c>
      <x:c r="K614" s="12" t="str">
        <x:f>IF(A614="","",I614-J614)</x:f>
      </x:c>
      <x:c r="L614" s="13" t="str">
        <x:f>IF(A614="","",IF(K614&lt;0,"선입금·초과입금",IF(I614=0,"청구 전",IF(K614=0,"정산 완료",IF(J614=0,"미입금","부분 입금")))))</x:f>
      </x:c>
      <x:c r="M614" s="9"/>
      <x:c r="N614" s="9"/>
    </x:row>
    <x:row r="615" ht="23" customHeight="1">
      <x:c r="A615" s="9"/>
      <x:c r="B615" s="10"/>
      <x:c r="C615" s="9"/>
      <x:c r="D615" s="9"/>
      <x:c r="E615" s="9"/>
      <x:c r="F615" s="11"/>
      <x:c r="G615" s="12" t="str">
        <x:f>IF(A615="","",SUMIFS('출고대장'!$D$7:$D$1006,'출고대장'!$A$7:$A$1006,A615))</x:f>
      </x:c>
      <x:c r="H615" s="12" t="str">
        <x:f>IF(A615="","",F615-G615)</x:f>
      </x:c>
      <x:c r="I615" s="12" t="str">
        <x:f>IF(A615="","",SUMIFS('출고대장'!$K$7:$K$1006,'출고대장'!$A$7:$A$1006,A615))</x:f>
      </x:c>
      <x:c r="J615" s="12" t="str">
        <x:f>IF(A615="","",SUMIFS('입금대장'!$C$7:$C$1006,'입금대장'!$A$7:$A$1006,A615,'입금대장'!$E$7:$E$1006,"정상"))</x:f>
      </x:c>
      <x:c r="K615" s="12" t="str">
        <x:f>IF(A615="","",I615-J615)</x:f>
      </x:c>
      <x:c r="L615" s="13" t="str">
        <x:f>IF(A615="","",IF(K615&lt;0,"선입금·초과입금",IF(I615=0,"청구 전",IF(K615=0,"정산 완료",IF(J615=0,"미입금","부분 입금")))))</x:f>
      </x:c>
      <x:c r="M615" s="9"/>
      <x:c r="N615" s="9"/>
    </x:row>
    <x:row r="616" ht="23" customHeight="1">
      <x:c r="A616" s="9"/>
      <x:c r="B616" s="10"/>
      <x:c r="C616" s="9"/>
      <x:c r="D616" s="9"/>
      <x:c r="E616" s="9"/>
      <x:c r="F616" s="11"/>
      <x:c r="G616" s="12" t="str">
        <x:f>IF(A616="","",SUMIFS('출고대장'!$D$7:$D$1006,'출고대장'!$A$7:$A$1006,A616))</x:f>
      </x:c>
      <x:c r="H616" s="12" t="str">
        <x:f>IF(A616="","",F616-G616)</x:f>
      </x:c>
      <x:c r="I616" s="12" t="str">
        <x:f>IF(A616="","",SUMIFS('출고대장'!$K$7:$K$1006,'출고대장'!$A$7:$A$1006,A616))</x:f>
      </x:c>
      <x:c r="J616" s="12" t="str">
        <x:f>IF(A616="","",SUMIFS('입금대장'!$C$7:$C$1006,'입금대장'!$A$7:$A$1006,A616,'입금대장'!$E$7:$E$1006,"정상"))</x:f>
      </x:c>
      <x:c r="K616" s="12" t="str">
        <x:f>IF(A616="","",I616-J616)</x:f>
      </x:c>
      <x:c r="L616" s="13" t="str">
        <x:f>IF(A616="","",IF(K616&lt;0,"선입금·초과입금",IF(I616=0,"청구 전",IF(K616=0,"정산 완료",IF(J616=0,"미입금","부분 입금")))))</x:f>
      </x:c>
      <x:c r="M616" s="9"/>
      <x:c r="N616" s="9"/>
    </x:row>
    <x:row r="617" ht="23" customHeight="1">
      <x:c r="A617" s="9"/>
      <x:c r="B617" s="10"/>
      <x:c r="C617" s="9"/>
      <x:c r="D617" s="9"/>
      <x:c r="E617" s="9"/>
      <x:c r="F617" s="11"/>
      <x:c r="G617" s="12" t="str">
        <x:f>IF(A617="","",SUMIFS('출고대장'!$D$7:$D$1006,'출고대장'!$A$7:$A$1006,A617))</x:f>
      </x:c>
      <x:c r="H617" s="12" t="str">
        <x:f>IF(A617="","",F617-G617)</x:f>
      </x:c>
      <x:c r="I617" s="12" t="str">
        <x:f>IF(A617="","",SUMIFS('출고대장'!$K$7:$K$1006,'출고대장'!$A$7:$A$1006,A617))</x:f>
      </x:c>
      <x:c r="J617" s="12" t="str">
        <x:f>IF(A617="","",SUMIFS('입금대장'!$C$7:$C$1006,'입금대장'!$A$7:$A$1006,A617,'입금대장'!$E$7:$E$1006,"정상"))</x:f>
      </x:c>
      <x:c r="K617" s="12" t="str">
        <x:f>IF(A617="","",I617-J617)</x:f>
      </x:c>
      <x:c r="L617" s="13" t="str">
        <x:f>IF(A617="","",IF(K617&lt;0,"선입금·초과입금",IF(I617=0,"청구 전",IF(K617=0,"정산 완료",IF(J617=0,"미입금","부분 입금")))))</x:f>
      </x:c>
      <x:c r="M617" s="9"/>
      <x:c r="N617" s="9"/>
    </x:row>
    <x:row r="618" ht="23" customHeight="1">
      <x:c r="A618" s="9"/>
      <x:c r="B618" s="10"/>
      <x:c r="C618" s="9"/>
      <x:c r="D618" s="9"/>
      <x:c r="E618" s="9"/>
      <x:c r="F618" s="11"/>
      <x:c r="G618" s="12" t="str">
        <x:f>IF(A618="","",SUMIFS('출고대장'!$D$7:$D$1006,'출고대장'!$A$7:$A$1006,A618))</x:f>
      </x:c>
      <x:c r="H618" s="12" t="str">
        <x:f>IF(A618="","",F618-G618)</x:f>
      </x:c>
      <x:c r="I618" s="12" t="str">
        <x:f>IF(A618="","",SUMIFS('출고대장'!$K$7:$K$1006,'출고대장'!$A$7:$A$1006,A618))</x:f>
      </x:c>
      <x:c r="J618" s="12" t="str">
        <x:f>IF(A618="","",SUMIFS('입금대장'!$C$7:$C$1006,'입금대장'!$A$7:$A$1006,A618,'입금대장'!$E$7:$E$1006,"정상"))</x:f>
      </x:c>
      <x:c r="K618" s="12" t="str">
        <x:f>IF(A618="","",I618-J618)</x:f>
      </x:c>
      <x:c r="L618" s="13" t="str">
        <x:f>IF(A618="","",IF(K618&lt;0,"선입금·초과입금",IF(I618=0,"청구 전",IF(K618=0,"정산 완료",IF(J618=0,"미입금","부분 입금")))))</x:f>
      </x:c>
      <x:c r="M618" s="9"/>
      <x:c r="N618" s="9"/>
    </x:row>
    <x:row r="619" ht="23" customHeight="1">
      <x:c r="A619" s="9"/>
      <x:c r="B619" s="10"/>
      <x:c r="C619" s="9"/>
      <x:c r="D619" s="9"/>
      <x:c r="E619" s="9"/>
      <x:c r="F619" s="11"/>
      <x:c r="G619" s="12" t="str">
        <x:f>IF(A619="","",SUMIFS('출고대장'!$D$7:$D$1006,'출고대장'!$A$7:$A$1006,A619))</x:f>
      </x:c>
      <x:c r="H619" s="12" t="str">
        <x:f>IF(A619="","",F619-G619)</x:f>
      </x:c>
      <x:c r="I619" s="12" t="str">
        <x:f>IF(A619="","",SUMIFS('출고대장'!$K$7:$K$1006,'출고대장'!$A$7:$A$1006,A619))</x:f>
      </x:c>
      <x:c r="J619" s="12" t="str">
        <x:f>IF(A619="","",SUMIFS('입금대장'!$C$7:$C$1006,'입금대장'!$A$7:$A$1006,A619,'입금대장'!$E$7:$E$1006,"정상"))</x:f>
      </x:c>
      <x:c r="K619" s="12" t="str">
        <x:f>IF(A619="","",I619-J619)</x:f>
      </x:c>
      <x:c r="L619" s="13" t="str">
        <x:f>IF(A619="","",IF(K619&lt;0,"선입금·초과입금",IF(I619=0,"청구 전",IF(K619=0,"정산 완료",IF(J619=0,"미입금","부분 입금")))))</x:f>
      </x:c>
      <x:c r="M619" s="9"/>
      <x:c r="N619" s="9"/>
    </x:row>
    <x:row r="620" ht="23" customHeight="1">
      <x:c r="A620" s="9"/>
      <x:c r="B620" s="10"/>
      <x:c r="C620" s="9"/>
      <x:c r="D620" s="9"/>
      <x:c r="E620" s="9"/>
      <x:c r="F620" s="11"/>
      <x:c r="G620" s="12" t="str">
        <x:f>IF(A620="","",SUMIFS('출고대장'!$D$7:$D$1006,'출고대장'!$A$7:$A$1006,A620))</x:f>
      </x:c>
      <x:c r="H620" s="12" t="str">
        <x:f>IF(A620="","",F620-G620)</x:f>
      </x:c>
      <x:c r="I620" s="12" t="str">
        <x:f>IF(A620="","",SUMIFS('출고대장'!$K$7:$K$1006,'출고대장'!$A$7:$A$1006,A620))</x:f>
      </x:c>
      <x:c r="J620" s="12" t="str">
        <x:f>IF(A620="","",SUMIFS('입금대장'!$C$7:$C$1006,'입금대장'!$A$7:$A$1006,A620,'입금대장'!$E$7:$E$1006,"정상"))</x:f>
      </x:c>
      <x:c r="K620" s="12" t="str">
        <x:f>IF(A620="","",I620-J620)</x:f>
      </x:c>
      <x:c r="L620" s="13" t="str">
        <x:f>IF(A620="","",IF(K620&lt;0,"선입금·초과입금",IF(I620=0,"청구 전",IF(K620=0,"정산 완료",IF(J620=0,"미입금","부분 입금")))))</x:f>
      </x:c>
      <x:c r="M620" s="9"/>
      <x:c r="N620" s="9"/>
    </x:row>
    <x:row r="621" ht="23" customHeight="1">
      <x:c r="A621" s="9"/>
      <x:c r="B621" s="10"/>
      <x:c r="C621" s="9"/>
      <x:c r="D621" s="9"/>
      <x:c r="E621" s="9"/>
      <x:c r="F621" s="11"/>
      <x:c r="G621" s="12" t="str">
        <x:f>IF(A621="","",SUMIFS('출고대장'!$D$7:$D$1006,'출고대장'!$A$7:$A$1006,A621))</x:f>
      </x:c>
      <x:c r="H621" s="12" t="str">
        <x:f>IF(A621="","",F621-G621)</x:f>
      </x:c>
      <x:c r="I621" s="12" t="str">
        <x:f>IF(A621="","",SUMIFS('출고대장'!$K$7:$K$1006,'출고대장'!$A$7:$A$1006,A621))</x:f>
      </x:c>
      <x:c r="J621" s="12" t="str">
        <x:f>IF(A621="","",SUMIFS('입금대장'!$C$7:$C$1006,'입금대장'!$A$7:$A$1006,A621,'입금대장'!$E$7:$E$1006,"정상"))</x:f>
      </x:c>
      <x:c r="K621" s="12" t="str">
        <x:f>IF(A621="","",I621-J621)</x:f>
      </x:c>
      <x:c r="L621" s="13" t="str">
        <x:f>IF(A621="","",IF(K621&lt;0,"선입금·초과입금",IF(I621=0,"청구 전",IF(K621=0,"정산 완료",IF(J621=0,"미입금","부분 입금")))))</x:f>
      </x:c>
      <x:c r="M621" s="9"/>
      <x:c r="N621" s="9"/>
    </x:row>
    <x:row r="622" ht="23" customHeight="1">
      <x:c r="A622" s="9"/>
      <x:c r="B622" s="10"/>
      <x:c r="C622" s="9"/>
      <x:c r="D622" s="9"/>
      <x:c r="E622" s="9"/>
      <x:c r="F622" s="11"/>
      <x:c r="G622" s="12" t="str">
        <x:f>IF(A622="","",SUMIFS('출고대장'!$D$7:$D$1006,'출고대장'!$A$7:$A$1006,A622))</x:f>
      </x:c>
      <x:c r="H622" s="12" t="str">
        <x:f>IF(A622="","",F622-G622)</x:f>
      </x:c>
      <x:c r="I622" s="12" t="str">
        <x:f>IF(A622="","",SUMIFS('출고대장'!$K$7:$K$1006,'출고대장'!$A$7:$A$1006,A622))</x:f>
      </x:c>
      <x:c r="J622" s="12" t="str">
        <x:f>IF(A622="","",SUMIFS('입금대장'!$C$7:$C$1006,'입금대장'!$A$7:$A$1006,A622,'입금대장'!$E$7:$E$1006,"정상"))</x:f>
      </x:c>
      <x:c r="K622" s="12" t="str">
        <x:f>IF(A622="","",I622-J622)</x:f>
      </x:c>
      <x:c r="L622" s="13" t="str">
        <x:f>IF(A622="","",IF(K622&lt;0,"선입금·초과입금",IF(I622=0,"청구 전",IF(K622=0,"정산 완료",IF(J622=0,"미입금","부분 입금")))))</x:f>
      </x:c>
      <x:c r="M622" s="9"/>
      <x:c r="N622" s="9"/>
    </x:row>
    <x:row r="623" ht="23" customHeight="1">
      <x:c r="A623" s="9"/>
      <x:c r="B623" s="10"/>
      <x:c r="C623" s="9"/>
      <x:c r="D623" s="9"/>
      <x:c r="E623" s="9"/>
      <x:c r="F623" s="11"/>
      <x:c r="G623" s="12" t="str">
        <x:f>IF(A623="","",SUMIFS('출고대장'!$D$7:$D$1006,'출고대장'!$A$7:$A$1006,A623))</x:f>
      </x:c>
      <x:c r="H623" s="12" t="str">
        <x:f>IF(A623="","",F623-G623)</x:f>
      </x:c>
      <x:c r="I623" s="12" t="str">
        <x:f>IF(A623="","",SUMIFS('출고대장'!$K$7:$K$1006,'출고대장'!$A$7:$A$1006,A623))</x:f>
      </x:c>
      <x:c r="J623" s="12" t="str">
        <x:f>IF(A623="","",SUMIFS('입금대장'!$C$7:$C$1006,'입금대장'!$A$7:$A$1006,A623,'입금대장'!$E$7:$E$1006,"정상"))</x:f>
      </x:c>
      <x:c r="K623" s="12" t="str">
        <x:f>IF(A623="","",I623-J623)</x:f>
      </x:c>
      <x:c r="L623" s="13" t="str">
        <x:f>IF(A623="","",IF(K623&lt;0,"선입금·초과입금",IF(I623=0,"청구 전",IF(K623=0,"정산 완료",IF(J623=0,"미입금","부분 입금")))))</x:f>
      </x:c>
      <x:c r="M623" s="9"/>
      <x:c r="N623" s="9"/>
    </x:row>
    <x:row r="624" ht="23" customHeight="1">
      <x:c r="A624" s="9"/>
      <x:c r="B624" s="10"/>
      <x:c r="C624" s="9"/>
      <x:c r="D624" s="9"/>
      <x:c r="E624" s="9"/>
      <x:c r="F624" s="11"/>
      <x:c r="G624" s="12" t="str">
        <x:f>IF(A624="","",SUMIFS('출고대장'!$D$7:$D$1006,'출고대장'!$A$7:$A$1006,A624))</x:f>
      </x:c>
      <x:c r="H624" s="12" t="str">
        <x:f>IF(A624="","",F624-G624)</x:f>
      </x:c>
      <x:c r="I624" s="12" t="str">
        <x:f>IF(A624="","",SUMIFS('출고대장'!$K$7:$K$1006,'출고대장'!$A$7:$A$1006,A624))</x:f>
      </x:c>
      <x:c r="J624" s="12" t="str">
        <x:f>IF(A624="","",SUMIFS('입금대장'!$C$7:$C$1006,'입금대장'!$A$7:$A$1006,A624,'입금대장'!$E$7:$E$1006,"정상"))</x:f>
      </x:c>
      <x:c r="K624" s="12" t="str">
        <x:f>IF(A624="","",I624-J624)</x:f>
      </x:c>
      <x:c r="L624" s="13" t="str">
        <x:f>IF(A624="","",IF(K624&lt;0,"선입금·초과입금",IF(I624=0,"청구 전",IF(K624=0,"정산 완료",IF(J624=0,"미입금","부분 입금")))))</x:f>
      </x:c>
      <x:c r="M624" s="9"/>
      <x:c r="N624" s="9"/>
    </x:row>
    <x:row r="625" ht="23" customHeight="1">
      <x:c r="A625" s="9"/>
      <x:c r="B625" s="10"/>
      <x:c r="C625" s="9"/>
      <x:c r="D625" s="9"/>
      <x:c r="E625" s="9"/>
      <x:c r="F625" s="11"/>
      <x:c r="G625" s="12" t="str">
        <x:f>IF(A625="","",SUMIFS('출고대장'!$D$7:$D$1006,'출고대장'!$A$7:$A$1006,A625))</x:f>
      </x:c>
      <x:c r="H625" s="12" t="str">
        <x:f>IF(A625="","",F625-G625)</x:f>
      </x:c>
      <x:c r="I625" s="12" t="str">
        <x:f>IF(A625="","",SUMIFS('출고대장'!$K$7:$K$1006,'출고대장'!$A$7:$A$1006,A625))</x:f>
      </x:c>
      <x:c r="J625" s="12" t="str">
        <x:f>IF(A625="","",SUMIFS('입금대장'!$C$7:$C$1006,'입금대장'!$A$7:$A$1006,A625,'입금대장'!$E$7:$E$1006,"정상"))</x:f>
      </x:c>
      <x:c r="K625" s="12" t="str">
        <x:f>IF(A625="","",I625-J625)</x:f>
      </x:c>
      <x:c r="L625" s="13" t="str">
        <x:f>IF(A625="","",IF(K625&lt;0,"선입금·초과입금",IF(I625=0,"청구 전",IF(K625=0,"정산 완료",IF(J625=0,"미입금","부분 입금")))))</x:f>
      </x:c>
      <x:c r="M625" s="9"/>
      <x:c r="N625" s="9"/>
    </x:row>
    <x:row r="626" ht="23" customHeight="1">
      <x:c r="A626" s="9"/>
      <x:c r="B626" s="10"/>
      <x:c r="C626" s="9"/>
      <x:c r="D626" s="9"/>
      <x:c r="E626" s="9"/>
      <x:c r="F626" s="11"/>
      <x:c r="G626" s="12" t="str">
        <x:f>IF(A626="","",SUMIFS('출고대장'!$D$7:$D$1006,'출고대장'!$A$7:$A$1006,A626))</x:f>
      </x:c>
      <x:c r="H626" s="12" t="str">
        <x:f>IF(A626="","",F626-G626)</x:f>
      </x:c>
      <x:c r="I626" s="12" t="str">
        <x:f>IF(A626="","",SUMIFS('출고대장'!$K$7:$K$1006,'출고대장'!$A$7:$A$1006,A626))</x:f>
      </x:c>
      <x:c r="J626" s="12" t="str">
        <x:f>IF(A626="","",SUMIFS('입금대장'!$C$7:$C$1006,'입금대장'!$A$7:$A$1006,A626,'입금대장'!$E$7:$E$1006,"정상"))</x:f>
      </x:c>
      <x:c r="K626" s="12" t="str">
        <x:f>IF(A626="","",I626-J626)</x:f>
      </x:c>
      <x:c r="L626" s="13" t="str">
        <x:f>IF(A626="","",IF(K626&lt;0,"선입금·초과입금",IF(I626=0,"청구 전",IF(K626=0,"정산 완료",IF(J626=0,"미입금","부분 입금")))))</x:f>
      </x:c>
      <x:c r="M626" s="9"/>
      <x:c r="N626" s="9"/>
    </x:row>
    <x:row r="627" ht="23" customHeight="1">
      <x:c r="A627" s="9"/>
      <x:c r="B627" s="10"/>
      <x:c r="C627" s="9"/>
      <x:c r="D627" s="9"/>
      <x:c r="E627" s="9"/>
      <x:c r="F627" s="11"/>
      <x:c r="G627" s="12" t="str">
        <x:f>IF(A627="","",SUMIFS('출고대장'!$D$7:$D$1006,'출고대장'!$A$7:$A$1006,A627))</x:f>
      </x:c>
      <x:c r="H627" s="12" t="str">
        <x:f>IF(A627="","",F627-G627)</x:f>
      </x:c>
      <x:c r="I627" s="12" t="str">
        <x:f>IF(A627="","",SUMIFS('출고대장'!$K$7:$K$1006,'출고대장'!$A$7:$A$1006,A627))</x:f>
      </x:c>
      <x:c r="J627" s="12" t="str">
        <x:f>IF(A627="","",SUMIFS('입금대장'!$C$7:$C$1006,'입금대장'!$A$7:$A$1006,A627,'입금대장'!$E$7:$E$1006,"정상"))</x:f>
      </x:c>
      <x:c r="K627" s="12" t="str">
        <x:f>IF(A627="","",I627-J627)</x:f>
      </x:c>
      <x:c r="L627" s="13" t="str">
        <x:f>IF(A627="","",IF(K627&lt;0,"선입금·초과입금",IF(I627=0,"청구 전",IF(K627=0,"정산 완료",IF(J627=0,"미입금","부분 입금")))))</x:f>
      </x:c>
      <x:c r="M627" s="9"/>
      <x:c r="N627" s="9"/>
    </x:row>
    <x:row r="628" ht="23" customHeight="1">
      <x:c r="A628" s="9"/>
      <x:c r="B628" s="10"/>
      <x:c r="C628" s="9"/>
      <x:c r="D628" s="9"/>
      <x:c r="E628" s="9"/>
      <x:c r="F628" s="11"/>
      <x:c r="G628" s="12" t="str">
        <x:f>IF(A628="","",SUMIFS('출고대장'!$D$7:$D$1006,'출고대장'!$A$7:$A$1006,A628))</x:f>
      </x:c>
      <x:c r="H628" s="12" t="str">
        <x:f>IF(A628="","",F628-G628)</x:f>
      </x:c>
      <x:c r="I628" s="12" t="str">
        <x:f>IF(A628="","",SUMIFS('출고대장'!$K$7:$K$1006,'출고대장'!$A$7:$A$1006,A628))</x:f>
      </x:c>
      <x:c r="J628" s="12" t="str">
        <x:f>IF(A628="","",SUMIFS('입금대장'!$C$7:$C$1006,'입금대장'!$A$7:$A$1006,A628,'입금대장'!$E$7:$E$1006,"정상"))</x:f>
      </x:c>
      <x:c r="K628" s="12" t="str">
        <x:f>IF(A628="","",I628-J628)</x:f>
      </x:c>
      <x:c r="L628" s="13" t="str">
        <x:f>IF(A628="","",IF(K628&lt;0,"선입금·초과입금",IF(I628=0,"청구 전",IF(K628=0,"정산 완료",IF(J628=0,"미입금","부분 입금")))))</x:f>
      </x:c>
      <x:c r="M628" s="9"/>
      <x:c r="N628" s="9"/>
    </x:row>
    <x:row r="629" ht="23" customHeight="1">
      <x:c r="A629" s="9"/>
      <x:c r="B629" s="10"/>
      <x:c r="C629" s="9"/>
      <x:c r="D629" s="9"/>
      <x:c r="E629" s="9"/>
      <x:c r="F629" s="11"/>
      <x:c r="G629" s="12" t="str">
        <x:f>IF(A629="","",SUMIFS('출고대장'!$D$7:$D$1006,'출고대장'!$A$7:$A$1006,A629))</x:f>
      </x:c>
      <x:c r="H629" s="12" t="str">
        <x:f>IF(A629="","",F629-G629)</x:f>
      </x:c>
      <x:c r="I629" s="12" t="str">
        <x:f>IF(A629="","",SUMIFS('출고대장'!$K$7:$K$1006,'출고대장'!$A$7:$A$1006,A629))</x:f>
      </x:c>
      <x:c r="J629" s="12" t="str">
        <x:f>IF(A629="","",SUMIFS('입금대장'!$C$7:$C$1006,'입금대장'!$A$7:$A$1006,A629,'입금대장'!$E$7:$E$1006,"정상"))</x:f>
      </x:c>
      <x:c r="K629" s="12" t="str">
        <x:f>IF(A629="","",I629-J629)</x:f>
      </x:c>
      <x:c r="L629" s="13" t="str">
        <x:f>IF(A629="","",IF(K629&lt;0,"선입금·초과입금",IF(I629=0,"청구 전",IF(K629=0,"정산 완료",IF(J629=0,"미입금","부분 입금")))))</x:f>
      </x:c>
      <x:c r="M629" s="9"/>
      <x:c r="N629" s="9"/>
    </x:row>
    <x:row r="630" ht="23" customHeight="1">
      <x:c r="A630" s="9"/>
      <x:c r="B630" s="10"/>
      <x:c r="C630" s="9"/>
      <x:c r="D630" s="9"/>
      <x:c r="E630" s="9"/>
      <x:c r="F630" s="11"/>
      <x:c r="G630" s="12" t="str">
        <x:f>IF(A630="","",SUMIFS('출고대장'!$D$7:$D$1006,'출고대장'!$A$7:$A$1006,A630))</x:f>
      </x:c>
      <x:c r="H630" s="12" t="str">
        <x:f>IF(A630="","",F630-G630)</x:f>
      </x:c>
      <x:c r="I630" s="12" t="str">
        <x:f>IF(A630="","",SUMIFS('출고대장'!$K$7:$K$1006,'출고대장'!$A$7:$A$1006,A630))</x:f>
      </x:c>
      <x:c r="J630" s="12" t="str">
        <x:f>IF(A630="","",SUMIFS('입금대장'!$C$7:$C$1006,'입금대장'!$A$7:$A$1006,A630,'입금대장'!$E$7:$E$1006,"정상"))</x:f>
      </x:c>
      <x:c r="K630" s="12" t="str">
        <x:f>IF(A630="","",I630-J630)</x:f>
      </x:c>
      <x:c r="L630" s="13" t="str">
        <x:f>IF(A630="","",IF(K630&lt;0,"선입금·초과입금",IF(I630=0,"청구 전",IF(K630=0,"정산 완료",IF(J630=0,"미입금","부분 입금")))))</x:f>
      </x:c>
      <x:c r="M630" s="9"/>
      <x:c r="N630" s="9"/>
    </x:row>
    <x:row r="631" ht="23" customHeight="1">
      <x:c r="A631" s="9"/>
      <x:c r="B631" s="10"/>
      <x:c r="C631" s="9"/>
      <x:c r="D631" s="9"/>
      <x:c r="E631" s="9"/>
      <x:c r="F631" s="11"/>
      <x:c r="G631" s="12" t="str">
        <x:f>IF(A631="","",SUMIFS('출고대장'!$D$7:$D$1006,'출고대장'!$A$7:$A$1006,A631))</x:f>
      </x:c>
      <x:c r="H631" s="12" t="str">
        <x:f>IF(A631="","",F631-G631)</x:f>
      </x:c>
      <x:c r="I631" s="12" t="str">
        <x:f>IF(A631="","",SUMIFS('출고대장'!$K$7:$K$1006,'출고대장'!$A$7:$A$1006,A631))</x:f>
      </x:c>
      <x:c r="J631" s="12" t="str">
        <x:f>IF(A631="","",SUMIFS('입금대장'!$C$7:$C$1006,'입금대장'!$A$7:$A$1006,A631,'입금대장'!$E$7:$E$1006,"정상"))</x:f>
      </x:c>
      <x:c r="K631" s="12" t="str">
        <x:f>IF(A631="","",I631-J631)</x:f>
      </x:c>
      <x:c r="L631" s="13" t="str">
        <x:f>IF(A631="","",IF(K631&lt;0,"선입금·초과입금",IF(I631=0,"청구 전",IF(K631=0,"정산 완료",IF(J631=0,"미입금","부분 입금")))))</x:f>
      </x:c>
      <x:c r="M631" s="9"/>
      <x:c r="N631" s="9"/>
    </x:row>
    <x:row r="632" ht="23" customHeight="1">
      <x:c r="A632" s="9"/>
      <x:c r="B632" s="10"/>
      <x:c r="C632" s="9"/>
      <x:c r="D632" s="9"/>
      <x:c r="E632" s="9"/>
      <x:c r="F632" s="11"/>
      <x:c r="G632" s="12" t="str">
        <x:f>IF(A632="","",SUMIFS('출고대장'!$D$7:$D$1006,'출고대장'!$A$7:$A$1006,A632))</x:f>
      </x:c>
      <x:c r="H632" s="12" t="str">
        <x:f>IF(A632="","",F632-G632)</x:f>
      </x:c>
      <x:c r="I632" s="12" t="str">
        <x:f>IF(A632="","",SUMIFS('출고대장'!$K$7:$K$1006,'출고대장'!$A$7:$A$1006,A632))</x:f>
      </x:c>
      <x:c r="J632" s="12" t="str">
        <x:f>IF(A632="","",SUMIFS('입금대장'!$C$7:$C$1006,'입금대장'!$A$7:$A$1006,A632,'입금대장'!$E$7:$E$1006,"정상"))</x:f>
      </x:c>
      <x:c r="K632" s="12" t="str">
        <x:f>IF(A632="","",I632-J632)</x:f>
      </x:c>
      <x:c r="L632" s="13" t="str">
        <x:f>IF(A632="","",IF(K632&lt;0,"선입금·초과입금",IF(I632=0,"청구 전",IF(K632=0,"정산 완료",IF(J632=0,"미입금","부분 입금")))))</x:f>
      </x:c>
      <x:c r="M632" s="9"/>
      <x:c r="N632" s="9"/>
    </x:row>
    <x:row r="633" ht="23" customHeight="1">
      <x:c r="A633" s="9"/>
      <x:c r="B633" s="10"/>
      <x:c r="C633" s="9"/>
      <x:c r="D633" s="9"/>
      <x:c r="E633" s="9"/>
      <x:c r="F633" s="11"/>
      <x:c r="G633" s="12" t="str">
        <x:f>IF(A633="","",SUMIFS('출고대장'!$D$7:$D$1006,'출고대장'!$A$7:$A$1006,A633))</x:f>
      </x:c>
      <x:c r="H633" s="12" t="str">
        <x:f>IF(A633="","",F633-G633)</x:f>
      </x:c>
      <x:c r="I633" s="12" t="str">
        <x:f>IF(A633="","",SUMIFS('출고대장'!$K$7:$K$1006,'출고대장'!$A$7:$A$1006,A633))</x:f>
      </x:c>
      <x:c r="J633" s="12" t="str">
        <x:f>IF(A633="","",SUMIFS('입금대장'!$C$7:$C$1006,'입금대장'!$A$7:$A$1006,A633,'입금대장'!$E$7:$E$1006,"정상"))</x:f>
      </x:c>
      <x:c r="K633" s="12" t="str">
        <x:f>IF(A633="","",I633-J633)</x:f>
      </x:c>
      <x:c r="L633" s="13" t="str">
        <x:f>IF(A633="","",IF(K633&lt;0,"선입금·초과입금",IF(I633=0,"청구 전",IF(K633=0,"정산 완료",IF(J633=0,"미입금","부분 입금")))))</x:f>
      </x:c>
      <x:c r="M633" s="9"/>
      <x:c r="N633" s="9"/>
    </x:row>
    <x:row r="634" ht="23" customHeight="1">
      <x:c r="A634" s="9"/>
      <x:c r="B634" s="10"/>
      <x:c r="C634" s="9"/>
      <x:c r="D634" s="9"/>
      <x:c r="E634" s="9"/>
      <x:c r="F634" s="11"/>
      <x:c r="G634" s="12" t="str">
        <x:f>IF(A634="","",SUMIFS('출고대장'!$D$7:$D$1006,'출고대장'!$A$7:$A$1006,A634))</x:f>
      </x:c>
      <x:c r="H634" s="12" t="str">
        <x:f>IF(A634="","",F634-G634)</x:f>
      </x:c>
      <x:c r="I634" s="12" t="str">
        <x:f>IF(A634="","",SUMIFS('출고대장'!$K$7:$K$1006,'출고대장'!$A$7:$A$1006,A634))</x:f>
      </x:c>
      <x:c r="J634" s="12" t="str">
        <x:f>IF(A634="","",SUMIFS('입금대장'!$C$7:$C$1006,'입금대장'!$A$7:$A$1006,A634,'입금대장'!$E$7:$E$1006,"정상"))</x:f>
      </x:c>
      <x:c r="K634" s="12" t="str">
        <x:f>IF(A634="","",I634-J634)</x:f>
      </x:c>
      <x:c r="L634" s="13" t="str">
        <x:f>IF(A634="","",IF(K634&lt;0,"선입금·초과입금",IF(I634=0,"청구 전",IF(K634=0,"정산 완료",IF(J634=0,"미입금","부분 입금")))))</x:f>
      </x:c>
      <x:c r="M634" s="9"/>
      <x:c r="N634" s="9"/>
    </x:row>
    <x:row r="635" ht="23" customHeight="1">
      <x:c r="A635" s="9"/>
      <x:c r="B635" s="10"/>
      <x:c r="C635" s="9"/>
      <x:c r="D635" s="9"/>
      <x:c r="E635" s="9"/>
      <x:c r="F635" s="11"/>
      <x:c r="G635" s="12" t="str">
        <x:f>IF(A635="","",SUMIFS('출고대장'!$D$7:$D$1006,'출고대장'!$A$7:$A$1006,A635))</x:f>
      </x:c>
      <x:c r="H635" s="12" t="str">
        <x:f>IF(A635="","",F635-G635)</x:f>
      </x:c>
      <x:c r="I635" s="12" t="str">
        <x:f>IF(A635="","",SUMIFS('출고대장'!$K$7:$K$1006,'출고대장'!$A$7:$A$1006,A635))</x:f>
      </x:c>
      <x:c r="J635" s="12" t="str">
        <x:f>IF(A635="","",SUMIFS('입금대장'!$C$7:$C$1006,'입금대장'!$A$7:$A$1006,A635,'입금대장'!$E$7:$E$1006,"정상"))</x:f>
      </x:c>
      <x:c r="K635" s="12" t="str">
        <x:f>IF(A635="","",I635-J635)</x:f>
      </x:c>
      <x:c r="L635" s="13" t="str">
        <x:f>IF(A635="","",IF(K635&lt;0,"선입금·초과입금",IF(I635=0,"청구 전",IF(K635=0,"정산 완료",IF(J635=0,"미입금","부분 입금")))))</x:f>
      </x:c>
      <x:c r="M635" s="9"/>
      <x:c r="N635" s="9"/>
    </x:row>
    <x:row r="636" ht="23" customHeight="1">
      <x:c r="A636" s="9"/>
      <x:c r="B636" s="10"/>
      <x:c r="C636" s="9"/>
      <x:c r="D636" s="9"/>
      <x:c r="E636" s="9"/>
      <x:c r="F636" s="11"/>
      <x:c r="G636" s="12" t="str">
        <x:f>IF(A636="","",SUMIFS('출고대장'!$D$7:$D$1006,'출고대장'!$A$7:$A$1006,A636))</x:f>
      </x:c>
      <x:c r="H636" s="12" t="str">
        <x:f>IF(A636="","",F636-G636)</x:f>
      </x:c>
      <x:c r="I636" s="12" t="str">
        <x:f>IF(A636="","",SUMIFS('출고대장'!$K$7:$K$1006,'출고대장'!$A$7:$A$1006,A636))</x:f>
      </x:c>
      <x:c r="J636" s="12" t="str">
        <x:f>IF(A636="","",SUMIFS('입금대장'!$C$7:$C$1006,'입금대장'!$A$7:$A$1006,A636,'입금대장'!$E$7:$E$1006,"정상"))</x:f>
      </x:c>
      <x:c r="K636" s="12" t="str">
        <x:f>IF(A636="","",I636-J636)</x:f>
      </x:c>
      <x:c r="L636" s="13" t="str">
        <x:f>IF(A636="","",IF(K636&lt;0,"선입금·초과입금",IF(I636=0,"청구 전",IF(K636=0,"정산 완료",IF(J636=0,"미입금","부분 입금")))))</x:f>
      </x:c>
      <x:c r="M636" s="9"/>
      <x:c r="N636" s="9"/>
    </x:row>
    <x:row r="637" ht="23" customHeight="1">
      <x:c r="A637" s="9"/>
      <x:c r="B637" s="10"/>
      <x:c r="C637" s="9"/>
      <x:c r="D637" s="9"/>
      <x:c r="E637" s="9"/>
      <x:c r="F637" s="11"/>
      <x:c r="G637" s="12" t="str">
        <x:f>IF(A637="","",SUMIFS('출고대장'!$D$7:$D$1006,'출고대장'!$A$7:$A$1006,A637))</x:f>
      </x:c>
      <x:c r="H637" s="12" t="str">
        <x:f>IF(A637="","",F637-G637)</x:f>
      </x:c>
      <x:c r="I637" s="12" t="str">
        <x:f>IF(A637="","",SUMIFS('출고대장'!$K$7:$K$1006,'출고대장'!$A$7:$A$1006,A637))</x:f>
      </x:c>
      <x:c r="J637" s="12" t="str">
        <x:f>IF(A637="","",SUMIFS('입금대장'!$C$7:$C$1006,'입금대장'!$A$7:$A$1006,A637,'입금대장'!$E$7:$E$1006,"정상"))</x:f>
      </x:c>
      <x:c r="K637" s="12" t="str">
        <x:f>IF(A637="","",I637-J637)</x:f>
      </x:c>
      <x:c r="L637" s="13" t="str">
        <x:f>IF(A637="","",IF(K637&lt;0,"선입금·초과입금",IF(I637=0,"청구 전",IF(K637=0,"정산 완료",IF(J637=0,"미입금","부분 입금")))))</x:f>
      </x:c>
      <x:c r="M637" s="9"/>
      <x:c r="N637" s="9"/>
    </x:row>
    <x:row r="638" ht="23" customHeight="1">
      <x:c r="A638" s="9"/>
      <x:c r="B638" s="10"/>
      <x:c r="C638" s="9"/>
      <x:c r="D638" s="9"/>
      <x:c r="E638" s="9"/>
      <x:c r="F638" s="11"/>
      <x:c r="G638" s="12" t="str">
        <x:f>IF(A638="","",SUMIFS('출고대장'!$D$7:$D$1006,'출고대장'!$A$7:$A$1006,A638))</x:f>
      </x:c>
      <x:c r="H638" s="12" t="str">
        <x:f>IF(A638="","",F638-G638)</x:f>
      </x:c>
      <x:c r="I638" s="12" t="str">
        <x:f>IF(A638="","",SUMIFS('출고대장'!$K$7:$K$1006,'출고대장'!$A$7:$A$1006,A638))</x:f>
      </x:c>
      <x:c r="J638" s="12" t="str">
        <x:f>IF(A638="","",SUMIFS('입금대장'!$C$7:$C$1006,'입금대장'!$A$7:$A$1006,A638,'입금대장'!$E$7:$E$1006,"정상"))</x:f>
      </x:c>
      <x:c r="K638" s="12" t="str">
        <x:f>IF(A638="","",I638-J638)</x:f>
      </x:c>
      <x:c r="L638" s="13" t="str">
        <x:f>IF(A638="","",IF(K638&lt;0,"선입금·초과입금",IF(I638=0,"청구 전",IF(K638=0,"정산 완료",IF(J638=0,"미입금","부분 입금")))))</x:f>
      </x:c>
      <x:c r="M638" s="9"/>
      <x:c r="N638" s="9"/>
    </x:row>
    <x:row r="639" ht="23" customHeight="1">
      <x:c r="A639" s="9"/>
      <x:c r="B639" s="10"/>
      <x:c r="C639" s="9"/>
      <x:c r="D639" s="9"/>
      <x:c r="E639" s="9"/>
      <x:c r="F639" s="11"/>
      <x:c r="G639" s="12" t="str">
        <x:f>IF(A639="","",SUMIFS('출고대장'!$D$7:$D$1006,'출고대장'!$A$7:$A$1006,A639))</x:f>
      </x:c>
      <x:c r="H639" s="12" t="str">
        <x:f>IF(A639="","",F639-G639)</x:f>
      </x:c>
      <x:c r="I639" s="12" t="str">
        <x:f>IF(A639="","",SUMIFS('출고대장'!$K$7:$K$1006,'출고대장'!$A$7:$A$1006,A639))</x:f>
      </x:c>
      <x:c r="J639" s="12" t="str">
        <x:f>IF(A639="","",SUMIFS('입금대장'!$C$7:$C$1006,'입금대장'!$A$7:$A$1006,A639,'입금대장'!$E$7:$E$1006,"정상"))</x:f>
      </x:c>
      <x:c r="K639" s="12" t="str">
        <x:f>IF(A639="","",I639-J639)</x:f>
      </x:c>
      <x:c r="L639" s="13" t="str">
        <x:f>IF(A639="","",IF(K639&lt;0,"선입금·초과입금",IF(I639=0,"청구 전",IF(K639=0,"정산 완료",IF(J639=0,"미입금","부분 입금")))))</x:f>
      </x:c>
      <x:c r="M639" s="9"/>
      <x:c r="N639" s="9"/>
    </x:row>
    <x:row r="640" ht="23" customHeight="1">
      <x:c r="A640" s="9"/>
      <x:c r="B640" s="10"/>
      <x:c r="C640" s="9"/>
      <x:c r="D640" s="9"/>
      <x:c r="E640" s="9"/>
      <x:c r="F640" s="11"/>
      <x:c r="G640" s="12" t="str">
        <x:f>IF(A640="","",SUMIFS('출고대장'!$D$7:$D$1006,'출고대장'!$A$7:$A$1006,A640))</x:f>
      </x:c>
      <x:c r="H640" s="12" t="str">
        <x:f>IF(A640="","",F640-G640)</x:f>
      </x:c>
      <x:c r="I640" s="12" t="str">
        <x:f>IF(A640="","",SUMIFS('출고대장'!$K$7:$K$1006,'출고대장'!$A$7:$A$1006,A640))</x:f>
      </x:c>
      <x:c r="J640" s="12" t="str">
        <x:f>IF(A640="","",SUMIFS('입금대장'!$C$7:$C$1006,'입금대장'!$A$7:$A$1006,A640,'입금대장'!$E$7:$E$1006,"정상"))</x:f>
      </x:c>
      <x:c r="K640" s="12" t="str">
        <x:f>IF(A640="","",I640-J640)</x:f>
      </x:c>
      <x:c r="L640" s="13" t="str">
        <x:f>IF(A640="","",IF(K640&lt;0,"선입금·초과입금",IF(I640=0,"청구 전",IF(K640=0,"정산 완료",IF(J640=0,"미입금","부분 입금")))))</x:f>
      </x:c>
      <x:c r="M640" s="9"/>
      <x:c r="N640" s="9"/>
    </x:row>
    <x:row r="641" ht="23" customHeight="1">
      <x:c r="A641" s="9"/>
      <x:c r="B641" s="10"/>
      <x:c r="C641" s="9"/>
      <x:c r="D641" s="9"/>
      <x:c r="E641" s="9"/>
      <x:c r="F641" s="11"/>
      <x:c r="G641" s="12" t="str">
        <x:f>IF(A641="","",SUMIFS('출고대장'!$D$7:$D$1006,'출고대장'!$A$7:$A$1006,A641))</x:f>
      </x:c>
      <x:c r="H641" s="12" t="str">
        <x:f>IF(A641="","",F641-G641)</x:f>
      </x:c>
      <x:c r="I641" s="12" t="str">
        <x:f>IF(A641="","",SUMIFS('출고대장'!$K$7:$K$1006,'출고대장'!$A$7:$A$1006,A641))</x:f>
      </x:c>
      <x:c r="J641" s="12" t="str">
        <x:f>IF(A641="","",SUMIFS('입금대장'!$C$7:$C$1006,'입금대장'!$A$7:$A$1006,A641,'입금대장'!$E$7:$E$1006,"정상"))</x:f>
      </x:c>
      <x:c r="K641" s="12" t="str">
        <x:f>IF(A641="","",I641-J641)</x:f>
      </x:c>
      <x:c r="L641" s="13" t="str">
        <x:f>IF(A641="","",IF(K641&lt;0,"선입금·초과입금",IF(I641=0,"청구 전",IF(K641=0,"정산 완료",IF(J641=0,"미입금","부분 입금")))))</x:f>
      </x:c>
      <x:c r="M641" s="9"/>
      <x:c r="N641" s="9"/>
    </x:row>
    <x:row r="642" ht="23" customHeight="1">
      <x:c r="A642" s="9"/>
      <x:c r="B642" s="10"/>
      <x:c r="C642" s="9"/>
      <x:c r="D642" s="9"/>
      <x:c r="E642" s="9"/>
      <x:c r="F642" s="11"/>
      <x:c r="G642" s="12" t="str">
        <x:f>IF(A642="","",SUMIFS('출고대장'!$D$7:$D$1006,'출고대장'!$A$7:$A$1006,A642))</x:f>
      </x:c>
      <x:c r="H642" s="12" t="str">
        <x:f>IF(A642="","",F642-G642)</x:f>
      </x:c>
      <x:c r="I642" s="12" t="str">
        <x:f>IF(A642="","",SUMIFS('출고대장'!$K$7:$K$1006,'출고대장'!$A$7:$A$1006,A642))</x:f>
      </x:c>
      <x:c r="J642" s="12" t="str">
        <x:f>IF(A642="","",SUMIFS('입금대장'!$C$7:$C$1006,'입금대장'!$A$7:$A$1006,A642,'입금대장'!$E$7:$E$1006,"정상"))</x:f>
      </x:c>
      <x:c r="K642" s="12" t="str">
        <x:f>IF(A642="","",I642-J642)</x:f>
      </x:c>
      <x:c r="L642" s="13" t="str">
        <x:f>IF(A642="","",IF(K642&lt;0,"선입금·초과입금",IF(I642=0,"청구 전",IF(K642=0,"정산 완료",IF(J642=0,"미입금","부분 입금")))))</x:f>
      </x:c>
      <x:c r="M642" s="9"/>
      <x:c r="N642" s="9"/>
    </x:row>
    <x:row r="643" ht="23" customHeight="1">
      <x:c r="A643" s="9"/>
      <x:c r="B643" s="10"/>
      <x:c r="C643" s="9"/>
      <x:c r="D643" s="9"/>
      <x:c r="E643" s="9"/>
      <x:c r="F643" s="11"/>
      <x:c r="G643" s="12" t="str">
        <x:f>IF(A643="","",SUMIFS('출고대장'!$D$7:$D$1006,'출고대장'!$A$7:$A$1006,A643))</x:f>
      </x:c>
      <x:c r="H643" s="12" t="str">
        <x:f>IF(A643="","",F643-G643)</x:f>
      </x:c>
      <x:c r="I643" s="12" t="str">
        <x:f>IF(A643="","",SUMIFS('출고대장'!$K$7:$K$1006,'출고대장'!$A$7:$A$1006,A643))</x:f>
      </x:c>
      <x:c r="J643" s="12" t="str">
        <x:f>IF(A643="","",SUMIFS('입금대장'!$C$7:$C$1006,'입금대장'!$A$7:$A$1006,A643,'입금대장'!$E$7:$E$1006,"정상"))</x:f>
      </x:c>
      <x:c r="K643" s="12" t="str">
        <x:f>IF(A643="","",I643-J643)</x:f>
      </x:c>
      <x:c r="L643" s="13" t="str">
        <x:f>IF(A643="","",IF(K643&lt;0,"선입금·초과입금",IF(I643=0,"청구 전",IF(K643=0,"정산 완료",IF(J643=0,"미입금","부분 입금")))))</x:f>
      </x:c>
      <x:c r="M643" s="9"/>
      <x:c r="N643" s="9"/>
    </x:row>
    <x:row r="644" ht="23" customHeight="1">
      <x:c r="A644" s="9"/>
      <x:c r="B644" s="10"/>
      <x:c r="C644" s="9"/>
      <x:c r="D644" s="9"/>
      <x:c r="E644" s="9"/>
      <x:c r="F644" s="11"/>
      <x:c r="G644" s="12" t="str">
        <x:f>IF(A644="","",SUMIFS('출고대장'!$D$7:$D$1006,'출고대장'!$A$7:$A$1006,A644))</x:f>
      </x:c>
      <x:c r="H644" s="12" t="str">
        <x:f>IF(A644="","",F644-G644)</x:f>
      </x:c>
      <x:c r="I644" s="12" t="str">
        <x:f>IF(A644="","",SUMIFS('출고대장'!$K$7:$K$1006,'출고대장'!$A$7:$A$1006,A644))</x:f>
      </x:c>
      <x:c r="J644" s="12" t="str">
        <x:f>IF(A644="","",SUMIFS('입금대장'!$C$7:$C$1006,'입금대장'!$A$7:$A$1006,A644,'입금대장'!$E$7:$E$1006,"정상"))</x:f>
      </x:c>
      <x:c r="K644" s="12" t="str">
        <x:f>IF(A644="","",I644-J644)</x:f>
      </x:c>
      <x:c r="L644" s="13" t="str">
        <x:f>IF(A644="","",IF(K644&lt;0,"선입금·초과입금",IF(I644=0,"청구 전",IF(K644=0,"정산 완료",IF(J644=0,"미입금","부분 입금")))))</x:f>
      </x:c>
      <x:c r="M644" s="9"/>
      <x:c r="N644" s="9"/>
    </x:row>
    <x:row r="645" ht="23" customHeight="1">
      <x:c r="A645" s="9"/>
      <x:c r="B645" s="10"/>
      <x:c r="C645" s="9"/>
      <x:c r="D645" s="9"/>
      <x:c r="E645" s="9"/>
      <x:c r="F645" s="11"/>
      <x:c r="G645" s="12" t="str">
        <x:f>IF(A645="","",SUMIFS('출고대장'!$D$7:$D$1006,'출고대장'!$A$7:$A$1006,A645))</x:f>
      </x:c>
      <x:c r="H645" s="12" t="str">
        <x:f>IF(A645="","",F645-G645)</x:f>
      </x:c>
      <x:c r="I645" s="12" t="str">
        <x:f>IF(A645="","",SUMIFS('출고대장'!$K$7:$K$1006,'출고대장'!$A$7:$A$1006,A645))</x:f>
      </x:c>
      <x:c r="J645" s="12" t="str">
        <x:f>IF(A645="","",SUMIFS('입금대장'!$C$7:$C$1006,'입금대장'!$A$7:$A$1006,A645,'입금대장'!$E$7:$E$1006,"정상"))</x:f>
      </x:c>
      <x:c r="K645" s="12" t="str">
        <x:f>IF(A645="","",I645-J645)</x:f>
      </x:c>
      <x:c r="L645" s="13" t="str">
        <x:f>IF(A645="","",IF(K645&lt;0,"선입금·초과입금",IF(I645=0,"청구 전",IF(K645=0,"정산 완료",IF(J645=0,"미입금","부분 입금")))))</x:f>
      </x:c>
      <x:c r="M645" s="9"/>
      <x:c r="N645" s="9"/>
    </x:row>
    <x:row r="646" ht="23" customHeight="1">
      <x:c r="A646" s="9"/>
      <x:c r="B646" s="10"/>
      <x:c r="C646" s="9"/>
      <x:c r="D646" s="9"/>
      <x:c r="E646" s="9"/>
      <x:c r="F646" s="11"/>
      <x:c r="G646" s="12" t="str">
        <x:f>IF(A646="","",SUMIFS('출고대장'!$D$7:$D$1006,'출고대장'!$A$7:$A$1006,A646))</x:f>
      </x:c>
      <x:c r="H646" s="12" t="str">
        <x:f>IF(A646="","",F646-G646)</x:f>
      </x:c>
      <x:c r="I646" s="12" t="str">
        <x:f>IF(A646="","",SUMIFS('출고대장'!$K$7:$K$1006,'출고대장'!$A$7:$A$1006,A646))</x:f>
      </x:c>
      <x:c r="J646" s="12" t="str">
        <x:f>IF(A646="","",SUMIFS('입금대장'!$C$7:$C$1006,'입금대장'!$A$7:$A$1006,A646,'입금대장'!$E$7:$E$1006,"정상"))</x:f>
      </x:c>
      <x:c r="K646" s="12" t="str">
        <x:f>IF(A646="","",I646-J646)</x:f>
      </x:c>
      <x:c r="L646" s="13" t="str">
        <x:f>IF(A646="","",IF(K646&lt;0,"선입금·초과입금",IF(I646=0,"청구 전",IF(K646=0,"정산 완료",IF(J646=0,"미입금","부분 입금")))))</x:f>
      </x:c>
      <x:c r="M646" s="9"/>
      <x:c r="N646" s="9"/>
    </x:row>
    <x:row r="647" ht="23" customHeight="1">
      <x:c r="A647" s="9"/>
      <x:c r="B647" s="10"/>
      <x:c r="C647" s="9"/>
      <x:c r="D647" s="9"/>
      <x:c r="E647" s="9"/>
      <x:c r="F647" s="11"/>
      <x:c r="G647" s="12" t="str">
        <x:f>IF(A647="","",SUMIFS('출고대장'!$D$7:$D$1006,'출고대장'!$A$7:$A$1006,A647))</x:f>
      </x:c>
      <x:c r="H647" s="12" t="str">
        <x:f>IF(A647="","",F647-G647)</x:f>
      </x:c>
      <x:c r="I647" s="12" t="str">
        <x:f>IF(A647="","",SUMIFS('출고대장'!$K$7:$K$1006,'출고대장'!$A$7:$A$1006,A647))</x:f>
      </x:c>
      <x:c r="J647" s="12" t="str">
        <x:f>IF(A647="","",SUMIFS('입금대장'!$C$7:$C$1006,'입금대장'!$A$7:$A$1006,A647,'입금대장'!$E$7:$E$1006,"정상"))</x:f>
      </x:c>
      <x:c r="K647" s="12" t="str">
        <x:f>IF(A647="","",I647-J647)</x:f>
      </x:c>
      <x:c r="L647" s="13" t="str">
        <x:f>IF(A647="","",IF(K647&lt;0,"선입금·초과입금",IF(I647=0,"청구 전",IF(K647=0,"정산 완료",IF(J647=0,"미입금","부분 입금")))))</x:f>
      </x:c>
      <x:c r="M647" s="9"/>
      <x:c r="N647" s="9"/>
    </x:row>
    <x:row r="648" ht="23" customHeight="1">
      <x:c r="A648" s="9"/>
      <x:c r="B648" s="10"/>
      <x:c r="C648" s="9"/>
      <x:c r="D648" s="9"/>
      <x:c r="E648" s="9"/>
      <x:c r="F648" s="11"/>
      <x:c r="G648" s="12" t="str">
        <x:f>IF(A648="","",SUMIFS('출고대장'!$D$7:$D$1006,'출고대장'!$A$7:$A$1006,A648))</x:f>
      </x:c>
      <x:c r="H648" s="12" t="str">
        <x:f>IF(A648="","",F648-G648)</x:f>
      </x:c>
      <x:c r="I648" s="12" t="str">
        <x:f>IF(A648="","",SUMIFS('출고대장'!$K$7:$K$1006,'출고대장'!$A$7:$A$1006,A648))</x:f>
      </x:c>
      <x:c r="J648" s="12" t="str">
        <x:f>IF(A648="","",SUMIFS('입금대장'!$C$7:$C$1006,'입금대장'!$A$7:$A$1006,A648,'입금대장'!$E$7:$E$1006,"정상"))</x:f>
      </x:c>
      <x:c r="K648" s="12" t="str">
        <x:f>IF(A648="","",I648-J648)</x:f>
      </x:c>
      <x:c r="L648" s="13" t="str">
        <x:f>IF(A648="","",IF(K648&lt;0,"선입금·초과입금",IF(I648=0,"청구 전",IF(K648=0,"정산 완료",IF(J648=0,"미입금","부분 입금")))))</x:f>
      </x:c>
      <x:c r="M648" s="9"/>
      <x:c r="N648" s="9"/>
    </x:row>
    <x:row r="649" ht="23" customHeight="1">
      <x:c r="A649" s="9"/>
      <x:c r="B649" s="10"/>
      <x:c r="C649" s="9"/>
      <x:c r="D649" s="9"/>
      <x:c r="E649" s="9"/>
      <x:c r="F649" s="11"/>
      <x:c r="G649" s="12" t="str">
        <x:f>IF(A649="","",SUMIFS('출고대장'!$D$7:$D$1006,'출고대장'!$A$7:$A$1006,A649))</x:f>
      </x:c>
      <x:c r="H649" s="12" t="str">
        <x:f>IF(A649="","",F649-G649)</x:f>
      </x:c>
      <x:c r="I649" s="12" t="str">
        <x:f>IF(A649="","",SUMIFS('출고대장'!$K$7:$K$1006,'출고대장'!$A$7:$A$1006,A649))</x:f>
      </x:c>
      <x:c r="J649" s="12" t="str">
        <x:f>IF(A649="","",SUMIFS('입금대장'!$C$7:$C$1006,'입금대장'!$A$7:$A$1006,A649,'입금대장'!$E$7:$E$1006,"정상"))</x:f>
      </x:c>
      <x:c r="K649" s="12" t="str">
        <x:f>IF(A649="","",I649-J649)</x:f>
      </x:c>
      <x:c r="L649" s="13" t="str">
        <x:f>IF(A649="","",IF(K649&lt;0,"선입금·초과입금",IF(I649=0,"청구 전",IF(K649=0,"정산 완료",IF(J649=0,"미입금","부분 입금")))))</x:f>
      </x:c>
      <x:c r="M649" s="9"/>
      <x:c r="N649" s="9"/>
    </x:row>
    <x:row r="650" ht="23" customHeight="1">
      <x:c r="A650" s="9"/>
      <x:c r="B650" s="10"/>
      <x:c r="C650" s="9"/>
      <x:c r="D650" s="9"/>
      <x:c r="E650" s="9"/>
      <x:c r="F650" s="11"/>
      <x:c r="G650" s="12" t="str">
        <x:f>IF(A650="","",SUMIFS('출고대장'!$D$7:$D$1006,'출고대장'!$A$7:$A$1006,A650))</x:f>
      </x:c>
      <x:c r="H650" s="12" t="str">
        <x:f>IF(A650="","",F650-G650)</x:f>
      </x:c>
      <x:c r="I650" s="12" t="str">
        <x:f>IF(A650="","",SUMIFS('출고대장'!$K$7:$K$1006,'출고대장'!$A$7:$A$1006,A650))</x:f>
      </x:c>
      <x:c r="J650" s="12" t="str">
        <x:f>IF(A650="","",SUMIFS('입금대장'!$C$7:$C$1006,'입금대장'!$A$7:$A$1006,A650,'입금대장'!$E$7:$E$1006,"정상"))</x:f>
      </x:c>
      <x:c r="K650" s="12" t="str">
        <x:f>IF(A650="","",I650-J650)</x:f>
      </x:c>
      <x:c r="L650" s="13" t="str">
        <x:f>IF(A650="","",IF(K650&lt;0,"선입금·초과입금",IF(I650=0,"청구 전",IF(K650=0,"정산 완료",IF(J650=0,"미입금","부분 입금")))))</x:f>
      </x:c>
      <x:c r="M650" s="9"/>
      <x:c r="N650" s="9"/>
    </x:row>
    <x:row r="651" ht="23" customHeight="1">
      <x:c r="A651" s="9"/>
      <x:c r="B651" s="10"/>
      <x:c r="C651" s="9"/>
      <x:c r="D651" s="9"/>
      <x:c r="E651" s="9"/>
      <x:c r="F651" s="11"/>
      <x:c r="G651" s="12" t="str">
        <x:f>IF(A651="","",SUMIFS('출고대장'!$D$7:$D$1006,'출고대장'!$A$7:$A$1006,A651))</x:f>
      </x:c>
      <x:c r="H651" s="12" t="str">
        <x:f>IF(A651="","",F651-G651)</x:f>
      </x:c>
      <x:c r="I651" s="12" t="str">
        <x:f>IF(A651="","",SUMIFS('출고대장'!$K$7:$K$1006,'출고대장'!$A$7:$A$1006,A651))</x:f>
      </x:c>
      <x:c r="J651" s="12" t="str">
        <x:f>IF(A651="","",SUMIFS('입금대장'!$C$7:$C$1006,'입금대장'!$A$7:$A$1006,A651,'입금대장'!$E$7:$E$1006,"정상"))</x:f>
      </x:c>
      <x:c r="K651" s="12" t="str">
        <x:f>IF(A651="","",I651-J651)</x:f>
      </x:c>
      <x:c r="L651" s="13" t="str">
        <x:f>IF(A651="","",IF(K651&lt;0,"선입금·초과입금",IF(I651=0,"청구 전",IF(K651=0,"정산 완료",IF(J651=0,"미입금","부분 입금")))))</x:f>
      </x:c>
      <x:c r="M651" s="9"/>
      <x:c r="N651" s="9"/>
    </x:row>
    <x:row r="652" ht="23" customHeight="1">
      <x:c r="A652" s="9"/>
      <x:c r="B652" s="10"/>
      <x:c r="C652" s="9"/>
      <x:c r="D652" s="9"/>
      <x:c r="E652" s="9"/>
      <x:c r="F652" s="11"/>
      <x:c r="G652" s="12" t="str">
        <x:f>IF(A652="","",SUMIFS('출고대장'!$D$7:$D$1006,'출고대장'!$A$7:$A$1006,A652))</x:f>
      </x:c>
      <x:c r="H652" s="12" t="str">
        <x:f>IF(A652="","",F652-G652)</x:f>
      </x:c>
      <x:c r="I652" s="12" t="str">
        <x:f>IF(A652="","",SUMIFS('출고대장'!$K$7:$K$1006,'출고대장'!$A$7:$A$1006,A652))</x:f>
      </x:c>
      <x:c r="J652" s="12" t="str">
        <x:f>IF(A652="","",SUMIFS('입금대장'!$C$7:$C$1006,'입금대장'!$A$7:$A$1006,A652,'입금대장'!$E$7:$E$1006,"정상"))</x:f>
      </x:c>
      <x:c r="K652" s="12" t="str">
        <x:f>IF(A652="","",I652-J652)</x:f>
      </x:c>
      <x:c r="L652" s="13" t="str">
        <x:f>IF(A652="","",IF(K652&lt;0,"선입금·초과입금",IF(I652=0,"청구 전",IF(K652=0,"정산 완료",IF(J652=0,"미입금","부분 입금")))))</x:f>
      </x:c>
      <x:c r="M652" s="9"/>
      <x:c r="N652" s="9"/>
    </x:row>
    <x:row r="653" ht="23" customHeight="1">
      <x:c r="A653" s="9"/>
      <x:c r="B653" s="10"/>
      <x:c r="C653" s="9"/>
      <x:c r="D653" s="9"/>
      <x:c r="E653" s="9"/>
      <x:c r="F653" s="11"/>
      <x:c r="G653" s="12" t="str">
        <x:f>IF(A653="","",SUMIFS('출고대장'!$D$7:$D$1006,'출고대장'!$A$7:$A$1006,A653))</x:f>
      </x:c>
      <x:c r="H653" s="12" t="str">
        <x:f>IF(A653="","",F653-G653)</x:f>
      </x:c>
      <x:c r="I653" s="12" t="str">
        <x:f>IF(A653="","",SUMIFS('출고대장'!$K$7:$K$1006,'출고대장'!$A$7:$A$1006,A653))</x:f>
      </x:c>
      <x:c r="J653" s="12" t="str">
        <x:f>IF(A653="","",SUMIFS('입금대장'!$C$7:$C$1006,'입금대장'!$A$7:$A$1006,A653,'입금대장'!$E$7:$E$1006,"정상"))</x:f>
      </x:c>
      <x:c r="K653" s="12" t="str">
        <x:f>IF(A653="","",I653-J653)</x:f>
      </x:c>
      <x:c r="L653" s="13" t="str">
        <x:f>IF(A653="","",IF(K653&lt;0,"선입금·초과입금",IF(I653=0,"청구 전",IF(K653=0,"정산 완료",IF(J653=0,"미입금","부분 입금")))))</x:f>
      </x:c>
      <x:c r="M653" s="9"/>
      <x:c r="N653" s="9"/>
    </x:row>
    <x:row r="654" ht="23" customHeight="1">
      <x:c r="A654" s="9"/>
      <x:c r="B654" s="10"/>
      <x:c r="C654" s="9"/>
      <x:c r="D654" s="9"/>
      <x:c r="E654" s="9"/>
      <x:c r="F654" s="11"/>
      <x:c r="G654" s="12" t="str">
        <x:f>IF(A654="","",SUMIFS('출고대장'!$D$7:$D$1006,'출고대장'!$A$7:$A$1006,A654))</x:f>
      </x:c>
      <x:c r="H654" s="12" t="str">
        <x:f>IF(A654="","",F654-G654)</x:f>
      </x:c>
      <x:c r="I654" s="12" t="str">
        <x:f>IF(A654="","",SUMIFS('출고대장'!$K$7:$K$1006,'출고대장'!$A$7:$A$1006,A654))</x:f>
      </x:c>
      <x:c r="J654" s="12" t="str">
        <x:f>IF(A654="","",SUMIFS('입금대장'!$C$7:$C$1006,'입금대장'!$A$7:$A$1006,A654,'입금대장'!$E$7:$E$1006,"정상"))</x:f>
      </x:c>
      <x:c r="K654" s="12" t="str">
        <x:f>IF(A654="","",I654-J654)</x:f>
      </x:c>
      <x:c r="L654" s="13" t="str">
        <x:f>IF(A654="","",IF(K654&lt;0,"선입금·초과입금",IF(I654=0,"청구 전",IF(K654=0,"정산 완료",IF(J654=0,"미입금","부분 입금")))))</x:f>
      </x:c>
      <x:c r="M654" s="9"/>
      <x:c r="N654" s="9"/>
    </x:row>
    <x:row r="655" ht="23" customHeight="1">
      <x:c r="A655" s="9"/>
      <x:c r="B655" s="10"/>
      <x:c r="C655" s="9"/>
      <x:c r="D655" s="9"/>
      <x:c r="E655" s="9"/>
      <x:c r="F655" s="11"/>
      <x:c r="G655" s="12" t="str">
        <x:f>IF(A655="","",SUMIFS('출고대장'!$D$7:$D$1006,'출고대장'!$A$7:$A$1006,A655))</x:f>
      </x:c>
      <x:c r="H655" s="12" t="str">
        <x:f>IF(A655="","",F655-G655)</x:f>
      </x:c>
      <x:c r="I655" s="12" t="str">
        <x:f>IF(A655="","",SUMIFS('출고대장'!$K$7:$K$1006,'출고대장'!$A$7:$A$1006,A655))</x:f>
      </x:c>
      <x:c r="J655" s="12" t="str">
        <x:f>IF(A655="","",SUMIFS('입금대장'!$C$7:$C$1006,'입금대장'!$A$7:$A$1006,A655,'입금대장'!$E$7:$E$1006,"정상"))</x:f>
      </x:c>
      <x:c r="K655" s="12" t="str">
        <x:f>IF(A655="","",I655-J655)</x:f>
      </x:c>
      <x:c r="L655" s="13" t="str">
        <x:f>IF(A655="","",IF(K655&lt;0,"선입금·초과입금",IF(I655=0,"청구 전",IF(K655=0,"정산 완료",IF(J655=0,"미입금","부분 입금")))))</x:f>
      </x:c>
      <x:c r="M655" s="9"/>
      <x:c r="N655" s="9"/>
    </x:row>
    <x:row r="656" ht="23" customHeight="1">
      <x:c r="A656" s="9"/>
      <x:c r="B656" s="10"/>
      <x:c r="C656" s="9"/>
      <x:c r="D656" s="9"/>
      <x:c r="E656" s="9"/>
      <x:c r="F656" s="11"/>
      <x:c r="G656" s="12" t="str">
        <x:f>IF(A656="","",SUMIFS('출고대장'!$D$7:$D$1006,'출고대장'!$A$7:$A$1006,A656))</x:f>
      </x:c>
      <x:c r="H656" s="12" t="str">
        <x:f>IF(A656="","",F656-G656)</x:f>
      </x:c>
      <x:c r="I656" s="12" t="str">
        <x:f>IF(A656="","",SUMIFS('출고대장'!$K$7:$K$1006,'출고대장'!$A$7:$A$1006,A656))</x:f>
      </x:c>
      <x:c r="J656" s="12" t="str">
        <x:f>IF(A656="","",SUMIFS('입금대장'!$C$7:$C$1006,'입금대장'!$A$7:$A$1006,A656,'입금대장'!$E$7:$E$1006,"정상"))</x:f>
      </x:c>
      <x:c r="K656" s="12" t="str">
        <x:f>IF(A656="","",I656-J656)</x:f>
      </x:c>
      <x:c r="L656" s="13" t="str">
        <x:f>IF(A656="","",IF(K656&lt;0,"선입금·초과입금",IF(I656=0,"청구 전",IF(K656=0,"정산 완료",IF(J656=0,"미입금","부분 입금")))))</x:f>
      </x:c>
      <x:c r="M656" s="9"/>
      <x:c r="N656" s="9"/>
    </x:row>
    <x:row r="657" ht="23" customHeight="1">
      <x:c r="A657" s="9"/>
      <x:c r="B657" s="10"/>
      <x:c r="C657" s="9"/>
      <x:c r="D657" s="9"/>
      <x:c r="E657" s="9"/>
      <x:c r="F657" s="11"/>
      <x:c r="G657" s="12" t="str">
        <x:f>IF(A657="","",SUMIFS('출고대장'!$D$7:$D$1006,'출고대장'!$A$7:$A$1006,A657))</x:f>
      </x:c>
      <x:c r="H657" s="12" t="str">
        <x:f>IF(A657="","",F657-G657)</x:f>
      </x:c>
      <x:c r="I657" s="12" t="str">
        <x:f>IF(A657="","",SUMIFS('출고대장'!$K$7:$K$1006,'출고대장'!$A$7:$A$1006,A657))</x:f>
      </x:c>
      <x:c r="J657" s="12" t="str">
        <x:f>IF(A657="","",SUMIFS('입금대장'!$C$7:$C$1006,'입금대장'!$A$7:$A$1006,A657,'입금대장'!$E$7:$E$1006,"정상"))</x:f>
      </x:c>
      <x:c r="K657" s="12" t="str">
        <x:f>IF(A657="","",I657-J657)</x:f>
      </x:c>
      <x:c r="L657" s="13" t="str">
        <x:f>IF(A657="","",IF(K657&lt;0,"선입금·초과입금",IF(I657=0,"청구 전",IF(K657=0,"정산 완료",IF(J657=0,"미입금","부분 입금")))))</x:f>
      </x:c>
      <x:c r="M657" s="9"/>
      <x:c r="N657" s="9"/>
    </x:row>
    <x:row r="658" ht="23" customHeight="1">
      <x:c r="A658" s="9"/>
      <x:c r="B658" s="10"/>
      <x:c r="C658" s="9"/>
      <x:c r="D658" s="9"/>
      <x:c r="E658" s="9"/>
      <x:c r="F658" s="11"/>
      <x:c r="G658" s="12" t="str">
        <x:f>IF(A658="","",SUMIFS('출고대장'!$D$7:$D$1006,'출고대장'!$A$7:$A$1006,A658))</x:f>
      </x:c>
      <x:c r="H658" s="12" t="str">
        <x:f>IF(A658="","",F658-G658)</x:f>
      </x:c>
      <x:c r="I658" s="12" t="str">
        <x:f>IF(A658="","",SUMIFS('출고대장'!$K$7:$K$1006,'출고대장'!$A$7:$A$1006,A658))</x:f>
      </x:c>
      <x:c r="J658" s="12" t="str">
        <x:f>IF(A658="","",SUMIFS('입금대장'!$C$7:$C$1006,'입금대장'!$A$7:$A$1006,A658,'입금대장'!$E$7:$E$1006,"정상"))</x:f>
      </x:c>
      <x:c r="K658" s="12" t="str">
        <x:f>IF(A658="","",I658-J658)</x:f>
      </x:c>
      <x:c r="L658" s="13" t="str">
        <x:f>IF(A658="","",IF(K658&lt;0,"선입금·초과입금",IF(I658=0,"청구 전",IF(K658=0,"정산 완료",IF(J658=0,"미입금","부분 입금")))))</x:f>
      </x:c>
      <x:c r="M658" s="9"/>
      <x:c r="N658" s="9"/>
    </x:row>
    <x:row r="659" ht="23" customHeight="1">
      <x:c r="A659" s="9"/>
      <x:c r="B659" s="10"/>
      <x:c r="C659" s="9"/>
      <x:c r="D659" s="9"/>
      <x:c r="E659" s="9"/>
      <x:c r="F659" s="11"/>
      <x:c r="G659" s="12" t="str">
        <x:f>IF(A659="","",SUMIFS('출고대장'!$D$7:$D$1006,'출고대장'!$A$7:$A$1006,A659))</x:f>
      </x:c>
      <x:c r="H659" s="12" t="str">
        <x:f>IF(A659="","",F659-G659)</x:f>
      </x:c>
      <x:c r="I659" s="12" t="str">
        <x:f>IF(A659="","",SUMIFS('출고대장'!$K$7:$K$1006,'출고대장'!$A$7:$A$1006,A659))</x:f>
      </x:c>
      <x:c r="J659" s="12" t="str">
        <x:f>IF(A659="","",SUMIFS('입금대장'!$C$7:$C$1006,'입금대장'!$A$7:$A$1006,A659,'입금대장'!$E$7:$E$1006,"정상"))</x:f>
      </x:c>
      <x:c r="K659" s="12" t="str">
        <x:f>IF(A659="","",I659-J659)</x:f>
      </x:c>
      <x:c r="L659" s="13" t="str">
        <x:f>IF(A659="","",IF(K659&lt;0,"선입금·초과입금",IF(I659=0,"청구 전",IF(K659=0,"정산 완료",IF(J659=0,"미입금","부분 입금")))))</x:f>
      </x:c>
      <x:c r="M659" s="9"/>
      <x:c r="N659" s="9"/>
    </x:row>
    <x:row r="660" ht="23" customHeight="1">
      <x:c r="A660" s="9"/>
      <x:c r="B660" s="10"/>
      <x:c r="C660" s="9"/>
      <x:c r="D660" s="9"/>
      <x:c r="E660" s="9"/>
      <x:c r="F660" s="11"/>
      <x:c r="G660" s="12" t="str">
        <x:f>IF(A660="","",SUMIFS('출고대장'!$D$7:$D$1006,'출고대장'!$A$7:$A$1006,A660))</x:f>
      </x:c>
      <x:c r="H660" s="12" t="str">
        <x:f>IF(A660="","",F660-G660)</x:f>
      </x:c>
      <x:c r="I660" s="12" t="str">
        <x:f>IF(A660="","",SUMIFS('출고대장'!$K$7:$K$1006,'출고대장'!$A$7:$A$1006,A660))</x:f>
      </x:c>
      <x:c r="J660" s="12" t="str">
        <x:f>IF(A660="","",SUMIFS('입금대장'!$C$7:$C$1006,'입금대장'!$A$7:$A$1006,A660,'입금대장'!$E$7:$E$1006,"정상"))</x:f>
      </x:c>
      <x:c r="K660" s="12" t="str">
        <x:f>IF(A660="","",I660-J660)</x:f>
      </x:c>
      <x:c r="L660" s="13" t="str">
        <x:f>IF(A660="","",IF(K660&lt;0,"선입금·초과입금",IF(I660=0,"청구 전",IF(K660=0,"정산 완료",IF(J660=0,"미입금","부분 입금")))))</x:f>
      </x:c>
      <x:c r="M660" s="9"/>
      <x:c r="N660" s="9"/>
    </x:row>
    <x:row r="661" ht="23" customHeight="1">
      <x:c r="A661" s="9"/>
      <x:c r="B661" s="10"/>
      <x:c r="C661" s="9"/>
      <x:c r="D661" s="9"/>
      <x:c r="E661" s="9"/>
      <x:c r="F661" s="11"/>
      <x:c r="G661" s="12" t="str">
        <x:f>IF(A661="","",SUMIFS('출고대장'!$D$7:$D$1006,'출고대장'!$A$7:$A$1006,A661))</x:f>
      </x:c>
      <x:c r="H661" s="12" t="str">
        <x:f>IF(A661="","",F661-G661)</x:f>
      </x:c>
      <x:c r="I661" s="12" t="str">
        <x:f>IF(A661="","",SUMIFS('출고대장'!$K$7:$K$1006,'출고대장'!$A$7:$A$1006,A661))</x:f>
      </x:c>
      <x:c r="J661" s="12" t="str">
        <x:f>IF(A661="","",SUMIFS('입금대장'!$C$7:$C$1006,'입금대장'!$A$7:$A$1006,A661,'입금대장'!$E$7:$E$1006,"정상"))</x:f>
      </x:c>
      <x:c r="K661" s="12" t="str">
        <x:f>IF(A661="","",I661-J661)</x:f>
      </x:c>
      <x:c r="L661" s="13" t="str">
        <x:f>IF(A661="","",IF(K661&lt;0,"선입금·초과입금",IF(I661=0,"청구 전",IF(K661=0,"정산 완료",IF(J661=0,"미입금","부분 입금")))))</x:f>
      </x:c>
      <x:c r="M661" s="9"/>
      <x:c r="N661" s="9"/>
    </x:row>
    <x:row r="662" ht="23" customHeight="1">
      <x:c r="A662" s="9"/>
      <x:c r="B662" s="10"/>
      <x:c r="C662" s="9"/>
      <x:c r="D662" s="9"/>
      <x:c r="E662" s="9"/>
      <x:c r="F662" s="11"/>
      <x:c r="G662" s="12" t="str">
        <x:f>IF(A662="","",SUMIFS('출고대장'!$D$7:$D$1006,'출고대장'!$A$7:$A$1006,A662))</x:f>
      </x:c>
      <x:c r="H662" s="12" t="str">
        <x:f>IF(A662="","",F662-G662)</x:f>
      </x:c>
      <x:c r="I662" s="12" t="str">
        <x:f>IF(A662="","",SUMIFS('출고대장'!$K$7:$K$1006,'출고대장'!$A$7:$A$1006,A662))</x:f>
      </x:c>
      <x:c r="J662" s="12" t="str">
        <x:f>IF(A662="","",SUMIFS('입금대장'!$C$7:$C$1006,'입금대장'!$A$7:$A$1006,A662,'입금대장'!$E$7:$E$1006,"정상"))</x:f>
      </x:c>
      <x:c r="K662" s="12" t="str">
        <x:f>IF(A662="","",I662-J662)</x:f>
      </x:c>
      <x:c r="L662" s="13" t="str">
        <x:f>IF(A662="","",IF(K662&lt;0,"선입금·초과입금",IF(I662=0,"청구 전",IF(K662=0,"정산 완료",IF(J662=0,"미입금","부분 입금")))))</x:f>
      </x:c>
      <x:c r="M662" s="9"/>
      <x:c r="N662" s="9"/>
    </x:row>
    <x:row r="663" ht="23" customHeight="1">
      <x:c r="A663" s="9"/>
      <x:c r="B663" s="10"/>
      <x:c r="C663" s="9"/>
      <x:c r="D663" s="9"/>
      <x:c r="E663" s="9"/>
      <x:c r="F663" s="11"/>
      <x:c r="G663" s="12" t="str">
        <x:f>IF(A663="","",SUMIFS('출고대장'!$D$7:$D$1006,'출고대장'!$A$7:$A$1006,A663))</x:f>
      </x:c>
      <x:c r="H663" s="12" t="str">
        <x:f>IF(A663="","",F663-G663)</x:f>
      </x:c>
      <x:c r="I663" s="12" t="str">
        <x:f>IF(A663="","",SUMIFS('출고대장'!$K$7:$K$1006,'출고대장'!$A$7:$A$1006,A663))</x:f>
      </x:c>
      <x:c r="J663" s="12" t="str">
        <x:f>IF(A663="","",SUMIFS('입금대장'!$C$7:$C$1006,'입금대장'!$A$7:$A$1006,A663,'입금대장'!$E$7:$E$1006,"정상"))</x:f>
      </x:c>
      <x:c r="K663" s="12" t="str">
        <x:f>IF(A663="","",I663-J663)</x:f>
      </x:c>
      <x:c r="L663" s="13" t="str">
        <x:f>IF(A663="","",IF(K663&lt;0,"선입금·초과입금",IF(I663=0,"청구 전",IF(K663=0,"정산 완료",IF(J663=0,"미입금","부분 입금")))))</x:f>
      </x:c>
      <x:c r="M663" s="9"/>
      <x:c r="N663" s="9"/>
    </x:row>
    <x:row r="664" ht="23" customHeight="1">
      <x:c r="A664" s="9"/>
      <x:c r="B664" s="10"/>
      <x:c r="C664" s="9"/>
      <x:c r="D664" s="9"/>
      <x:c r="E664" s="9"/>
      <x:c r="F664" s="11"/>
      <x:c r="G664" s="12" t="str">
        <x:f>IF(A664="","",SUMIFS('출고대장'!$D$7:$D$1006,'출고대장'!$A$7:$A$1006,A664))</x:f>
      </x:c>
      <x:c r="H664" s="12" t="str">
        <x:f>IF(A664="","",F664-G664)</x:f>
      </x:c>
      <x:c r="I664" s="12" t="str">
        <x:f>IF(A664="","",SUMIFS('출고대장'!$K$7:$K$1006,'출고대장'!$A$7:$A$1006,A664))</x:f>
      </x:c>
      <x:c r="J664" s="12" t="str">
        <x:f>IF(A664="","",SUMIFS('입금대장'!$C$7:$C$1006,'입금대장'!$A$7:$A$1006,A664,'입금대장'!$E$7:$E$1006,"정상"))</x:f>
      </x:c>
      <x:c r="K664" s="12" t="str">
        <x:f>IF(A664="","",I664-J664)</x:f>
      </x:c>
      <x:c r="L664" s="13" t="str">
        <x:f>IF(A664="","",IF(K664&lt;0,"선입금·초과입금",IF(I664=0,"청구 전",IF(K664=0,"정산 완료",IF(J664=0,"미입금","부분 입금")))))</x:f>
      </x:c>
      <x:c r="M664" s="9"/>
      <x:c r="N664" s="9"/>
    </x:row>
    <x:row r="665" ht="23" customHeight="1">
      <x:c r="A665" s="9"/>
      <x:c r="B665" s="10"/>
      <x:c r="C665" s="9"/>
      <x:c r="D665" s="9"/>
      <x:c r="E665" s="9"/>
      <x:c r="F665" s="11"/>
      <x:c r="G665" s="12" t="str">
        <x:f>IF(A665="","",SUMIFS('출고대장'!$D$7:$D$1006,'출고대장'!$A$7:$A$1006,A665))</x:f>
      </x:c>
      <x:c r="H665" s="12" t="str">
        <x:f>IF(A665="","",F665-G665)</x:f>
      </x:c>
      <x:c r="I665" s="12" t="str">
        <x:f>IF(A665="","",SUMIFS('출고대장'!$K$7:$K$1006,'출고대장'!$A$7:$A$1006,A665))</x:f>
      </x:c>
      <x:c r="J665" s="12" t="str">
        <x:f>IF(A665="","",SUMIFS('입금대장'!$C$7:$C$1006,'입금대장'!$A$7:$A$1006,A665,'입금대장'!$E$7:$E$1006,"정상"))</x:f>
      </x:c>
      <x:c r="K665" s="12" t="str">
        <x:f>IF(A665="","",I665-J665)</x:f>
      </x:c>
      <x:c r="L665" s="13" t="str">
        <x:f>IF(A665="","",IF(K665&lt;0,"선입금·초과입금",IF(I665=0,"청구 전",IF(K665=0,"정산 완료",IF(J665=0,"미입금","부분 입금")))))</x:f>
      </x:c>
      <x:c r="M665" s="9"/>
      <x:c r="N665" s="9"/>
    </x:row>
    <x:row r="666" ht="23" customHeight="1">
      <x:c r="A666" s="9"/>
      <x:c r="B666" s="10"/>
      <x:c r="C666" s="9"/>
      <x:c r="D666" s="9"/>
      <x:c r="E666" s="9"/>
      <x:c r="F666" s="11"/>
      <x:c r="G666" s="12" t="str">
        <x:f>IF(A666="","",SUMIFS('출고대장'!$D$7:$D$1006,'출고대장'!$A$7:$A$1006,A666))</x:f>
      </x:c>
      <x:c r="H666" s="12" t="str">
        <x:f>IF(A666="","",F666-G666)</x:f>
      </x:c>
      <x:c r="I666" s="12" t="str">
        <x:f>IF(A666="","",SUMIFS('출고대장'!$K$7:$K$1006,'출고대장'!$A$7:$A$1006,A666))</x:f>
      </x:c>
      <x:c r="J666" s="12" t="str">
        <x:f>IF(A666="","",SUMIFS('입금대장'!$C$7:$C$1006,'입금대장'!$A$7:$A$1006,A666,'입금대장'!$E$7:$E$1006,"정상"))</x:f>
      </x:c>
      <x:c r="K666" s="12" t="str">
        <x:f>IF(A666="","",I666-J666)</x:f>
      </x:c>
      <x:c r="L666" s="13" t="str">
        <x:f>IF(A666="","",IF(K666&lt;0,"선입금·초과입금",IF(I666=0,"청구 전",IF(K666=0,"정산 완료",IF(J666=0,"미입금","부분 입금")))))</x:f>
      </x:c>
      <x:c r="M666" s="9"/>
      <x:c r="N666" s="9"/>
    </x:row>
    <x:row r="667" ht="23" customHeight="1">
      <x:c r="A667" s="9"/>
      <x:c r="B667" s="10"/>
      <x:c r="C667" s="9"/>
      <x:c r="D667" s="9"/>
      <x:c r="E667" s="9"/>
      <x:c r="F667" s="11"/>
      <x:c r="G667" s="12" t="str">
        <x:f>IF(A667="","",SUMIFS('출고대장'!$D$7:$D$1006,'출고대장'!$A$7:$A$1006,A667))</x:f>
      </x:c>
      <x:c r="H667" s="12" t="str">
        <x:f>IF(A667="","",F667-G667)</x:f>
      </x:c>
      <x:c r="I667" s="12" t="str">
        <x:f>IF(A667="","",SUMIFS('출고대장'!$K$7:$K$1006,'출고대장'!$A$7:$A$1006,A667))</x:f>
      </x:c>
      <x:c r="J667" s="12" t="str">
        <x:f>IF(A667="","",SUMIFS('입금대장'!$C$7:$C$1006,'입금대장'!$A$7:$A$1006,A667,'입금대장'!$E$7:$E$1006,"정상"))</x:f>
      </x:c>
      <x:c r="K667" s="12" t="str">
        <x:f>IF(A667="","",I667-J667)</x:f>
      </x:c>
      <x:c r="L667" s="13" t="str">
        <x:f>IF(A667="","",IF(K667&lt;0,"선입금·초과입금",IF(I667=0,"청구 전",IF(K667=0,"정산 완료",IF(J667=0,"미입금","부분 입금")))))</x:f>
      </x:c>
      <x:c r="M667" s="9"/>
      <x:c r="N667" s="9"/>
    </x:row>
    <x:row r="668" ht="23" customHeight="1">
      <x:c r="A668" s="9"/>
      <x:c r="B668" s="10"/>
      <x:c r="C668" s="9"/>
      <x:c r="D668" s="9"/>
      <x:c r="E668" s="9"/>
      <x:c r="F668" s="11"/>
      <x:c r="G668" s="12" t="str">
        <x:f>IF(A668="","",SUMIFS('출고대장'!$D$7:$D$1006,'출고대장'!$A$7:$A$1006,A668))</x:f>
      </x:c>
      <x:c r="H668" s="12" t="str">
        <x:f>IF(A668="","",F668-G668)</x:f>
      </x:c>
      <x:c r="I668" s="12" t="str">
        <x:f>IF(A668="","",SUMIFS('출고대장'!$K$7:$K$1006,'출고대장'!$A$7:$A$1006,A668))</x:f>
      </x:c>
      <x:c r="J668" s="12" t="str">
        <x:f>IF(A668="","",SUMIFS('입금대장'!$C$7:$C$1006,'입금대장'!$A$7:$A$1006,A668,'입금대장'!$E$7:$E$1006,"정상"))</x:f>
      </x:c>
      <x:c r="K668" s="12" t="str">
        <x:f>IF(A668="","",I668-J668)</x:f>
      </x:c>
      <x:c r="L668" s="13" t="str">
        <x:f>IF(A668="","",IF(K668&lt;0,"선입금·초과입금",IF(I668=0,"청구 전",IF(K668=0,"정산 완료",IF(J668=0,"미입금","부분 입금")))))</x:f>
      </x:c>
      <x:c r="M668" s="9"/>
      <x:c r="N668" s="9"/>
    </x:row>
    <x:row r="669" ht="23" customHeight="1">
      <x:c r="A669" s="9"/>
      <x:c r="B669" s="10"/>
      <x:c r="C669" s="9"/>
      <x:c r="D669" s="9"/>
      <x:c r="E669" s="9"/>
      <x:c r="F669" s="11"/>
      <x:c r="G669" s="12" t="str">
        <x:f>IF(A669="","",SUMIFS('출고대장'!$D$7:$D$1006,'출고대장'!$A$7:$A$1006,A669))</x:f>
      </x:c>
      <x:c r="H669" s="12" t="str">
        <x:f>IF(A669="","",F669-G669)</x:f>
      </x:c>
      <x:c r="I669" s="12" t="str">
        <x:f>IF(A669="","",SUMIFS('출고대장'!$K$7:$K$1006,'출고대장'!$A$7:$A$1006,A669))</x:f>
      </x:c>
      <x:c r="J669" s="12" t="str">
        <x:f>IF(A669="","",SUMIFS('입금대장'!$C$7:$C$1006,'입금대장'!$A$7:$A$1006,A669,'입금대장'!$E$7:$E$1006,"정상"))</x:f>
      </x:c>
      <x:c r="K669" s="12" t="str">
        <x:f>IF(A669="","",I669-J669)</x:f>
      </x:c>
      <x:c r="L669" s="13" t="str">
        <x:f>IF(A669="","",IF(K669&lt;0,"선입금·초과입금",IF(I669=0,"청구 전",IF(K669=0,"정산 완료",IF(J669=0,"미입금","부분 입금")))))</x:f>
      </x:c>
      <x:c r="M669" s="9"/>
      <x:c r="N669" s="9"/>
    </x:row>
    <x:row r="670" ht="23" customHeight="1">
      <x:c r="A670" s="9"/>
      <x:c r="B670" s="10"/>
      <x:c r="C670" s="9"/>
      <x:c r="D670" s="9"/>
      <x:c r="E670" s="9"/>
      <x:c r="F670" s="11"/>
      <x:c r="G670" s="12" t="str">
        <x:f>IF(A670="","",SUMIFS('출고대장'!$D$7:$D$1006,'출고대장'!$A$7:$A$1006,A670))</x:f>
      </x:c>
      <x:c r="H670" s="12" t="str">
        <x:f>IF(A670="","",F670-G670)</x:f>
      </x:c>
      <x:c r="I670" s="12" t="str">
        <x:f>IF(A670="","",SUMIFS('출고대장'!$K$7:$K$1006,'출고대장'!$A$7:$A$1006,A670))</x:f>
      </x:c>
      <x:c r="J670" s="12" t="str">
        <x:f>IF(A670="","",SUMIFS('입금대장'!$C$7:$C$1006,'입금대장'!$A$7:$A$1006,A670,'입금대장'!$E$7:$E$1006,"정상"))</x:f>
      </x:c>
      <x:c r="K670" s="12" t="str">
        <x:f>IF(A670="","",I670-J670)</x:f>
      </x:c>
      <x:c r="L670" s="13" t="str">
        <x:f>IF(A670="","",IF(K670&lt;0,"선입금·초과입금",IF(I670=0,"청구 전",IF(K670=0,"정산 완료",IF(J670=0,"미입금","부분 입금")))))</x:f>
      </x:c>
      <x:c r="M670" s="9"/>
      <x:c r="N670" s="9"/>
    </x:row>
    <x:row r="671" ht="23" customHeight="1">
      <x:c r="A671" s="9"/>
      <x:c r="B671" s="10"/>
      <x:c r="C671" s="9"/>
      <x:c r="D671" s="9"/>
      <x:c r="E671" s="9"/>
      <x:c r="F671" s="11"/>
      <x:c r="G671" s="12" t="str">
        <x:f>IF(A671="","",SUMIFS('출고대장'!$D$7:$D$1006,'출고대장'!$A$7:$A$1006,A671))</x:f>
      </x:c>
      <x:c r="H671" s="12" t="str">
        <x:f>IF(A671="","",F671-G671)</x:f>
      </x:c>
      <x:c r="I671" s="12" t="str">
        <x:f>IF(A671="","",SUMIFS('출고대장'!$K$7:$K$1006,'출고대장'!$A$7:$A$1006,A671))</x:f>
      </x:c>
      <x:c r="J671" s="12" t="str">
        <x:f>IF(A671="","",SUMIFS('입금대장'!$C$7:$C$1006,'입금대장'!$A$7:$A$1006,A671,'입금대장'!$E$7:$E$1006,"정상"))</x:f>
      </x:c>
      <x:c r="K671" s="12" t="str">
        <x:f>IF(A671="","",I671-J671)</x:f>
      </x:c>
      <x:c r="L671" s="13" t="str">
        <x:f>IF(A671="","",IF(K671&lt;0,"선입금·초과입금",IF(I671=0,"청구 전",IF(K671=0,"정산 완료",IF(J671=0,"미입금","부분 입금")))))</x:f>
      </x:c>
      <x:c r="M671" s="9"/>
      <x:c r="N671" s="9"/>
    </x:row>
    <x:row r="672" ht="23" customHeight="1">
      <x:c r="A672" s="9"/>
      <x:c r="B672" s="10"/>
      <x:c r="C672" s="9"/>
      <x:c r="D672" s="9"/>
      <x:c r="E672" s="9"/>
      <x:c r="F672" s="11"/>
      <x:c r="G672" s="12" t="str">
        <x:f>IF(A672="","",SUMIFS('출고대장'!$D$7:$D$1006,'출고대장'!$A$7:$A$1006,A672))</x:f>
      </x:c>
      <x:c r="H672" s="12" t="str">
        <x:f>IF(A672="","",F672-G672)</x:f>
      </x:c>
      <x:c r="I672" s="12" t="str">
        <x:f>IF(A672="","",SUMIFS('출고대장'!$K$7:$K$1006,'출고대장'!$A$7:$A$1006,A672))</x:f>
      </x:c>
      <x:c r="J672" s="12" t="str">
        <x:f>IF(A672="","",SUMIFS('입금대장'!$C$7:$C$1006,'입금대장'!$A$7:$A$1006,A672,'입금대장'!$E$7:$E$1006,"정상"))</x:f>
      </x:c>
      <x:c r="K672" s="12" t="str">
        <x:f>IF(A672="","",I672-J672)</x:f>
      </x:c>
      <x:c r="L672" s="13" t="str">
        <x:f>IF(A672="","",IF(K672&lt;0,"선입금·초과입금",IF(I672=0,"청구 전",IF(K672=0,"정산 완료",IF(J672=0,"미입금","부분 입금")))))</x:f>
      </x:c>
      <x:c r="M672" s="9"/>
      <x:c r="N672" s="9"/>
    </x:row>
    <x:row r="673" ht="23" customHeight="1">
      <x:c r="A673" s="9"/>
      <x:c r="B673" s="10"/>
      <x:c r="C673" s="9"/>
      <x:c r="D673" s="9"/>
      <x:c r="E673" s="9"/>
      <x:c r="F673" s="11"/>
      <x:c r="G673" s="12" t="str">
        <x:f>IF(A673="","",SUMIFS('출고대장'!$D$7:$D$1006,'출고대장'!$A$7:$A$1006,A673))</x:f>
      </x:c>
      <x:c r="H673" s="12" t="str">
        <x:f>IF(A673="","",F673-G673)</x:f>
      </x:c>
      <x:c r="I673" s="12" t="str">
        <x:f>IF(A673="","",SUMIFS('출고대장'!$K$7:$K$1006,'출고대장'!$A$7:$A$1006,A673))</x:f>
      </x:c>
      <x:c r="J673" s="12" t="str">
        <x:f>IF(A673="","",SUMIFS('입금대장'!$C$7:$C$1006,'입금대장'!$A$7:$A$1006,A673,'입금대장'!$E$7:$E$1006,"정상"))</x:f>
      </x:c>
      <x:c r="K673" s="12" t="str">
        <x:f>IF(A673="","",I673-J673)</x:f>
      </x:c>
      <x:c r="L673" s="13" t="str">
        <x:f>IF(A673="","",IF(K673&lt;0,"선입금·초과입금",IF(I673=0,"청구 전",IF(K673=0,"정산 완료",IF(J673=0,"미입금","부분 입금")))))</x:f>
      </x:c>
      <x:c r="M673" s="9"/>
      <x:c r="N673" s="9"/>
    </x:row>
    <x:row r="674" ht="23" customHeight="1">
      <x:c r="A674" s="9"/>
      <x:c r="B674" s="10"/>
      <x:c r="C674" s="9"/>
      <x:c r="D674" s="9"/>
      <x:c r="E674" s="9"/>
      <x:c r="F674" s="11"/>
      <x:c r="G674" s="12" t="str">
        <x:f>IF(A674="","",SUMIFS('출고대장'!$D$7:$D$1006,'출고대장'!$A$7:$A$1006,A674))</x:f>
      </x:c>
      <x:c r="H674" s="12" t="str">
        <x:f>IF(A674="","",F674-G674)</x:f>
      </x:c>
      <x:c r="I674" s="12" t="str">
        <x:f>IF(A674="","",SUMIFS('출고대장'!$K$7:$K$1006,'출고대장'!$A$7:$A$1006,A674))</x:f>
      </x:c>
      <x:c r="J674" s="12" t="str">
        <x:f>IF(A674="","",SUMIFS('입금대장'!$C$7:$C$1006,'입금대장'!$A$7:$A$1006,A674,'입금대장'!$E$7:$E$1006,"정상"))</x:f>
      </x:c>
      <x:c r="K674" s="12" t="str">
        <x:f>IF(A674="","",I674-J674)</x:f>
      </x:c>
      <x:c r="L674" s="13" t="str">
        <x:f>IF(A674="","",IF(K674&lt;0,"선입금·초과입금",IF(I674=0,"청구 전",IF(K674=0,"정산 완료",IF(J674=0,"미입금","부분 입금")))))</x:f>
      </x:c>
      <x:c r="M674" s="9"/>
      <x:c r="N674" s="9"/>
    </x:row>
    <x:row r="675" ht="23" customHeight="1">
      <x:c r="A675" s="9"/>
      <x:c r="B675" s="10"/>
      <x:c r="C675" s="9"/>
      <x:c r="D675" s="9"/>
      <x:c r="E675" s="9"/>
      <x:c r="F675" s="11"/>
      <x:c r="G675" s="12" t="str">
        <x:f>IF(A675="","",SUMIFS('출고대장'!$D$7:$D$1006,'출고대장'!$A$7:$A$1006,A675))</x:f>
      </x:c>
      <x:c r="H675" s="12" t="str">
        <x:f>IF(A675="","",F675-G675)</x:f>
      </x:c>
      <x:c r="I675" s="12" t="str">
        <x:f>IF(A675="","",SUMIFS('출고대장'!$K$7:$K$1006,'출고대장'!$A$7:$A$1006,A675))</x:f>
      </x:c>
      <x:c r="J675" s="12" t="str">
        <x:f>IF(A675="","",SUMIFS('입금대장'!$C$7:$C$1006,'입금대장'!$A$7:$A$1006,A675,'입금대장'!$E$7:$E$1006,"정상"))</x:f>
      </x:c>
      <x:c r="K675" s="12" t="str">
        <x:f>IF(A675="","",I675-J675)</x:f>
      </x:c>
      <x:c r="L675" s="13" t="str">
        <x:f>IF(A675="","",IF(K675&lt;0,"선입금·초과입금",IF(I675=0,"청구 전",IF(K675=0,"정산 완료",IF(J675=0,"미입금","부분 입금")))))</x:f>
      </x:c>
      <x:c r="M675" s="9"/>
      <x:c r="N675" s="9"/>
    </x:row>
    <x:row r="676" ht="23" customHeight="1">
      <x:c r="A676" s="9"/>
      <x:c r="B676" s="10"/>
      <x:c r="C676" s="9"/>
      <x:c r="D676" s="9"/>
      <x:c r="E676" s="9"/>
      <x:c r="F676" s="11"/>
      <x:c r="G676" s="12" t="str">
        <x:f>IF(A676="","",SUMIFS('출고대장'!$D$7:$D$1006,'출고대장'!$A$7:$A$1006,A676))</x:f>
      </x:c>
      <x:c r="H676" s="12" t="str">
        <x:f>IF(A676="","",F676-G676)</x:f>
      </x:c>
      <x:c r="I676" s="12" t="str">
        <x:f>IF(A676="","",SUMIFS('출고대장'!$K$7:$K$1006,'출고대장'!$A$7:$A$1006,A676))</x:f>
      </x:c>
      <x:c r="J676" s="12" t="str">
        <x:f>IF(A676="","",SUMIFS('입금대장'!$C$7:$C$1006,'입금대장'!$A$7:$A$1006,A676,'입금대장'!$E$7:$E$1006,"정상"))</x:f>
      </x:c>
      <x:c r="K676" s="12" t="str">
        <x:f>IF(A676="","",I676-J676)</x:f>
      </x:c>
      <x:c r="L676" s="13" t="str">
        <x:f>IF(A676="","",IF(K676&lt;0,"선입금·초과입금",IF(I676=0,"청구 전",IF(K676=0,"정산 완료",IF(J676=0,"미입금","부분 입금")))))</x:f>
      </x:c>
      <x:c r="M676" s="9"/>
      <x:c r="N676" s="9"/>
    </x:row>
    <x:row r="677" ht="23" customHeight="1">
      <x:c r="A677" s="9"/>
      <x:c r="B677" s="10"/>
      <x:c r="C677" s="9"/>
      <x:c r="D677" s="9"/>
      <x:c r="E677" s="9"/>
      <x:c r="F677" s="11"/>
      <x:c r="G677" s="12" t="str">
        <x:f>IF(A677="","",SUMIFS('출고대장'!$D$7:$D$1006,'출고대장'!$A$7:$A$1006,A677))</x:f>
      </x:c>
      <x:c r="H677" s="12" t="str">
        <x:f>IF(A677="","",F677-G677)</x:f>
      </x:c>
      <x:c r="I677" s="12" t="str">
        <x:f>IF(A677="","",SUMIFS('출고대장'!$K$7:$K$1006,'출고대장'!$A$7:$A$1006,A677))</x:f>
      </x:c>
      <x:c r="J677" s="12" t="str">
        <x:f>IF(A677="","",SUMIFS('입금대장'!$C$7:$C$1006,'입금대장'!$A$7:$A$1006,A677,'입금대장'!$E$7:$E$1006,"정상"))</x:f>
      </x:c>
      <x:c r="K677" s="12" t="str">
        <x:f>IF(A677="","",I677-J677)</x:f>
      </x:c>
      <x:c r="L677" s="13" t="str">
        <x:f>IF(A677="","",IF(K677&lt;0,"선입금·초과입금",IF(I677=0,"청구 전",IF(K677=0,"정산 완료",IF(J677=0,"미입금","부분 입금")))))</x:f>
      </x:c>
      <x:c r="M677" s="9"/>
      <x:c r="N677" s="9"/>
    </x:row>
    <x:row r="678" ht="23" customHeight="1">
      <x:c r="A678" s="9"/>
      <x:c r="B678" s="10"/>
      <x:c r="C678" s="9"/>
      <x:c r="D678" s="9"/>
      <x:c r="E678" s="9"/>
      <x:c r="F678" s="11"/>
      <x:c r="G678" s="12" t="str">
        <x:f>IF(A678="","",SUMIFS('출고대장'!$D$7:$D$1006,'출고대장'!$A$7:$A$1006,A678))</x:f>
      </x:c>
      <x:c r="H678" s="12" t="str">
        <x:f>IF(A678="","",F678-G678)</x:f>
      </x:c>
      <x:c r="I678" s="12" t="str">
        <x:f>IF(A678="","",SUMIFS('출고대장'!$K$7:$K$1006,'출고대장'!$A$7:$A$1006,A678))</x:f>
      </x:c>
      <x:c r="J678" s="12" t="str">
        <x:f>IF(A678="","",SUMIFS('입금대장'!$C$7:$C$1006,'입금대장'!$A$7:$A$1006,A678,'입금대장'!$E$7:$E$1006,"정상"))</x:f>
      </x:c>
      <x:c r="K678" s="12" t="str">
        <x:f>IF(A678="","",I678-J678)</x:f>
      </x:c>
      <x:c r="L678" s="13" t="str">
        <x:f>IF(A678="","",IF(K678&lt;0,"선입금·초과입금",IF(I678=0,"청구 전",IF(K678=0,"정산 완료",IF(J678=0,"미입금","부분 입금")))))</x:f>
      </x:c>
      <x:c r="M678" s="9"/>
      <x:c r="N678" s="9"/>
    </x:row>
    <x:row r="679" ht="23" customHeight="1">
      <x:c r="A679" s="9"/>
      <x:c r="B679" s="10"/>
      <x:c r="C679" s="9"/>
      <x:c r="D679" s="9"/>
      <x:c r="E679" s="9"/>
      <x:c r="F679" s="11"/>
      <x:c r="G679" s="12" t="str">
        <x:f>IF(A679="","",SUMIFS('출고대장'!$D$7:$D$1006,'출고대장'!$A$7:$A$1006,A679))</x:f>
      </x:c>
      <x:c r="H679" s="12" t="str">
        <x:f>IF(A679="","",F679-G679)</x:f>
      </x:c>
      <x:c r="I679" s="12" t="str">
        <x:f>IF(A679="","",SUMIFS('출고대장'!$K$7:$K$1006,'출고대장'!$A$7:$A$1006,A679))</x:f>
      </x:c>
      <x:c r="J679" s="12" t="str">
        <x:f>IF(A679="","",SUMIFS('입금대장'!$C$7:$C$1006,'입금대장'!$A$7:$A$1006,A679,'입금대장'!$E$7:$E$1006,"정상"))</x:f>
      </x:c>
      <x:c r="K679" s="12" t="str">
        <x:f>IF(A679="","",I679-J679)</x:f>
      </x:c>
      <x:c r="L679" s="13" t="str">
        <x:f>IF(A679="","",IF(K679&lt;0,"선입금·초과입금",IF(I679=0,"청구 전",IF(K679=0,"정산 완료",IF(J679=0,"미입금","부분 입금")))))</x:f>
      </x:c>
      <x:c r="M679" s="9"/>
      <x:c r="N679" s="9"/>
    </x:row>
    <x:row r="680" ht="23" customHeight="1">
      <x:c r="A680" s="9"/>
      <x:c r="B680" s="10"/>
      <x:c r="C680" s="9"/>
      <x:c r="D680" s="9"/>
      <x:c r="E680" s="9"/>
      <x:c r="F680" s="11"/>
      <x:c r="G680" s="12" t="str">
        <x:f>IF(A680="","",SUMIFS('출고대장'!$D$7:$D$1006,'출고대장'!$A$7:$A$1006,A680))</x:f>
      </x:c>
      <x:c r="H680" s="12" t="str">
        <x:f>IF(A680="","",F680-G680)</x:f>
      </x:c>
      <x:c r="I680" s="12" t="str">
        <x:f>IF(A680="","",SUMIFS('출고대장'!$K$7:$K$1006,'출고대장'!$A$7:$A$1006,A680))</x:f>
      </x:c>
      <x:c r="J680" s="12" t="str">
        <x:f>IF(A680="","",SUMIFS('입금대장'!$C$7:$C$1006,'입금대장'!$A$7:$A$1006,A680,'입금대장'!$E$7:$E$1006,"정상"))</x:f>
      </x:c>
      <x:c r="K680" s="12" t="str">
        <x:f>IF(A680="","",I680-J680)</x:f>
      </x:c>
      <x:c r="L680" s="13" t="str">
        <x:f>IF(A680="","",IF(K680&lt;0,"선입금·초과입금",IF(I680=0,"청구 전",IF(K680=0,"정산 완료",IF(J680=0,"미입금","부분 입금")))))</x:f>
      </x:c>
      <x:c r="M680" s="9"/>
      <x:c r="N680" s="9"/>
    </x:row>
    <x:row r="681" ht="23" customHeight="1">
      <x:c r="A681" s="9"/>
      <x:c r="B681" s="10"/>
      <x:c r="C681" s="9"/>
      <x:c r="D681" s="9"/>
      <x:c r="E681" s="9"/>
      <x:c r="F681" s="11"/>
      <x:c r="G681" s="12" t="str">
        <x:f>IF(A681="","",SUMIFS('출고대장'!$D$7:$D$1006,'출고대장'!$A$7:$A$1006,A681))</x:f>
      </x:c>
      <x:c r="H681" s="12" t="str">
        <x:f>IF(A681="","",F681-G681)</x:f>
      </x:c>
      <x:c r="I681" s="12" t="str">
        <x:f>IF(A681="","",SUMIFS('출고대장'!$K$7:$K$1006,'출고대장'!$A$7:$A$1006,A681))</x:f>
      </x:c>
      <x:c r="J681" s="12" t="str">
        <x:f>IF(A681="","",SUMIFS('입금대장'!$C$7:$C$1006,'입금대장'!$A$7:$A$1006,A681,'입금대장'!$E$7:$E$1006,"정상"))</x:f>
      </x:c>
      <x:c r="K681" s="12" t="str">
        <x:f>IF(A681="","",I681-J681)</x:f>
      </x:c>
      <x:c r="L681" s="13" t="str">
        <x:f>IF(A681="","",IF(K681&lt;0,"선입금·초과입금",IF(I681=0,"청구 전",IF(K681=0,"정산 완료",IF(J681=0,"미입금","부분 입금")))))</x:f>
      </x:c>
      <x:c r="M681" s="9"/>
      <x:c r="N681" s="9"/>
    </x:row>
    <x:row r="682" ht="23" customHeight="1">
      <x:c r="A682" s="9"/>
      <x:c r="B682" s="10"/>
      <x:c r="C682" s="9"/>
      <x:c r="D682" s="9"/>
      <x:c r="E682" s="9"/>
      <x:c r="F682" s="11"/>
      <x:c r="G682" s="12" t="str">
        <x:f>IF(A682="","",SUMIFS('출고대장'!$D$7:$D$1006,'출고대장'!$A$7:$A$1006,A682))</x:f>
      </x:c>
      <x:c r="H682" s="12" t="str">
        <x:f>IF(A682="","",F682-G682)</x:f>
      </x:c>
      <x:c r="I682" s="12" t="str">
        <x:f>IF(A682="","",SUMIFS('출고대장'!$K$7:$K$1006,'출고대장'!$A$7:$A$1006,A682))</x:f>
      </x:c>
      <x:c r="J682" s="12" t="str">
        <x:f>IF(A682="","",SUMIFS('입금대장'!$C$7:$C$1006,'입금대장'!$A$7:$A$1006,A682,'입금대장'!$E$7:$E$1006,"정상"))</x:f>
      </x:c>
      <x:c r="K682" s="12" t="str">
        <x:f>IF(A682="","",I682-J682)</x:f>
      </x:c>
      <x:c r="L682" s="13" t="str">
        <x:f>IF(A682="","",IF(K682&lt;0,"선입금·초과입금",IF(I682=0,"청구 전",IF(K682=0,"정산 완료",IF(J682=0,"미입금","부분 입금")))))</x:f>
      </x:c>
      <x:c r="M682" s="9"/>
      <x:c r="N682" s="9"/>
    </x:row>
    <x:row r="683" ht="23" customHeight="1">
      <x:c r="A683" s="9"/>
      <x:c r="B683" s="10"/>
      <x:c r="C683" s="9"/>
      <x:c r="D683" s="9"/>
      <x:c r="E683" s="9"/>
      <x:c r="F683" s="11"/>
      <x:c r="G683" s="12" t="str">
        <x:f>IF(A683="","",SUMIFS('출고대장'!$D$7:$D$1006,'출고대장'!$A$7:$A$1006,A683))</x:f>
      </x:c>
      <x:c r="H683" s="12" t="str">
        <x:f>IF(A683="","",F683-G683)</x:f>
      </x:c>
      <x:c r="I683" s="12" t="str">
        <x:f>IF(A683="","",SUMIFS('출고대장'!$K$7:$K$1006,'출고대장'!$A$7:$A$1006,A683))</x:f>
      </x:c>
      <x:c r="J683" s="12" t="str">
        <x:f>IF(A683="","",SUMIFS('입금대장'!$C$7:$C$1006,'입금대장'!$A$7:$A$1006,A683,'입금대장'!$E$7:$E$1006,"정상"))</x:f>
      </x:c>
      <x:c r="K683" s="12" t="str">
        <x:f>IF(A683="","",I683-J683)</x:f>
      </x:c>
      <x:c r="L683" s="13" t="str">
        <x:f>IF(A683="","",IF(K683&lt;0,"선입금·초과입금",IF(I683=0,"청구 전",IF(K683=0,"정산 완료",IF(J683=0,"미입금","부분 입금")))))</x:f>
      </x:c>
      <x:c r="M683" s="9"/>
      <x:c r="N683" s="9"/>
    </x:row>
    <x:row r="684" ht="23" customHeight="1">
      <x:c r="A684" s="9"/>
      <x:c r="B684" s="10"/>
      <x:c r="C684" s="9"/>
      <x:c r="D684" s="9"/>
      <x:c r="E684" s="9"/>
      <x:c r="F684" s="11"/>
      <x:c r="G684" s="12" t="str">
        <x:f>IF(A684="","",SUMIFS('출고대장'!$D$7:$D$1006,'출고대장'!$A$7:$A$1006,A684))</x:f>
      </x:c>
      <x:c r="H684" s="12" t="str">
        <x:f>IF(A684="","",F684-G684)</x:f>
      </x:c>
      <x:c r="I684" s="12" t="str">
        <x:f>IF(A684="","",SUMIFS('출고대장'!$K$7:$K$1006,'출고대장'!$A$7:$A$1006,A684))</x:f>
      </x:c>
      <x:c r="J684" s="12" t="str">
        <x:f>IF(A684="","",SUMIFS('입금대장'!$C$7:$C$1006,'입금대장'!$A$7:$A$1006,A684,'입금대장'!$E$7:$E$1006,"정상"))</x:f>
      </x:c>
      <x:c r="K684" s="12" t="str">
        <x:f>IF(A684="","",I684-J684)</x:f>
      </x:c>
      <x:c r="L684" s="13" t="str">
        <x:f>IF(A684="","",IF(K684&lt;0,"선입금·초과입금",IF(I684=0,"청구 전",IF(K684=0,"정산 완료",IF(J684=0,"미입금","부분 입금")))))</x:f>
      </x:c>
      <x:c r="M684" s="9"/>
      <x:c r="N684" s="9"/>
    </x:row>
    <x:row r="685" ht="23" customHeight="1">
      <x:c r="A685" s="9"/>
      <x:c r="B685" s="10"/>
      <x:c r="C685" s="9"/>
      <x:c r="D685" s="9"/>
      <x:c r="E685" s="9"/>
      <x:c r="F685" s="11"/>
      <x:c r="G685" s="12" t="str">
        <x:f>IF(A685="","",SUMIFS('출고대장'!$D$7:$D$1006,'출고대장'!$A$7:$A$1006,A685))</x:f>
      </x:c>
      <x:c r="H685" s="12" t="str">
        <x:f>IF(A685="","",F685-G685)</x:f>
      </x:c>
      <x:c r="I685" s="12" t="str">
        <x:f>IF(A685="","",SUMIFS('출고대장'!$K$7:$K$1006,'출고대장'!$A$7:$A$1006,A685))</x:f>
      </x:c>
      <x:c r="J685" s="12" t="str">
        <x:f>IF(A685="","",SUMIFS('입금대장'!$C$7:$C$1006,'입금대장'!$A$7:$A$1006,A685,'입금대장'!$E$7:$E$1006,"정상"))</x:f>
      </x:c>
      <x:c r="K685" s="12" t="str">
        <x:f>IF(A685="","",I685-J685)</x:f>
      </x:c>
      <x:c r="L685" s="13" t="str">
        <x:f>IF(A685="","",IF(K685&lt;0,"선입금·초과입금",IF(I685=0,"청구 전",IF(K685=0,"정산 완료",IF(J685=0,"미입금","부분 입금")))))</x:f>
      </x:c>
      <x:c r="M685" s="9"/>
      <x:c r="N685" s="9"/>
    </x:row>
    <x:row r="686" ht="23" customHeight="1">
      <x:c r="A686" s="9"/>
      <x:c r="B686" s="10"/>
      <x:c r="C686" s="9"/>
      <x:c r="D686" s="9"/>
      <x:c r="E686" s="9"/>
      <x:c r="F686" s="11"/>
      <x:c r="G686" s="12" t="str">
        <x:f>IF(A686="","",SUMIFS('출고대장'!$D$7:$D$1006,'출고대장'!$A$7:$A$1006,A686))</x:f>
      </x:c>
      <x:c r="H686" s="12" t="str">
        <x:f>IF(A686="","",F686-G686)</x:f>
      </x:c>
      <x:c r="I686" s="12" t="str">
        <x:f>IF(A686="","",SUMIFS('출고대장'!$K$7:$K$1006,'출고대장'!$A$7:$A$1006,A686))</x:f>
      </x:c>
      <x:c r="J686" s="12" t="str">
        <x:f>IF(A686="","",SUMIFS('입금대장'!$C$7:$C$1006,'입금대장'!$A$7:$A$1006,A686,'입금대장'!$E$7:$E$1006,"정상"))</x:f>
      </x:c>
      <x:c r="K686" s="12" t="str">
        <x:f>IF(A686="","",I686-J686)</x:f>
      </x:c>
      <x:c r="L686" s="13" t="str">
        <x:f>IF(A686="","",IF(K686&lt;0,"선입금·초과입금",IF(I686=0,"청구 전",IF(K686=0,"정산 완료",IF(J686=0,"미입금","부분 입금")))))</x:f>
      </x:c>
      <x:c r="M686" s="9"/>
      <x:c r="N686" s="9"/>
    </x:row>
    <x:row r="687" ht="23" customHeight="1">
      <x:c r="A687" s="9"/>
      <x:c r="B687" s="10"/>
      <x:c r="C687" s="9"/>
      <x:c r="D687" s="9"/>
      <x:c r="E687" s="9"/>
      <x:c r="F687" s="11"/>
      <x:c r="G687" s="12" t="str">
        <x:f>IF(A687="","",SUMIFS('출고대장'!$D$7:$D$1006,'출고대장'!$A$7:$A$1006,A687))</x:f>
      </x:c>
      <x:c r="H687" s="12" t="str">
        <x:f>IF(A687="","",F687-G687)</x:f>
      </x:c>
      <x:c r="I687" s="12" t="str">
        <x:f>IF(A687="","",SUMIFS('출고대장'!$K$7:$K$1006,'출고대장'!$A$7:$A$1006,A687))</x:f>
      </x:c>
      <x:c r="J687" s="12" t="str">
        <x:f>IF(A687="","",SUMIFS('입금대장'!$C$7:$C$1006,'입금대장'!$A$7:$A$1006,A687,'입금대장'!$E$7:$E$1006,"정상"))</x:f>
      </x:c>
      <x:c r="K687" s="12" t="str">
        <x:f>IF(A687="","",I687-J687)</x:f>
      </x:c>
      <x:c r="L687" s="13" t="str">
        <x:f>IF(A687="","",IF(K687&lt;0,"선입금·초과입금",IF(I687=0,"청구 전",IF(K687=0,"정산 완료",IF(J687=0,"미입금","부분 입금")))))</x:f>
      </x:c>
      <x:c r="M687" s="9"/>
      <x:c r="N687" s="9"/>
    </x:row>
    <x:row r="688" ht="23" customHeight="1">
      <x:c r="A688" s="9"/>
      <x:c r="B688" s="10"/>
      <x:c r="C688" s="9"/>
      <x:c r="D688" s="9"/>
      <x:c r="E688" s="9"/>
      <x:c r="F688" s="11"/>
      <x:c r="G688" s="12" t="str">
        <x:f>IF(A688="","",SUMIFS('출고대장'!$D$7:$D$1006,'출고대장'!$A$7:$A$1006,A688))</x:f>
      </x:c>
      <x:c r="H688" s="12" t="str">
        <x:f>IF(A688="","",F688-G688)</x:f>
      </x:c>
      <x:c r="I688" s="12" t="str">
        <x:f>IF(A688="","",SUMIFS('출고대장'!$K$7:$K$1006,'출고대장'!$A$7:$A$1006,A688))</x:f>
      </x:c>
      <x:c r="J688" s="12" t="str">
        <x:f>IF(A688="","",SUMIFS('입금대장'!$C$7:$C$1006,'입금대장'!$A$7:$A$1006,A688,'입금대장'!$E$7:$E$1006,"정상"))</x:f>
      </x:c>
      <x:c r="K688" s="12" t="str">
        <x:f>IF(A688="","",I688-J688)</x:f>
      </x:c>
      <x:c r="L688" s="13" t="str">
        <x:f>IF(A688="","",IF(K688&lt;0,"선입금·초과입금",IF(I688=0,"청구 전",IF(K688=0,"정산 완료",IF(J688=0,"미입금","부분 입금")))))</x:f>
      </x:c>
      <x:c r="M688" s="9"/>
      <x:c r="N688" s="9"/>
    </x:row>
    <x:row r="689" ht="23" customHeight="1">
      <x:c r="A689" s="9"/>
      <x:c r="B689" s="10"/>
      <x:c r="C689" s="9"/>
      <x:c r="D689" s="9"/>
      <x:c r="E689" s="9"/>
      <x:c r="F689" s="11"/>
      <x:c r="G689" s="12" t="str">
        <x:f>IF(A689="","",SUMIFS('출고대장'!$D$7:$D$1006,'출고대장'!$A$7:$A$1006,A689))</x:f>
      </x:c>
      <x:c r="H689" s="12" t="str">
        <x:f>IF(A689="","",F689-G689)</x:f>
      </x:c>
      <x:c r="I689" s="12" t="str">
        <x:f>IF(A689="","",SUMIFS('출고대장'!$K$7:$K$1006,'출고대장'!$A$7:$A$1006,A689))</x:f>
      </x:c>
      <x:c r="J689" s="12" t="str">
        <x:f>IF(A689="","",SUMIFS('입금대장'!$C$7:$C$1006,'입금대장'!$A$7:$A$1006,A689,'입금대장'!$E$7:$E$1006,"정상"))</x:f>
      </x:c>
      <x:c r="K689" s="12" t="str">
        <x:f>IF(A689="","",I689-J689)</x:f>
      </x:c>
      <x:c r="L689" s="13" t="str">
        <x:f>IF(A689="","",IF(K689&lt;0,"선입금·초과입금",IF(I689=0,"청구 전",IF(K689=0,"정산 완료",IF(J689=0,"미입금","부분 입금")))))</x:f>
      </x:c>
      <x:c r="M689" s="9"/>
      <x:c r="N689" s="9"/>
    </x:row>
    <x:row r="690" ht="23" customHeight="1">
      <x:c r="A690" s="9"/>
      <x:c r="B690" s="10"/>
      <x:c r="C690" s="9"/>
      <x:c r="D690" s="9"/>
      <x:c r="E690" s="9"/>
      <x:c r="F690" s="11"/>
      <x:c r="G690" s="12" t="str">
        <x:f>IF(A690="","",SUMIFS('출고대장'!$D$7:$D$1006,'출고대장'!$A$7:$A$1006,A690))</x:f>
      </x:c>
      <x:c r="H690" s="12" t="str">
        <x:f>IF(A690="","",F690-G690)</x:f>
      </x:c>
      <x:c r="I690" s="12" t="str">
        <x:f>IF(A690="","",SUMIFS('출고대장'!$K$7:$K$1006,'출고대장'!$A$7:$A$1006,A690))</x:f>
      </x:c>
      <x:c r="J690" s="12" t="str">
        <x:f>IF(A690="","",SUMIFS('입금대장'!$C$7:$C$1006,'입금대장'!$A$7:$A$1006,A690,'입금대장'!$E$7:$E$1006,"정상"))</x:f>
      </x:c>
      <x:c r="K690" s="12" t="str">
        <x:f>IF(A690="","",I690-J690)</x:f>
      </x:c>
      <x:c r="L690" s="13" t="str">
        <x:f>IF(A690="","",IF(K690&lt;0,"선입금·초과입금",IF(I690=0,"청구 전",IF(K690=0,"정산 완료",IF(J690=0,"미입금","부분 입금")))))</x:f>
      </x:c>
      <x:c r="M690" s="9"/>
      <x:c r="N690" s="9"/>
    </x:row>
    <x:row r="691" ht="23" customHeight="1">
      <x:c r="A691" s="9"/>
      <x:c r="B691" s="10"/>
      <x:c r="C691" s="9"/>
      <x:c r="D691" s="9"/>
      <x:c r="E691" s="9"/>
      <x:c r="F691" s="11"/>
      <x:c r="G691" s="12" t="str">
        <x:f>IF(A691="","",SUMIFS('출고대장'!$D$7:$D$1006,'출고대장'!$A$7:$A$1006,A691))</x:f>
      </x:c>
      <x:c r="H691" s="12" t="str">
        <x:f>IF(A691="","",F691-G691)</x:f>
      </x:c>
      <x:c r="I691" s="12" t="str">
        <x:f>IF(A691="","",SUMIFS('출고대장'!$K$7:$K$1006,'출고대장'!$A$7:$A$1006,A691))</x:f>
      </x:c>
      <x:c r="J691" s="12" t="str">
        <x:f>IF(A691="","",SUMIFS('입금대장'!$C$7:$C$1006,'입금대장'!$A$7:$A$1006,A691,'입금대장'!$E$7:$E$1006,"정상"))</x:f>
      </x:c>
      <x:c r="K691" s="12" t="str">
        <x:f>IF(A691="","",I691-J691)</x:f>
      </x:c>
      <x:c r="L691" s="13" t="str">
        <x:f>IF(A691="","",IF(K691&lt;0,"선입금·초과입금",IF(I691=0,"청구 전",IF(K691=0,"정산 완료",IF(J691=0,"미입금","부분 입금")))))</x:f>
      </x:c>
      <x:c r="M691" s="9"/>
      <x:c r="N691" s="9"/>
    </x:row>
    <x:row r="692" ht="23" customHeight="1">
      <x:c r="A692" s="9"/>
      <x:c r="B692" s="10"/>
      <x:c r="C692" s="9"/>
      <x:c r="D692" s="9"/>
      <x:c r="E692" s="9"/>
      <x:c r="F692" s="11"/>
      <x:c r="G692" s="12" t="str">
        <x:f>IF(A692="","",SUMIFS('출고대장'!$D$7:$D$1006,'출고대장'!$A$7:$A$1006,A692))</x:f>
      </x:c>
      <x:c r="H692" s="12" t="str">
        <x:f>IF(A692="","",F692-G692)</x:f>
      </x:c>
      <x:c r="I692" s="12" t="str">
        <x:f>IF(A692="","",SUMIFS('출고대장'!$K$7:$K$1006,'출고대장'!$A$7:$A$1006,A692))</x:f>
      </x:c>
      <x:c r="J692" s="12" t="str">
        <x:f>IF(A692="","",SUMIFS('입금대장'!$C$7:$C$1006,'입금대장'!$A$7:$A$1006,A692,'입금대장'!$E$7:$E$1006,"정상"))</x:f>
      </x:c>
      <x:c r="K692" s="12" t="str">
        <x:f>IF(A692="","",I692-J692)</x:f>
      </x:c>
      <x:c r="L692" s="13" t="str">
        <x:f>IF(A692="","",IF(K692&lt;0,"선입금·초과입금",IF(I692=0,"청구 전",IF(K692=0,"정산 완료",IF(J692=0,"미입금","부분 입금")))))</x:f>
      </x:c>
      <x:c r="M692" s="9"/>
      <x:c r="N692" s="9"/>
    </x:row>
    <x:row r="693" ht="23" customHeight="1">
      <x:c r="A693" s="9"/>
      <x:c r="B693" s="10"/>
      <x:c r="C693" s="9"/>
      <x:c r="D693" s="9"/>
      <x:c r="E693" s="9"/>
      <x:c r="F693" s="11"/>
      <x:c r="G693" s="12" t="str">
        <x:f>IF(A693="","",SUMIFS('출고대장'!$D$7:$D$1006,'출고대장'!$A$7:$A$1006,A693))</x:f>
      </x:c>
      <x:c r="H693" s="12" t="str">
        <x:f>IF(A693="","",F693-G693)</x:f>
      </x:c>
      <x:c r="I693" s="12" t="str">
        <x:f>IF(A693="","",SUMIFS('출고대장'!$K$7:$K$1006,'출고대장'!$A$7:$A$1006,A693))</x:f>
      </x:c>
      <x:c r="J693" s="12" t="str">
        <x:f>IF(A693="","",SUMIFS('입금대장'!$C$7:$C$1006,'입금대장'!$A$7:$A$1006,A693,'입금대장'!$E$7:$E$1006,"정상"))</x:f>
      </x:c>
      <x:c r="K693" s="12" t="str">
        <x:f>IF(A693="","",I693-J693)</x:f>
      </x:c>
      <x:c r="L693" s="13" t="str">
        <x:f>IF(A693="","",IF(K693&lt;0,"선입금·초과입금",IF(I693=0,"청구 전",IF(K693=0,"정산 완료",IF(J693=0,"미입금","부분 입금")))))</x:f>
      </x:c>
      <x:c r="M693" s="9"/>
      <x:c r="N693" s="9"/>
    </x:row>
    <x:row r="694" ht="23" customHeight="1">
      <x:c r="A694" s="9"/>
      <x:c r="B694" s="10"/>
      <x:c r="C694" s="9"/>
      <x:c r="D694" s="9"/>
      <x:c r="E694" s="9"/>
      <x:c r="F694" s="11"/>
      <x:c r="G694" s="12" t="str">
        <x:f>IF(A694="","",SUMIFS('출고대장'!$D$7:$D$1006,'출고대장'!$A$7:$A$1006,A694))</x:f>
      </x:c>
      <x:c r="H694" s="12" t="str">
        <x:f>IF(A694="","",F694-G694)</x:f>
      </x:c>
      <x:c r="I694" s="12" t="str">
        <x:f>IF(A694="","",SUMIFS('출고대장'!$K$7:$K$1006,'출고대장'!$A$7:$A$1006,A694))</x:f>
      </x:c>
      <x:c r="J694" s="12" t="str">
        <x:f>IF(A694="","",SUMIFS('입금대장'!$C$7:$C$1006,'입금대장'!$A$7:$A$1006,A694,'입금대장'!$E$7:$E$1006,"정상"))</x:f>
      </x:c>
      <x:c r="K694" s="12" t="str">
        <x:f>IF(A694="","",I694-J694)</x:f>
      </x:c>
      <x:c r="L694" s="13" t="str">
        <x:f>IF(A694="","",IF(K694&lt;0,"선입금·초과입금",IF(I694=0,"청구 전",IF(K694=0,"정산 완료",IF(J694=0,"미입금","부분 입금")))))</x:f>
      </x:c>
      <x:c r="M694" s="9"/>
      <x:c r="N694" s="9"/>
    </x:row>
    <x:row r="695" ht="23" customHeight="1">
      <x:c r="A695" s="9"/>
      <x:c r="B695" s="10"/>
      <x:c r="C695" s="9"/>
      <x:c r="D695" s="9"/>
      <x:c r="E695" s="9"/>
      <x:c r="F695" s="11"/>
      <x:c r="G695" s="12" t="str">
        <x:f>IF(A695="","",SUMIFS('출고대장'!$D$7:$D$1006,'출고대장'!$A$7:$A$1006,A695))</x:f>
      </x:c>
      <x:c r="H695" s="12" t="str">
        <x:f>IF(A695="","",F695-G695)</x:f>
      </x:c>
      <x:c r="I695" s="12" t="str">
        <x:f>IF(A695="","",SUMIFS('출고대장'!$K$7:$K$1006,'출고대장'!$A$7:$A$1006,A695))</x:f>
      </x:c>
      <x:c r="J695" s="12" t="str">
        <x:f>IF(A695="","",SUMIFS('입금대장'!$C$7:$C$1006,'입금대장'!$A$7:$A$1006,A695,'입금대장'!$E$7:$E$1006,"정상"))</x:f>
      </x:c>
      <x:c r="K695" s="12" t="str">
        <x:f>IF(A695="","",I695-J695)</x:f>
      </x:c>
      <x:c r="L695" s="13" t="str">
        <x:f>IF(A695="","",IF(K695&lt;0,"선입금·초과입금",IF(I695=0,"청구 전",IF(K695=0,"정산 완료",IF(J695=0,"미입금","부분 입금")))))</x:f>
      </x:c>
      <x:c r="M695" s="9"/>
      <x:c r="N695" s="9"/>
    </x:row>
    <x:row r="696" ht="23" customHeight="1">
      <x:c r="A696" s="9"/>
      <x:c r="B696" s="10"/>
      <x:c r="C696" s="9"/>
      <x:c r="D696" s="9"/>
      <x:c r="E696" s="9"/>
      <x:c r="F696" s="11"/>
      <x:c r="G696" s="12" t="str">
        <x:f>IF(A696="","",SUMIFS('출고대장'!$D$7:$D$1006,'출고대장'!$A$7:$A$1006,A696))</x:f>
      </x:c>
      <x:c r="H696" s="12" t="str">
        <x:f>IF(A696="","",F696-G696)</x:f>
      </x:c>
      <x:c r="I696" s="12" t="str">
        <x:f>IF(A696="","",SUMIFS('출고대장'!$K$7:$K$1006,'출고대장'!$A$7:$A$1006,A696))</x:f>
      </x:c>
      <x:c r="J696" s="12" t="str">
        <x:f>IF(A696="","",SUMIFS('입금대장'!$C$7:$C$1006,'입금대장'!$A$7:$A$1006,A696,'입금대장'!$E$7:$E$1006,"정상"))</x:f>
      </x:c>
      <x:c r="K696" s="12" t="str">
        <x:f>IF(A696="","",I696-J696)</x:f>
      </x:c>
      <x:c r="L696" s="13" t="str">
        <x:f>IF(A696="","",IF(K696&lt;0,"선입금·초과입금",IF(I696=0,"청구 전",IF(K696=0,"정산 완료",IF(J696=0,"미입금","부분 입금")))))</x:f>
      </x:c>
      <x:c r="M696" s="9"/>
      <x:c r="N696" s="9"/>
    </x:row>
    <x:row r="697" ht="23" customHeight="1">
      <x:c r="A697" s="9"/>
      <x:c r="B697" s="10"/>
      <x:c r="C697" s="9"/>
      <x:c r="D697" s="9"/>
      <x:c r="E697" s="9"/>
      <x:c r="F697" s="11"/>
      <x:c r="G697" s="12" t="str">
        <x:f>IF(A697="","",SUMIFS('출고대장'!$D$7:$D$1006,'출고대장'!$A$7:$A$1006,A697))</x:f>
      </x:c>
      <x:c r="H697" s="12" t="str">
        <x:f>IF(A697="","",F697-G697)</x:f>
      </x:c>
      <x:c r="I697" s="12" t="str">
        <x:f>IF(A697="","",SUMIFS('출고대장'!$K$7:$K$1006,'출고대장'!$A$7:$A$1006,A697))</x:f>
      </x:c>
      <x:c r="J697" s="12" t="str">
        <x:f>IF(A697="","",SUMIFS('입금대장'!$C$7:$C$1006,'입금대장'!$A$7:$A$1006,A697,'입금대장'!$E$7:$E$1006,"정상"))</x:f>
      </x:c>
      <x:c r="K697" s="12" t="str">
        <x:f>IF(A697="","",I697-J697)</x:f>
      </x:c>
      <x:c r="L697" s="13" t="str">
        <x:f>IF(A697="","",IF(K697&lt;0,"선입금·초과입금",IF(I697=0,"청구 전",IF(K697=0,"정산 완료",IF(J697=0,"미입금","부분 입금")))))</x:f>
      </x:c>
      <x:c r="M697" s="9"/>
      <x:c r="N697" s="9"/>
    </x:row>
    <x:row r="698" ht="23" customHeight="1">
      <x:c r="A698" s="9"/>
      <x:c r="B698" s="10"/>
      <x:c r="C698" s="9"/>
      <x:c r="D698" s="9"/>
      <x:c r="E698" s="9"/>
      <x:c r="F698" s="11"/>
      <x:c r="G698" s="12" t="str">
        <x:f>IF(A698="","",SUMIFS('출고대장'!$D$7:$D$1006,'출고대장'!$A$7:$A$1006,A698))</x:f>
      </x:c>
      <x:c r="H698" s="12" t="str">
        <x:f>IF(A698="","",F698-G698)</x:f>
      </x:c>
      <x:c r="I698" s="12" t="str">
        <x:f>IF(A698="","",SUMIFS('출고대장'!$K$7:$K$1006,'출고대장'!$A$7:$A$1006,A698))</x:f>
      </x:c>
      <x:c r="J698" s="12" t="str">
        <x:f>IF(A698="","",SUMIFS('입금대장'!$C$7:$C$1006,'입금대장'!$A$7:$A$1006,A698,'입금대장'!$E$7:$E$1006,"정상"))</x:f>
      </x:c>
      <x:c r="K698" s="12" t="str">
        <x:f>IF(A698="","",I698-J698)</x:f>
      </x:c>
      <x:c r="L698" s="13" t="str">
        <x:f>IF(A698="","",IF(K698&lt;0,"선입금·초과입금",IF(I698=0,"청구 전",IF(K698=0,"정산 완료",IF(J698=0,"미입금","부분 입금")))))</x:f>
      </x:c>
      <x:c r="M698" s="9"/>
      <x:c r="N698" s="9"/>
    </x:row>
    <x:row r="699" ht="23" customHeight="1">
      <x:c r="A699" s="9"/>
      <x:c r="B699" s="10"/>
      <x:c r="C699" s="9"/>
      <x:c r="D699" s="9"/>
      <x:c r="E699" s="9"/>
      <x:c r="F699" s="11"/>
      <x:c r="G699" s="12" t="str">
        <x:f>IF(A699="","",SUMIFS('출고대장'!$D$7:$D$1006,'출고대장'!$A$7:$A$1006,A699))</x:f>
      </x:c>
      <x:c r="H699" s="12" t="str">
        <x:f>IF(A699="","",F699-G699)</x:f>
      </x:c>
      <x:c r="I699" s="12" t="str">
        <x:f>IF(A699="","",SUMIFS('출고대장'!$K$7:$K$1006,'출고대장'!$A$7:$A$1006,A699))</x:f>
      </x:c>
      <x:c r="J699" s="12" t="str">
        <x:f>IF(A699="","",SUMIFS('입금대장'!$C$7:$C$1006,'입금대장'!$A$7:$A$1006,A699,'입금대장'!$E$7:$E$1006,"정상"))</x:f>
      </x:c>
      <x:c r="K699" s="12" t="str">
        <x:f>IF(A699="","",I699-J699)</x:f>
      </x:c>
      <x:c r="L699" s="13" t="str">
        <x:f>IF(A699="","",IF(K699&lt;0,"선입금·초과입금",IF(I699=0,"청구 전",IF(K699=0,"정산 완료",IF(J699=0,"미입금","부분 입금")))))</x:f>
      </x:c>
      <x:c r="M699" s="9"/>
      <x:c r="N699" s="9"/>
    </x:row>
    <x:row r="700" ht="23" customHeight="1">
      <x:c r="A700" s="9"/>
      <x:c r="B700" s="10"/>
      <x:c r="C700" s="9"/>
      <x:c r="D700" s="9"/>
      <x:c r="E700" s="9"/>
      <x:c r="F700" s="11"/>
      <x:c r="G700" s="12" t="str">
        <x:f>IF(A700="","",SUMIFS('출고대장'!$D$7:$D$1006,'출고대장'!$A$7:$A$1006,A700))</x:f>
      </x:c>
      <x:c r="H700" s="12" t="str">
        <x:f>IF(A700="","",F700-G700)</x:f>
      </x:c>
      <x:c r="I700" s="12" t="str">
        <x:f>IF(A700="","",SUMIFS('출고대장'!$K$7:$K$1006,'출고대장'!$A$7:$A$1006,A700))</x:f>
      </x:c>
      <x:c r="J700" s="12" t="str">
        <x:f>IF(A700="","",SUMIFS('입금대장'!$C$7:$C$1006,'입금대장'!$A$7:$A$1006,A700,'입금대장'!$E$7:$E$1006,"정상"))</x:f>
      </x:c>
      <x:c r="K700" s="12" t="str">
        <x:f>IF(A700="","",I700-J700)</x:f>
      </x:c>
      <x:c r="L700" s="13" t="str">
        <x:f>IF(A700="","",IF(K700&lt;0,"선입금·초과입금",IF(I700=0,"청구 전",IF(K700=0,"정산 완료",IF(J700=0,"미입금","부분 입금")))))</x:f>
      </x:c>
      <x:c r="M700" s="9"/>
      <x:c r="N700" s="9"/>
    </x:row>
    <x:row r="701" ht="23" customHeight="1">
      <x:c r="A701" s="9"/>
      <x:c r="B701" s="10"/>
      <x:c r="C701" s="9"/>
      <x:c r="D701" s="9"/>
      <x:c r="E701" s="9"/>
      <x:c r="F701" s="11"/>
      <x:c r="G701" s="12" t="str">
        <x:f>IF(A701="","",SUMIFS('출고대장'!$D$7:$D$1006,'출고대장'!$A$7:$A$1006,A701))</x:f>
      </x:c>
      <x:c r="H701" s="12" t="str">
        <x:f>IF(A701="","",F701-G701)</x:f>
      </x:c>
      <x:c r="I701" s="12" t="str">
        <x:f>IF(A701="","",SUMIFS('출고대장'!$K$7:$K$1006,'출고대장'!$A$7:$A$1006,A701))</x:f>
      </x:c>
      <x:c r="J701" s="12" t="str">
        <x:f>IF(A701="","",SUMIFS('입금대장'!$C$7:$C$1006,'입금대장'!$A$7:$A$1006,A701,'입금대장'!$E$7:$E$1006,"정상"))</x:f>
      </x:c>
      <x:c r="K701" s="12" t="str">
        <x:f>IF(A701="","",I701-J701)</x:f>
      </x:c>
      <x:c r="L701" s="13" t="str">
        <x:f>IF(A701="","",IF(K701&lt;0,"선입금·초과입금",IF(I701=0,"청구 전",IF(K701=0,"정산 완료",IF(J701=0,"미입금","부분 입금")))))</x:f>
      </x:c>
      <x:c r="M701" s="9"/>
      <x:c r="N701" s="9"/>
    </x:row>
    <x:row r="702" ht="23" customHeight="1">
      <x:c r="A702" s="9"/>
      <x:c r="B702" s="10"/>
      <x:c r="C702" s="9"/>
      <x:c r="D702" s="9"/>
      <x:c r="E702" s="9"/>
      <x:c r="F702" s="11"/>
      <x:c r="G702" s="12" t="str">
        <x:f>IF(A702="","",SUMIFS('출고대장'!$D$7:$D$1006,'출고대장'!$A$7:$A$1006,A702))</x:f>
      </x:c>
      <x:c r="H702" s="12" t="str">
        <x:f>IF(A702="","",F702-G702)</x:f>
      </x:c>
      <x:c r="I702" s="12" t="str">
        <x:f>IF(A702="","",SUMIFS('출고대장'!$K$7:$K$1006,'출고대장'!$A$7:$A$1006,A702))</x:f>
      </x:c>
      <x:c r="J702" s="12" t="str">
        <x:f>IF(A702="","",SUMIFS('입금대장'!$C$7:$C$1006,'입금대장'!$A$7:$A$1006,A702,'입금대장'!$E$7:$E$1006,"정상"))</x:f>
      </x:c>
      <x:c r="K702" s="12" t="str">
        <x:f>IF(A702="","",I702-J702)</x:f>
      </x:c>
      <x:c r="L702" s="13" t="str">
        <x:f>IF(A702="","",IF(K702&lt;0,"선입금·초과입금",IF(I702=0,"청구 전",IF(K702=0,"정산 완료",IF(J702=0,"미입금","부분 입금")))))</x:f>
      </x:c>
      <x:c r="M702" s="9"/>
      <x:c r="N702" s="9"/>
    </x:row>
    <x:row r="703" ht="23" customHeight="1">
      <x:c r="A703" s="9"/>
      <x:c r="B703" s="10"/>
      <x:c r="C703" s="9"/>
      <x:c r="D703" s="9"/>
      <x:c r="E703" s="9"/>
      <x:c r="F703" s="11"/>
      <x:c r="G703" s="12" t="str">
        <x:f>IF(A703="","",SUMIFS('출고대장'!$D$7:$D$1006,'출고대장'!$A$7:$A$1006,A703))</x:f>
      </x:c>
      <x:c r="H703" s="12" t="str">
        <x:f>IF(A703="","",F703-G703)</x:f>
      </x:c>
      <x:c r="I703" s="12" t="str">
        <x:f>IF(A703="","",SUMIFS('출고대장'!$K$7:$K$1006,'출고대장'!$A$7:$A$1006,A703))</x:f>
      </x:c>
      <x:c r="J703" s="12" t="str">
        <x:f>IF(A703="","",SUMIFS('입금대장'!$C$7:$C$1006,'입금대장'!$A$7:$A$1006,A703,'입금대장'!$E$7:$E$1006,"정상"))</x:f>
      </x:c>
      <x:c r="K703" s="12" t="str">
        <x:f>IF(A703="","",I703-J703)</x:f>
      </x:c>
      <x:c r="L703" s="13" t="str">
        <x:f>IF(A703="","",IF(K703&lt;0,"선입금·초과입금",IF(I703=0,"청구 전",IF(K703=0,"정산 완료",IF(J703=0,"미입금","부분 입금")))))</x:f>
      </x:c>
      <x:c r="M703" s="9"/>
      <x:c r="N703" s="9"/>
    </x:row>
    <x:row r="704" ht="23" customHeight="1">
      <x:c r="A704" s="9"/>
      <x:c r="B704" s="10"/>
      <x:c r="C704" s="9"/>
      <x:c r="D704" s="9"/>
      <x:c r="E704" s="9"/>
      <x:c r="F704" s="11"/>
      <x:c r="G704" s="12" t="str">
        <x:f>IF(A704="","",SUMIFS('출고대장'!$D$7:$D$1006,'출고대장'!$A$7:$A$1006,A704))</x:f>
      </x:c>
      <x:c r="H704" s="12" t="str">
        <x:f>IF(A704="","",F704-G704)</x:f>
      </x:c>
      <x:c r="I704" s="12" t="str">
        <x:f>IF(A704="","",SUMIFS('출고대장'!$K$7:$K$1006,'출고대장'!$A$7:$A$1006,A704))</x:f>
      </x:c>
      <x:c r="J704" s="12" t="str">
        <x:f>IF(A704="","",SUMIFS('입금대장'!$C$7:$C$1006,'입금대장'!$A$7:$A$1006,A704,'입금대장'!$E$7:$E$1006,"정상"))</x:f>
      </x:c>
      <x:c r="K704" s="12" t="str">
        <x:f>IF(A704="","",I704-J704)</x:f>
      </x:c>
      <x:c r="L704" s="13" t="str">
        <x:f>IF(A704="","",IF(K704&lt;0,"선입금·초과입금",IF(I704=0,"청구 전",IF(K704=0,"정산 완료",IF(J704=0,"미입금","부분 입금")))))</x:f>
      </x:c>
      <x:c r="M704" s="9"/>
      <x:c r="N704" s="9"/>
    </x:row>
    <x:row r="705" ht="23" customHeight="1">
      <x:c r="A705" s="9"/>
      <x:c r="B705" s="10"/>
      <x:c r="C705" s="9"/>
      <x:c r="D705" s="9"/>
      <x:c r="E705" s="9"/>
      <x:c r="F705" s="11"/>
      <x:c r="G705" s="12" t="str">
        <x:f>IF(A705="","",SUMIFS('출고대장'!$D$7:$D$1006,'출고대장'!$A$7:$A$1006,A705))</x:f>
      </x:c>
      <x:c r="H705" s="12" t="str">
        <x:f>IF(A705="","",F705-G705)</x:f>
      </x:c>
      <x:c r="I705" s="12" t="str">
        <x:f>IF(A705="","",SUMIFS('출고대장'!$K$7:$K$1006,'출고대장'!$A$7:$A$1006,A705))</x:f>
      </x:c>
      <x:c r="J705" s="12" t="str">
        <x:f>IF(A705="","",SUMIFS('입금대장'!$C$7:$C$1006,'입금대장'!$A$7:$A$1006,A705,'입금대장'!$E$7:$E$1006,"정상"))</x:f>
      </x:c>
      <x:c r="K705" s="12" t="str">
        <x:f>IF(A705="","",I705-J705)</x:f>
      </x:c>
      <x:c r="L705" s="13" t="str">
        <x:f>IF(A705="","",IF(K705&lt;0,"선입금·초과입금",IF(I705=0,"청구 전",IF(K705=0,"정산 완료",IF(J705=0,"미입금","부분 입금")))))</x:f>
      </x:c>
      <x:c r="M705" s="9"/>
      <x:c r="N705" s="9"/>
    </x:row>
    <x:row r="706" ht="23" customHeight="1">
      <x:c r="A706" s="9"/>
      <x:c r="B706" s="10"/>
      <x:c r="C706" s="9"/>
      <x:c r="D706" s="9"/>
      <x:c r="E706" s="9"/>
      <x:c r="F706" s="11"/>
      <x:c r="G706" s="12" t="str">
        <x:f>IF(A706="","",SUMIFS('출고대장'!$D$7:$D$1006,'출고대장'!$A$7:$A$1006,A706))</x:f>
      </x:c>
      <x:c r="H706" s="12" t="str">
        <x:f>IF(A706="","",F706-G706)</x:f>
      </x:c>
      <x:c r="I706" s="12" t="str">
        <x:f>IF(A706="","",SUMIFS('출고대장'!$K$7:$K$1006,'출고대장'!$A$7:$A$1006,A706))</x:f>
      </x:c>
      <x:c r="J706" s="12" t="str">
        <x:f>IF(A706="","",SUMIFS('입금대장'!$C$7:$C$1006,'입금대장'!$A$7:$A$1006,A706,'입금대장'!$E$7:$E$1006,"정상"))</x:f>
      </x:c>
      <x:c r="K706" s="12" t="str">
        <x:f>IF(A706="","",I706-J706)</x:f>
      </x:c>
      <x:c r="L706" s="13" t="str">
        <x:f>IF(A706="","",IF(K706&lt;0,"선입금·초과입금",IF(I706=0,"청구 전",IF(K706=0,"정산 완료",IF(J706=0,"미입금","부분 입금")))))</x:f>
      </x:c>
      <x:c r="M706" s="9"/>
      <x:c r="N706" s="9"/>
    </x:row>
    <x:row r="707" ht="23" customHeight="1">
      <x:c r="A707" s="9"/>
      <x:c r="B707" s="10"/>
      <x:c r="C707" s="9"/>
      <x:c r="D707" s="9"/>
      <x:c r="E707" s="9"/>
      <x:c r="F707" s="11"/>
      <x:c r="G707" s="12" t="str">
        <x:f>IF(A707="","",SUMIFS('출고대장'!$D$7:$D$1006,'출고대장'!$A$7:$A$1006,A707))</x:f>
      </x:c>
      <x:c r="H707" s="12" t="str">
        <x:f>IF(A707="","",F707-G707)</x:f>
      </x:c>
      <x:c r="I707" s="12" t="str">
        <x:f>IF(A707="","",SUMIFS('출고대장'!$K$7:$K$1006,'출고대장'!$A$7:$A$1006,A707))</x:f>
      </x:c>
      <x:c r="J707" s="12" t="str">
        <x:f>IF(A707="","",SUMIFS('입금대장'!$C$7:$C$1006,'입금대장'!$A$7:$A$1006,A707,'입금대장'!$E$7:$E$1006,"정상"))</x:f>
      </x:c>
      <x:c r="K707" s="12" t="str">
        <x:f>IF(A707="","",I707-J707)</x:f>
      </x:c>
      <x:c r="L707" s="13" t="str">
        <x:f>IF(A707="","",IF(K707&lt;0,"선입금·초과입금",IF(I707=0,"청구 전",IF(K707=0,"정산 완료",IF(J707=0,"미입금","부분 입금")))))</x:f>
      </x:c>
      <x:c r="M707" s="9"/>
      <x:c r="N707" s="9"/>
    </x:row>
    <x:row r="708" ht="23" customHeight="1">
      <x:c r="A708" s="9"/>
      <x:c r="B708" s="10"/>
      <x:c r="C708" s="9"/>
      <x:c r="D708" s="9"/>
      <x:c r="E708" s="9"/>
      <x:c r="F708" s="11"/>
      <x:c r="G708" s="12" t="str">
        <x:f>IF(A708="","",SUMIFS('출고대장'!$D$7:$D$1006,'출고대장'!$A$7:$A$1006,A708))</x:f>
      </x:c>
      <x:c r="H708" s="12" t="str">
        <x:f>IF(A708="","",F708-G708)</x:f>
      </x:c>
      <x:c r="I708" s="12" t="str">
        <x:f>IF(A708="","",SUMIFS('출고대장'!$K$7:$K$1006,'출고대장'!$A$7:$A$1006,A708))</x:f>
      </x:c>
      <x:c r="J708" s="12" t="str">
        <x:f>IF(A708="","",SUMIFS('입금대장'!$C$7:$C$1006,'입금대장'!$A$7:$A$1006,A708,'입금대장'!$E$7:$E$1006,"정상"))</x:f>
      </x:c>
      <x:c r="K708" s="12" t="str">
        <x:f>IF(A708="","",I708-J708)</x:f>
      </x:c>
      <x:c r="L708" s="13" t="str">
        <x:f>IF(A708="","",IF(K708&lt;0,"선입금·초과입금",IF(I708=0,"청구 전",IF(K708=0,"정산 완료",IF(J708=0,"미입금","부분 입금")))))</x:f>
      </x:c>
      <x:c r="M708" s="9"/>
      <x:c r="N708" s="9"/>
    </x:row>
    <x:row r="709" ht="23" customHeight="1">
      <x:c r="A709" s="9"/>
      <x:c r="B709" s="10"/>
      <x:c r="C709" s="9"/>
      <x:c r="D709" s="9"/>
      <x:c r="E709" s="9"/>
      <x:c r="F709" s="11"/>
      <x:c r="G709" s="12" t="str">
        <x:f>IF(A709="","",SUMIFS('출고대장'!$D$7:$D$1006,'출고대장'!$A$7:$A$1006,A709))</x:f>
      </x:c>
      <x:c r="H709" s="12" t="str">
        <x:f>IF(A709="","",F709-G709)</x:f>
      </x:c>
      <x:c r="I709" s="12" t="str">
        <x:f>IF(A709="","",SUMIFS('출고대장'!$K$7:$K$1006,'출고대장'!$A$7:$A$1006,A709))</x:f>
      </x:c>
      <x:c r="J709" s="12" t="str">
        <x:f>IF(A709="","",SUMIFS('입금대장'!$C$7:$C$1006,'입금대장'!$A$7:$A$1006,A709,'입금대장'!$E$7:$E$1006,"정상"))</x:f>
      </x:c>
      <x:c r="K709" s="12" t="str">
        <x:f>IF(A709="","",I709-J709)</x:f>
      </x:c>
      <x:c r="L709" s="13" t="str">
        <x:f>IF(A709="","",IF(K709&lt;0,"선입금·초과입금",IF(I709=0,"청구 전",IF(K709=0,"정산 완료",IF(J709=0,"미입금","부분 입금")))))</x:f>
      </x:c>
      <x:c r="M709" s="9"/>
      <x:c r="N709" s="9"/>
    </x:row>
    <x:row r="710" ht="23" customHeight="1">
      <x:c r="A710" s="9"/>
      <x:c r="B710" s="10"/>
      <x:c r="C710" s="9"/>
      <x:c r="D710" s="9"/>
      <x:c r="E710" s="9"/>
      <x:c r="F710" s="11"/>
      <x:c r="G710" s="12" t="str">
        <x:f>IF(A710="","",SUMIFS('출고대장'!$D$7:$D$1006,'출고대장'!$A$7:$A$1006,A710))</x:f>
      </x:c>
      <x:c r="H710" s="12" t="str">
        <x:f>IF(A710="","",F710-G710)</x:f>
      </x:c>
      <x:c r="I710" s="12" t="str">
        <x:f>IF(A710="","",SUMIFS('출고대장'!$K$7:$K$1006,'출고대장'!$A$7:$A$1006,A710))</x:f>
      </x:c>
      <x:c r="J710" s="12" t="str">
        <x:f>IF(A710="","",SUMIFS('입금대장'!$C$7:$C$1006,'입금대장'!$A$7:$A$1006,A710,'입금대장'!$E$7:$E$1006,"정상"))</x:f>
      </x:c>
      <x:c r="K710" s="12" t="str">
        <x:f>IF(A710="","",I710-J710)</x:f>
      </x:c>
      <x:c r="L710" s="13" t="str">
        <x:f>IF(A710="","",IF(K710&lt;0,"선입금·초과입금",IF(I710=0,"청구 전",IF(K710=0,"정산 완료",IF(J710=0,"미입금","부분 입금")))))</x:f>
      </x:c>
      <x:c r="M710" s="9"/>
      <x:c r="N710" s="9"/>
    </x:row>
    <x:row r="711" ht="23" customHeight="1">
      <x:c r="A711" s="9"/>
      <x:c r="B711" s="10"/>
      <x:c r="C711" s="9"/>
      <x:c r="D711" s="9"/>
      <x:c r="E711" s="9"/>
      <x:c r="F711" s="11"/>
      <x:c r="G711" s="12" t="str">
        <x:f>IF(A711="","",SUMIFS('출고대장'!$D$7:$D$1006,'출고대장'!$A$7:$A$1006,A711))</x:f>
      </x:c>
      <x:c r="H711" s="12" t="str">
        <x:f>IF(A711="","",F711-G711)</x:f>
      </x:c>
      <x:c r="I711" s="12" t="str">
        <x:f>IF(A711="","",SUMIFS('출고대장'!$K$7:$K$1006,'출고대장'!$A$7:$A$1006,A711))</x:f>
      </x:c>
      <x:c r="J711" s="12" t="str">
        <x:f>IF(A711="","",SUMIFS('입금대장'!$C$7:$C$1006,'입금대장'!$A$7:$A$1006,A711,'입금대장'!$E$7:$E$1006,"정상"))</x:f>
      </x:c>
      <x:c r="K711" s="12" t="str">
        <x:f>IF(A711="","",I711-J711)</x:f>
      </x:c>
      <x:c r="L711" s="13" t="str">
        <x:f>IF(A711="","",IF(K711&lt;0,"선입금·초과입금",IF(I711=0,"청구 전",IF(K711=0,"정산 완료",IF(J711=0,"미입금","부분 입금")))))</x:f>
      </x:c>
      <x:c r="M711" s="9"/>
      <x:c r="N711" s="9"/>
    </x:row>
    <x:row r="712" ht="23" customHeight="1">
      <x:c r="A712" s="9"/>
      <x:c r="B712" s="10"/>
      <x:c r="C712" s="9"/>
      <x:c r="D712" s="9"/>
      <x:c r="E712" s="9"/>
      <x:c r="F712" s="11"/>
      <x:c r="G712" s="12" t="str">
        <x:f>IF(A712="","",SUMIFS('출고대장'!$D$7:$D$1006,'출고대장'!$A$7:$A$1006,A712))</x:f>
      </x:c>
      <x:c r="H712" s="12" t="str">
        <x:f>IF(A712="","",F712-G712)</x:f>
      </x:c>
      <x:c r="I712" s="12" t="str">
        <x:f>IF(A712="","",SUMIFS('출고대장'!$K$7:$K$1006,'출고대장'!$A$7:$A$1006,A712))</x:f>
      </x:c>
      <x:c r="J712" s="12" t="str">
        <x:f>IF(A712="","",SUMIFS('입금대장'!$C$7:$C$1006,'입금대장'!$A$7:$A$1006,A712,'입금대장'!$E$7:$E$1006,"정상"))</x:f>
      </x:c>
      <x:c r="K712" s="12" t="str">
        <x:f>IF(A712="","",I712-J712)</x:f>
      </x:c>
      <x:c r="L712" s="13" t="str">
        <x:f>IF(A712="","",IF(K712&lt;0,"선입금·초과입금",IF(I712=0,"청구 전",IF(K712=0,"정산 완료",IF(J712=0,"미입금","부분 입금")))))</x:f>
      </x:c>
      <x:c r="M712" s="9"/>
      <x:c r="N712" s="9"/>
    </x:row>
    <x:row r="713" ht="23" customHeight="1">
      <x:c r="A713" s="9"/>
      <x:c r="B713" s="10"/>
      <x:c r="C713" s="9"/>
      <x:c r="D713" s="9"/>
      <x:c r="E713" s="9"/>
      <x:c r="F713" s="11"/>
      <x:c r="G713" s="12" t="str">
        <x:f>IF(A713="","",SUMIFS('출고대장'!$D$7:$D$1006,'출고대장'!$A$7:$A$1006,A713))</x:f>
      </x:c>
      <x:c r="H713" s="12" t="str">
        <x:f>IF(A713="","",F713-G713)</x:f>
      </x:c>
      <x:c r="I713" s="12" t="str">
        <x:f>IF(A713="","",SUMIFS('출고대장'!$K$7:$K$1006,'출고대장'!$A$7:$A$1006,A713))</x:f>
      </x:c>
      <x:c r="J713" s="12" t="str">
        <x:f>IF(A713="","",SUMIFS('입금대장'!$C$7:$C$1006,'입금대장'!$A$7:$A$1006,A713,'입금대장'!$E$7:$E$1006,"정상"))</x:f>
      </x:c>
      <x:c r="K713" s="12" t="str">
        <x:f>IF(A713="","",I713-J713)</x:f>
      </x:c>
      <x:c r="L713" s="13" t="str">
        <x:f>IF(A713="","",IF(K713&lt;0,"선입금·초과입금",IF(I713=0,"청구 전",IF(K713=0,"정산 완료",IF(J713=0,"미입금","부분 입금")))))</x:f>
      </x:c>
      <x:c r="M713" s="9"/>
      <x:c r="N713" s="9"/>
    </x:row>
    <x:row r="714" ht="23" customHeight="1">
      <x:c r="A714" s="9"/>
      <x:c r="B714" s="10"/>
      <x:c r="C714" s="9"/>
      <x:c r="D714" s="9"/>
      <x:c r="E714" s="9"/>
      <x:c r="F714" s="11"/>
      <x:c r="G714" s="12" t="str">
        <x:f>IF(A714="","",SUMIFS('출고대장'!$D$7:$D$1006,'출고대장'!$A$7:$A$1006,A714))</x:f>
      </x:c>
      <x:c r="H714" s="12" t="str">
        <x:f>IF(A714="","",F714-G714)</x:f>
      </x:c>
      <x:c r="I714" s="12" t="str">
        <x:f>IF(A714="","",SUMIFS('출고대장'!$K$7:$K$1006,'출고대장'!$A$7:$A$1006,A714))</x:f>
      </x:c>
      <x:c r="J714" s="12" t="str">
        <x:f>IF(A714="","",SUMIFS('입금대장'!$C$7:$C$1006,'입금대장'!$A$7:$A$1006,A714,'입금대장'!$E$7:$E$1006,"정상"))</x:f>
      </x:c>
      <x:c r="K714" s="12" t="str">
        <x:f>IF(A714="","",I714-J714)</x:f>
      </x:c>
      <x:c r="L714" s="13" t="str">
        <x:f>IF(A714="","",IF(K714&lt;0,"선입금·초과입금",IF(I714=0,"청구 전",IF(K714=0,"정산 완료",IF(J714=0,"미입금","부분 입금")))))</x:f>
      </x:c>
      <x:c r="M714" s="9"/>
      <x:c r="N714" s="9"/>
    </x:row>
    <x:row r="715" ht="23" customHeight="1">
      <x:c r="A715" s="9"/>
      <x:c r="B715" s="10"/>
      <x:c r="C715" s="9"/>
      <x:c r="D715" s="9"/>
      <x:c r="E715" s="9"/>
      <x:c r="F715" s="11"/>
      <x:c r="G715" s="12" t="str">
        <x:f>IF(A715="","",SUMIFS('출고대장'!$D$7:$D$1006,'출고대장'!$A$7:$A$1006,A715))</x:f>
      </x:c>
      <x:c r="H715" s="12" t="str">
        <x:f>IF(A715="","",F715-G715)</x:f>
      </x:c>
      <x:c r="I715" s="12" t="str">
        <x:f>IF(A715="","",SUMIFS('출고대장'!$K$7:$K$1006,'출고대장'!$A$7:$A$1006,A715))</x:f>
      </x:c>
      <x:c r="J715" s="12" t="str">
        <x:f>IF(A715="","",SUMIFS('입금대장'!$C$7:$C$1006,'입금대장'!$A$7:$A$1006,A715,'입금대장'!$E$7:$E$1006,"정상"))</x:f>
      </x:c>
      <x:c r="K715" s="12" t="str">
        <x:f>IF(A715="","",I715-J715)</x:f>
      </x:c>
      <x:c r="L715" s="13" t="str">
        <x:f>IF(A715="","",IF(K715&lt;0,"선입금·초과입금",IF(I715=0,"청구 전",IF(K715=0,"정산 완료",IF(J715=0,"미입금","부분 입금")))))</x:f>
      </x:c>
      <x:c r="M715" s="9"/>
      <x:c r="N715" s="9"/>
    </x:row>
    <x:row r="716" ht="23" customHeight="1">
      <x:c r="A716" s="9"/>
      <x:c r="B716" s="10"/>
      <x:c r="C716" s="9"/>
      <x:c r="D716" s="9"/>
      <x:c r="E716" s="9"/>
      <x:c r="F716" s="11"/>
      <x:c r="G716" s="12" t="str">
        <x:f>IF(A716="","",SUMIFS('출고대장'!$D$7:$D$1006,'출고대장'!$A$7:$A$1006,A716))</x:f>
      </x:c>
      <x:c r="H716" s="12" t="str">
        <x:f>IF(A716="","",F716-G716)</x:f>
      </x:c>
      <x:c r="I716" s="12" t="str">
        <x:f>IF(A716="","",SUMIFS('출고대장'!$K$7:$K$1006,'출고대장'!$A$7:$A$1006,A716))</x:f>
      </x:c>
      <x:c r="J716" s="12" t="str">
        <x:f>IF(A716="","",SUMIFS('입금대장'!$C$7:$C$1006,'입금대장'!$A$7:$A$1006,A716,'입금대장'!$E$7:$E$1006,"정상"))</x:f>
      </x:c>
      <x:c r="K716" s="12" t="str">
        <x:f>IF(A716="","",I716-J716)</x:f>
      </x:c>
      <x:c r="L716" s="13" t="str">
        <x:f>IF(A716="","",IF(K716&lt;0,"선입금·초과입금",IF(I716=0,"청구 전",IF(K716=0,"정산 완료",IF(J716=0,"미입금","부분 입금")))))</x:f>
      </x:c>
      <x:c r="M716" s="9"/>
      <x:c r="N716" s="9"/>
    </x:row>
    <x:row r="717" ht="23" customHeight="1">
      <x:c r="A717" s="9"/>
      <x:c r="B717" s="10"/>
      <x:c r="C717" s="9"/>
      <x:c r="D717" s="9"/>
      <x:c r="E717" s="9"/>
      <x:c r="F717" s="11"/>
      <x:c r="G717" s="12" t="str">
        <x:f>IF(A717="","",SUMIFS('출고대장'!$D$7:$D$1006,'출고대장'!$A$7:$A$1006,A717))</x:f>
      </x:c>
      <x:c r="H717" s="12" t="str">
        <x:f>IF(A717="","",F717-G717)</x:f>
      </x:c>
      <x:c r="I717" s="12" t="str">
        <x:f>IF(A717="","",SUMIFS('출고대장'!$K$7:$K$1006,'출고대장'!$A$7:$A$1006,A717))</x:f>
      </x:c>
      <x:c r="J717" s="12" t="str">
        <x:f>IF(A717="","",SUMIFS('입금대장'!$C$7:$C$1006,'입금대장'!$A$7:$A$1006,A717,'입금대장'!$E$7:$E$1006,"정상"))</x:f>
      </x:c>
      <x:c r="K717" s="12" t="str">
        <x:f>IF(A717="","",I717-J717)</x:f>
      </x:c>
      <x:c r="L717" s="13" t="str">
        <x:f>IF(A717="","",IF(K717&lt;0,"선입금·초과입금",IF(I717=0,"청구 전",IF(K717=0,"정산 완료",IF(J717=0,"미입금","부분 입금")))))</x:f>
      </x:c>
      <x:c r="M717" s="9"/>
      <x:c r="N717" s="9"/>
    </x:row>
    <x:row r="718" ht="23" customHeight="1">
      <x:c r="A718" s="9"/>
      <x:c r="B718" s="10"/>
      <x:c r="C718" s="9"/>
      <x:c r="D718" s="9"/>
      <x:c r="E718" s="9"/>
      <x:c r="F718" s="11"/>
      <x:c r="G718" s="12" t="str">
        <x:f>IF(A718="","",SUMIFS('출고대장'!$D$7:$D$1006,'출고대장'!$A$7:$A$1006,A718))</x:f>
      </x:c>
      <x:c r="H718" s="12" t="str">
        <x:f>IF(A718="","",F718-G718)</x:f>
      </x:c>
      <x:c r="I718" s="12" t="str">
        <x:f>IF(A718="","",SUMIFS('출고대장'!$K$7:$K$1006,'출고대장'!$A$7:$A$1006,A718))</x:f>
      </x:c>
      <x:c r="J718" s="12" t="str">
        <x:f>IF(A718="","",SUMIFS('입금대장'!$C$7:$C$1006,'입금대장'!$A$7:$A$1006,A718,'입금대장'!$E$7:$E$1006,"정상"))</x:f>
      </x:c>
      <x:c r="K718" s="12" t="str">
        <x:f>IF(A718="","",I718-J718)</x:f>
      </x:c>
      <x:c r="L718" s="13" t="str">
        <x:f>IF(A718="","",IF(K718&lt;0,"선입금·초과입금",IF(I718=0,"청구 전",IF(K718=0,"정산 완료",IF(J718=0,"미입금","부분 입금")))))</x:f>
      </x:c>
      <x:c r="M718" s="9"/>
      <x:c r="N718" s="9"/>
    </x:row>
    <x:row r="719" ht="23" customHeight="1">
      <x:c r="A719" s="9"/>
      <x:c r="B719" s="10"/>
      <x:c r="C719" s="9"/>
      <x:c r="D719" s="9"/>
      <x:c r="E719" s="9"/>
      <x:c r="F719" s="11"/>
      <x:c r="G719" s="12" t="str">
        <x:f>IF(A719="","",SUMIFS('출고대장'!$D$7:$D$1006,'출고대장'!$A$7:$A$1006,A719))</x:f>
      </x:c>
      <x:c r="H719" s="12" t="str">
        <x:f>IF(A719="","",F719-G719)</x:f>
      </x:c>
      <x:c r="I719" s="12" t="str">
        <x:f>IF(A719="","",SUMIFS('출고대장'!$K$7:$K$1006,'출고대장'!$A$7:$A$1006,A719))</x:f>
      </x:c>
      <x:c r="J719" s="12" t="str">
        <x:f>IF(A719="","",SUMIFS('입금대장'!$C$7:$C$1006,'입금대장'!$A$7:$A$1006,A719,'입금대장'!$E$7:$E$1006,"정상"))</x:f>
      </x:c>
      <x:c r="K719" s="12" t="str">
        <x:f>IF(A719="","",I719-J719)</x:f>
      </x:c>
      <x:c r="L719" s="13" t="str">
        <x:f>IF(A719="","",IF(K719&lt;0,"선입금·초과입금",IF(I719=0,"청구 전",IF(K719=0,"정산 완료",IF(J719=0,"미입금","부분 입금")))))</x:f>
      </x:c>
      <x:c r="M719" s="9"/>
      <x:c r="N719" s="9"/>
    </x:row>
    <x:row r="720" ht="23" customHeight="1">
      <x:c r="A720" s="9"/>
      <x:c r="B720" s="10"/>
      <x:c r="C720" s="9"/>
      <x:c r="D720" s="9"/>
      <x:c r="E720" s="9"/>
      <x:c r="F720" s="11"/>
      <x:c r="G720" s="12" t="str">
        <x:f>IF(A720="","",SUMIFS('출고대장'!$D$7:$D$1006,'출고대장'!$A$7:$A$1006,A720))</x:f>
      </x:c>
      <x:c r="H720" s="12" t="str">
        <x:f>IF(A720="","",F720-G720)</x:f>
      </x:c>
      <x:c r="I720" s="12" t="str">
        <x:f>IF(A720="","",SUMIFS('출고대장'!$K$7:$K$1006,'출고대장'!$A$7:$A$1006,A720))</x:f>
      </x:c>
      <x:c r="J720" s="12" t="str">
        <x:f>IF(A720="","",SUMIFS('입금대장'!$C$7:$C$1006,'입금대장'!$A$7:$A$1006,A720,'입금대장'!$E$7:$E$1006,"정상"))</x:f>
      </x:c>
      <x:c r="K720" s="12" t="str">
        <x:f>IF(A720="","",I720-J720)</x:f>
      </x:c>
      <x:c r="L720" s="13" t="str">
        <x:f>IF(A720="","",IF(K720&lt;0,"선입금·초과입금",IF(I720=0,"청구 전",IF(K720=0,"정산 완료",IF(J720=0,"미입금","부분 입금")))))</x:f>
      </x:c>
      <x:c r="M720" s="9"/>
      <x:c r="N720" s="9"/>
    </x:row>
    <x:row r="721" ht="23" customHeight="1">
      <x:c r="A721" s="9"/>
      <x:c r="B721" s="10"/>
      <x:c r="C721" s="9"/>
      <x:c r="D721" s="9"/>
      <x:c r="E721" s="9"/>
      <x:c r="F721" s="11"/>
      <x:c r="G721" s="12" t="str">
        <x:f>IF(A721="","",SUMIFS('출고대장'!$D$7:$D$1006,'출고대장'!$A$7:$A$1006,A721))</x:f>
      </x:c>
      <x:c r="H721" s="12" t="str">
        <x:f>IF(A721="","",F721-G721)</x:f>
      </x:c>
      <x:c r="I721" s="12" t="str">
        <x:f>IF(A721="","",SUMIFS('출고대장'!$K$7:$K$1006,'출고대장'!$A$7:$A$1006,A721))</x:f>
      </x:c>
      <x:c r="J721" s="12" t="str">
        <x:f>IF(A721="","",SUMIFS('입금대장'!$C$7:$C$1006,'입금대장'!$A$7:$A$1006,A721,'입금대장'!$E$7:$E$1006,"정상"))</x:f>
      </x:c>
      <x:c r="K721" s="12" t="str">
        <x:f>IF(A721="","",I721-J721)</x:f>
      </x:c>
      <x:c r="L721" s="13" t="str">
        <x:f>IF(A721="","",IF(K721&lt;0,"선입금·초과입금",IF(I721=0,"청구 전",IF(K721=0,"정산 완료",IF(J721=0,"미입금","부분 입금")))))</x:f>
      </x:c>
      <x:c r="M721" s="9"/>
      <x:c r="N721" s="9"/>
    </x:row>
    <x:row r="722" ht="23" customHeight="1">
      <x:c r="A722" s="9"/>
      <x:c r="B722" s="10"/>
      <x:c r="C722" s="9"/>
      <x:c r="D722" s="9"/>
      <x:c r="E722" s="9"/>
      <x:c r="F722" s="11"/>
      <x:c r="G722" s="12" t="str">
        <x:f>IF(A722="","",SUMIFS('출고대장'!$D$7:$D$1006,'출고대장'!$A$7:$A$1006,A722))</x:f>
      </x:c>
      <x:c r="H722" s="12" t="str">
        <x:f>IF(A722="","",F722-G722)</x:f>
      </x:c>
      <x:c r="I722" s="12" t="str">
        <x:f>IF(A722="","",SUMIFS('출고대장'!$K$7:$K$1006,'출고대장'!$A$7:$A$1006,A722))</x:f>
      </x:c>
      <x:c r="J722" s="12" t="str">
        <x:f>IF(A722="","",SUMIFS('입금대장'!$C$7:$C$1006,'입금대장'!$A$7:$A$1006,A722,'입금대장'!$E$7:$E$1006,"정상"))</x:f>
      </x:c>
      <x:c r="K722" s="12" t="str">
        <x:f>IF(A722="","",I722-J722)</x:f>
      </x:c>
      <x:c r="L722" s="13" t="str">
        <x:f>IF(A722="","",IF(K722&lt;0,"선입금·초과입금",IF(I722=0,"청구 전",IF(K722=0,"정산 완료",IF(J722=0,"미입금","부분 입금")))))</x:f>
      </x:c>
      <x:c r="M722" s="9"/>
      <x:c r="N722" s="9"/>
    </x:row>
    <x:row r="723" ht="23" customHeight="1">
      <x:c r="A723" s="9"/>
      <x:c r="B723" s="10"/>
      <x:c r="C723" s="9"/>
      <x:c r="D723" s="9"/>
      <x:c r="E723" s="9"/>
      <x:c r="F723" s="11"/>
      <x:c r="G723" s="12" t="str">
        <x:f>IF(A723="","",SUMIFS('출고대장'!$D$7:$D$1006,'출고대장'!$A$7:$A$1006,A723))</x:f>
      </x:c>
      <x:c r="H723" s="12" t="str">
        <x:f>IF(A723="","",F723-G723)</x:f>
      </x:c>
      <x:c r="I723" s="12" t="str">
        <x:f>IF(A723="","",SUMIFS('출고대장'!$K$7:$K$1006,'출고대장'!$A$7:$A$1006,A723))</x:f>
      </x:c>
      <x:c r="J723" s="12" t="str">
        <x:f>IF(A723="","",SUMIFS('입금대장'!$C$7:$C$1006,'입금대장'!$A$7:$A$1006,A723,'입금대장'!$E$7:$E$1006,"정상"))</x:f>
      </x:c>
      <x:c r="K723" s="12" t="str">
        <x:f>IF(A723="","",I723-J723)</x:f>
      </x:c>
      <x:c r="L723" s="13" t="str">
        <x:f>IF(A723="","",IF(K723&lt;0,"선입금·초과입금",IF(I723=0,"청구 전",IF(K723=0,"정산 완료",IF(J723=0,"미입금","부분 입금")))))</x:f>
      </x:c>
      <x:c r="M723" s="9"/>
      <x:c r="N723" s="9"/>
    </x:row>
    <x:row r="724" ht="23" customHeight="1">
      <x:c r="A724" s="9"/>
      <x:c r="B724" s="10"/>
      <x:c r="C724" s="9"/>
      <x:c r="D724" s="9"/>
      <x:c r="E724" s="9"/>
      <x:c r="F724" s="11"/>
      <x:c r="G724" s="12" t="str">
        <x:f>IF(A724="","",SUMIFS('출고대장'!$D$7:$D$1006,'출고대장'!$A$7:$A$1006,A724))</x:f>
      </x:c>
      <x:c r="H724" s="12" t="str">
        <x:f>IF(A724="","",F724-G724)</x:f>
      </x:c>
      <x:c r="I724" s="12" t="str">
        <x:f>IF(A724="","",SUMIFS('출고대장'!$K$7:$K$1006,'출고대장'!$A$7:$A$1006,A724))</x:f>
      </x:c>
      <x:c r="J724" s="12" t="str">
        <x:f>IF(A724="","",SUMIFS('입금대장'!$C$7:$C$1006,'입금대장'!$A$7:$A$1006,A724,'입금대장'!$E$7:$E$1006,"정상"))</x:f>
      </x:c>
      <x:c r="K724" s="12" t="str">
        <x:f>IF(A724="","",I724-J724)</x:f>
      </x:c>
      <x:c r="L724" s="13" t="str">
        <x:f>IF(A724="","",IF(K724&lt;0,"선입금·초과입금",IF(I724=0,"청구 전",IF(K724=0,"정산 완료",IF(J724=0,"미입금","부분 입금")))))</x:f>
      </x:c>
      <x:c r="M724" s="9"/>
      <x:c r="N724" s="9"/>
    </x:row>
    <x:row r="725" ht="23" customHeight="1">
      <x:c r="A725" s="9"/>
      <x:c r="B725" s="10"/>
      <x:c r="C725" s="9"/>
      <x:c r="D725" s="9"/>
      <x:c r="E725" s="9"/>
      <x:c r="F725" s="11"/>
      <x:c r="G725" s="12" t="str">
        <x:f>IF(A725="","",SUMIFS('출고대장'!$D$7:$D$1006,'출고대장'!$A$7:$A$1006,A725))</x:f>
      </x:c>
      <x:c r="H725" s="12" t="str">
        <x:f>IF(A725="","",F725-G725)</x:f>
      </x:c>
      <x:c r="I725" s="12" t="str">
        <x:f>IF(A725="","",SUMIFS('출고대장'!$K$7:$K$1006,'출고대장'!$A$7:$A$1006,A725))</x:f>
      </x:c>
      <x:c r="J725" s="12" t="str">
        <x:f>IF(A725="","",SUMIFS('입금대장'!$C$7:$C$1006,'입금대장'!$A$7:$A$1006,A725,'입금대장'!$E$7:$E$1006,"정상"))</x:f>
      </x:c>
      <x:c r="K725" s="12" t="str">
        <x:f>IF(A725="","",I725-J725)</x:f>
      </x:c>
      <x:c r="L725" s="13" t="str">
        <x:f>IF(A725="","",IF(K725&lt;0,"선입금·초과입금",IF(I725=0,"청구 전",IF(K725=0,"정산 완료",IF(J725=0,"미입금","부분 입금")))))</x:f>
      </x:c>
      <x:c r="M725" s="9"/>
      <x:c r="N725" s="9"/>
    </x:row>
    <x:row r="726" ht="23" customHeight="1">
      <x:c r="A726" s="9"/>
      <x:c r="B726" s="10"/>
      <x:c r="C726" s="9"/>
      <x:c r="D726" s="9"/>
      <x:c r="E726" s="9"/>
      <x:c r="F726" s="11"/>
      <x:c r="G726" s="12" t="str">
        <x:f>IF(A726="","",SUMIFS('출고대장'!$D$7:$D$1006,'출고대장'!$A$7:$A$1006,A726))</x:f>
      </x:c>
      <x:c r="H726" s="12" t="str">
        <x:f>IF(A726="","",F726-G726)</x:f>
      </x:c>
      <x:c r="I726" s="12" t="str">
        <x:f>IF(A726="","",SUMIFS('출고대장'!$K$7:$K$1006,'출고대장'!$A$7:$A$1006,A726))</x:f>
      </x:c>
      <x:c r="J726" s="12" t="str">
        <x:f>IF(A726="","",SUMIFS('입금대장'!$C$7:$C$1006,'입금대장'!$A$7:$A$1006,A726,'입금대장'!$E$7:$E$1006,"정상"))</x:f>
      </x:c>
      <x:c r="K726" s="12" t="str">
        <x:f>IF(A726="","",I726-J726)</x:f>
      </x:c>
      <x:c r="L726" s="13" t="str">
        <x:f>IF(A726="","",IF(K726&lt;0,"선입금·초과입금",IF(I726=0,"청구 전",IF(K726=0,"정산 완료",IF(J726=0,"미입금","부분 입금")))))</x:f>
      </x:c>
      <x:c r="M726" s="9"/>
      <x:c r="N726" s="9"/>
    </x:row>
    <x:row r="727" ht="23" customHeight="1">
      <x:c r="A727" s="9"/>
      <x:c r="B727" s="10"/>
      <x:c r="C727" s="9"/>
      <x:c r="D727" s="9"/>
      <x:c r="E727" s="9"/>
      <x:c r="F727" s="11"/>
      <x:c r="G727" s="12" t="str">
        <x:f>IF(A727="","",SUMIFS('출고대장'!$D$7:$D$1006,'출고대장'!$A$7:$A$1006,A727))</x:f>
      </x:c>
      <x:c r="H727" s="12" t="str">
        <x:f>IF(A727="","",F727-G727)</x:f>
      </x:c>
      <x:c r="I727" s="12" t="str">
        <x:f>IF(A727="","",SUMIFS('출고대장'!$K$7:$K$1006,'출고대장'!$A$7:$A$1006,A727))</x:f>
      </x:c>
      <x:c r="J727" s="12" t="str">
        <x:f>IF(A727="","",SUMIFS('입금대장'!$C$7:$C$1006,'입금대장'!$A$7:$A$1006,A727,'입금대장'!$E$7:$E$1006,"정상"))</x:f>
      </x:c>
      <x:c r="K727" s="12" t="str">
        <x:f>IF(A727="","",I727-J727)</x:f>
      </x:c>
      <x:c r="L727" s="13" t="str">
        <x:f>IF(A727="","",IF(K727&lt;0,"선입금·초과입금",IF(I727=0,"청구 전",IF(K727=0,"정산 완료",IF(J727=0,"미입금","부분 입금")))))</x:f>
      </x:c>
      <x:c r="M727" s="9"/>
      <x:c r="N727" s="9"/>
    </x:row>
    <x:row r="728" ht="23" customHeight="1">
      <x:c r="A728" s="9"/>
      <x:c r="B728" s="10"/>
      <x:c r="C728" s="9"/>
      <x:c r="D728" s="9"/>
      <x:c r="E728" s="9"/>
      <x:c r="F728" s="11"/>
      <x:c r="G728" s="12" t="str">
        <x:f>IF(A728="","",SUMIFS('출고대장'!$D$7:$D$1006,'출고대장'!$A$7:$A$1006,A728))</x:f>
      </x:c>
      <x:c r="H728" s="12" t="str">
        <x:f>IF(A728="","",F728-G728)</x:f>
      </x:c>
      <x:c r="I728" s="12" t="str">
        <x:f>IF(A728="","",SUMIFS('출고대장'!$K$7:$K$1006,'출고대장'!$A$7:$A$1006,A728))</x:f>
      </x:c>
      <x:c r="J728" s="12" t="str">
        <x:f>IF(A728="","",SUMIFS('입금대장'!$C$7:$C$1006,'입금대장'!$A$7:$A$1006,A728,'입금대장'!$E$7:$E$1006,"정상"))</x:f>
      </x:c>
      <x:c r="K728" s="12" t="str">
        <x:f>IF(A728="","",I728-J728)</x:f>
      </x:c>
      <x:c r="L728" s="13" t="str">
        <x:f>IF(A728="","",IF(K728&lt;0,"선입금·초과입금",IF(I728=0,"청구 전",IF(K728=0,"정산 완료",IF(J728=0,"미입금","부분 입금")))))</x:f>
      </x:c>
      <x:c r="M728" s="9"/>
      <x:c r="N728" s="9"/>
    </x:row>
    <x:row r="729" ht="23" customHeight="1">
      <x:c r="A729" s="9"/>
      <x:c r="B729" s="10"/>
      <x:c r="C729" s="9"/>
      <x:c r="D729" s="9"/>
      <x:c r="E729" s="9"/>
      <x:c r="F729" s="11"/>
      <x:c r="G729" s="12" t="str">
        <x:f>IF(A729="","",SUMIFS('출고대장'!$D$7:$D$1006,'출고대장'!$A$7:$A$1006,A729))</x:f>
      </x:c>
      <x:c r="H729" s="12" t="str">
        <x:f>IF(A729="","",F729-G729)</x:f>
      </x:c>
      <x:c r="I729" s="12" t="str">
        <x:f>IF(A729="","",SUMIFS('출고대장'!$K$7:$K$1006,'출고대장'!$A$7:$A$1006,A729))</x:f>
      </x:c>
      <x:c r="J729" s="12" t="str">
        <x:f>IF(A729="","",SUMIFS('입금대장'!$C$7:$C$1006,'입금대장'!$A$7:$A$1006,A729,'입금대장'!$E$7:$E$1006,"정상"))</x:f>
      </x:c>
      <x:c r="K729" s="12" t="str">
        <x:f>IF(A729="","",I729-J729)</x:f>
      </x:c>
      <x:c r="L729" s="13" t="str">
        <x:f>IF(A729="","",IF(K729&lt;0,"선입금·초과입금",IF(I729=0,"청구 전",IF(K729=0,"정산 완료",IF(J729=0,"미입금","부분 입금")))))</x:f>
      </x:c>
      <x:c r="M729" s="9"/>
      <x:c r="N729" s="9"/>
    </x:row>
    <x:row r="730" ht="23" customHeight="1">
      <x:c r="A730" s="9"/>
      <x:c r="B730" s="10"/>
      <x:c r="C730" s="9"/>
      <x:c r="D730" s="9"/>
      <x:c r="E730" s="9"/>
      <x:c r="F730" s="11"/>
      <x:c r="G730" s="12" t="str">
        <x:f>IF(A730="","",SUMIFS('출고대장'!$D$7:$D$1006,'출고대장'!$A$7:$A$1006,A730))</x:f>
      </x:c>
      <x:c r="H730" s="12" t="str">
        <x:f>IF(A730="","",F730-G730)</x:f>
      </x:c>
      <x:c r="I730" s="12" t="str">
        <x:f>IF(A730="","",SUMIFS('출고대장'!$K$7:$K$1006,'출고대장'!$A$7:$A$1006,A730))</x:f>
      </x:c>
      <x:c r="J730" s="12" t="str">
        <x:f>IF(A730="","",SUMIFS('입금대장'!$C$7:$C$1006,'입금대장'!$A$7:$A$1006,A730,'입금대장'!$E$7:$E$1006,"정상"))</x:f>
      </x:c>
      <x:c r="K730" s="12" t="str">
        <x:f>IF(A730="","",I730-J730)</x:f>
      </x:c>
      <x:c r="L730" s="13" t="str">
        <x:f>IF(A730="","",IF(K730&lt;0,"선입금·초과입금",IF(I730=0,"청구 전",IF(K730=0,"정산 완료",IF(J730=0,"미입금","부분 입금")))))</x:f>
      </x:c>
      <x:c r="M730" s="9"/>
      <x:c r="N730" s="9"/>
    </x:row>
    <x:row r="731" ht="23" customHeight="1">
      <x:c r="A731" s="9"/>
      <x:c r="B731" s="10"/>
      <x:c r="C731" s="9"/>
      <x:c r="D731" s="9"/>
      <x:c r="E731" s="9"/>
      <x:c r="F731" s="11"/>
      <x:c r="G731" s="12" t="str">
        <x:f>IF(A731="","",SUMIFS('출고대장'!$D$7:$D$1006,'출고대장'!$A$7:$A$1006,A731))</x:f>
      </x:c>
      <x:c r="H731" s="12" t="str">
        <x:f>IF(A731="","",F731-G731)</x:f>
      </x:c>
      <x:c r="I731" s="12" t="str">
        <x:f>IF(A731="","",SUMIFS('출고대장'!$K$7:$K$1006,'출고대장'!$A$7:$A$1006,A731))</x:f>
      </x:c>
      <x:c r="J731" s="12" t="str">
        <x:f>IF(A731="","",SUMIFS('입금대장'!$C$7:$C$1006,'입금대장'!$A$7:$A$1006,A731,'입금대장'!$E$7:$E$1006,"정상"))</x:f>
      </x:c>
      <x:c r="K731" s="12" t="str">
        <x:f>IF(A731="","",I731-J731)</x:f>
      </x:c>
      <x:c r="L731" s="13" t="str">
        <x:f>IF(A731="","",IF(K731&lt;0,"선입금·초과입금",IF(I731=0,"청구 전",IF(K731=0,"정산 완료",IF(J731=0,"미입금","부분 입금")))))</x:f>
      </x:c>
      <x:c r="M731" s="9"/>
      <x:c r="N731" s="9"/>
    </x:row>
    <x:row r="732" ht="23" customHeight="1">
      <x:c r="A732" s="9"/>
      <x:c r="B732" s="10"/>
      <x:c r="C732" s="9"/>
      <x:c r="D732" s="9"/>
      <x:c r="E732" s="9"/>
      <x:c r="F732" s="11"/>
      <x:c r="G732" s="12" t="str">
        <x:f>IF(A732="","",SUMIFS('출고대장'!$D$7:$D$1006,'출고대장'!$A$7:$A$1006,A732))</x:f>
      </x:c>
      <x:c r="H732" s="12" t="str">
        <x:f>IF(A732="","",F732-G732)</x:f>
      </x:c>
      <x:c r="I732" s="12" t="str">
        <x:f>IF(A732="","",SUMIFS('출고대장'!$K$7:$K$1006,'출고대장'!$A$7:$A$1006,A732))</x:f>
      </x:c>
      <x:c r="J732" s="12" t="str">
        <x:f>IF(A732="","",SUMIFS('입금대장'!$C$7:$C$1006,'입금대장'!$A$7:$A$1006,A732,'입금대장'!$E$7:$E$1006,"정상"))</x:f>
      </x:c>
      <x:c r="K732" s="12" t="str">
        <x:f>IF(A732="","",I732-J732)</x:f>
      </x:c>
      <x:c r="L732" s="13" t="str">
        <x:f>IF(A732="","",IF(K732&lt;0,"선입금·초과입금",IF(I732=0,"청구 전",IF(K732=0,"정산 완료",IF(J732=0,"미입금","부분 입금")))))</x:f>
      </x:c>
      <x:c r="M732" s="9"/>
      <x:c r="N732" s="9"/>
    </x:row>
    <x:row r="733" ht="23" customHeight="1">
      <x:c r="A733" s="9"/>
      <x:c r="B733" s="10"/>
      <x:c r="C733" s="9"/>
      <x:c r="D733" s="9"/>
      <x:c r="E733" s="9"/>
      <x:c r="F733" s="11"/>
      <x:c r="G733" s="12" t="str">
        <x:f>IF(A733="","",SUMIFS('출고대장'!$D$7:$D$1006,'출고대장'!$A$7:$A$1006,A733))</x:f>
      </x:c>
      <x:c r="H733" s="12" t="str">
        <x:f>IF(A733="","",F733-G733)</x:f>
      </x:c>
      <x:c r="I733" s="12" t="str">
        <x:f>IF(A733="","",SUMIFS('출고대장'!$K$7:$K$1006,'출고대장'!$A$7:$A$1006,A733))</x:f>
      </x:c>
      <x:c r="J733" s="12" t="str">
        <x:f>IF(A733="","",SUMIFS('입금대장'!$C$7:$C$1006,'입금대장'!$A$7:$A$1006,A733,'입금대장'!$E$7:$E$1006,"정상"))</x:f>
      </x:c>
      <x:c r="K733" s="12" t="str">
        <x:f>IF(A733="","",I733-J733)</x:f>
      </x:c>
      <x:c r="L733" s="13" t="str">
        <x:f>IF(A733="","",IF(K733&lt;0,"선입금·초과입금",IF(I733=0,"청구 전",IF(K733=0,"정산 완료",IF(J733=0,"미입금","부분 입금")))))</x:f>
      </x:c>
      <x:c r="M733" s="9"/>
      <x:c r="N733" s="9"/>
    </x:row>
    <x:row r="734" ht="23" customHeight="1">
      <x:c r="A734" s="9"/>
      <x:c r="B734" s="10"/>
      <x:c r="C734" s="9"/>
      <x:c r="D734" s="9"/>
      <x:c r="E734" s="9"/>
      <x:c r="F734" s="11"/>
      <x:c r="G734" s="12" t="str">
        <x:f>IF(A734="","",SUMIFS('출고대장'!$D$7:$D$1006,'출고대장'!$A$7:$A$1006,A734))</x:f>
      </x:c>
      <x:c r="H734" s="12" t="str">
        <x:f>IF(A734="","",F734-G734)</x:f>
      </x:c>
      <x:c r="I734" s="12" t="str">
        <x:f>IF(A734="","",SUMIFS('출고대장'!$K$7:$K$1006,'출고대장'!$A$7:$A$1006,A734))</x:f>
      </x:c>
      <x:c r="J734" s="12" t="str">
        <x:f>IF(A734="","",SUMIFS('입금대장'!$C$7:$C$1006,'입금대장'!$A$7:$A$1006,A734,'입금대장'!$E$7:$E$1006,"정상"))</x:f>
      </x:c>
      <x:c r="K734" s="12" t="str">
        <x:f>IF(A734="","",I734-J734)</x:f>
      </x:c>
      <x:c r="L734" s="13" t="str">
        <x:f>IF(A734="","",IF(K734&lt;0,"선입금·초과입금",IF(I734=0,"청구 전",IF(K734=0,"정산 완료",IF(J734=0,"미입금","부분 입금")))))</x:f>
      </x:c>
      <x:c r="M734" s="9"/>
      <x:c r="N734" s="9"/>
    </x:row>
    <x:row r="735" ht="23" customHeight="1">
      <x:c r="A735" s="9"/>
      <x:c r="B735" s="10"/>
      <x:c r="C735" s="9"/>
      <x:c r="D735" s="9"/>
      <x:c r="E735" s="9"/>
      <x:c r="F735" s="11"/>
      <x:c r="G735" s="12" t="str">
        <x:f>IF(A735="","",SUMIFS('출고대장'!$D$7:$D$1006,'출고대장'!$A$7:$A$1006,A735))</x:f>
      </x:c>
      <x:c r="H735" s="12" t="str">
        <x:f>IF(A735="","",F735-G735)</x:f>
      </x:c>
      <x:c r="I735" s="12" t="str">
        <x:f>IF(A735="","",SUMIFS('출고대장'!$K$7:$K$1006,'출고대장'!$A$7:$A$1006,A735))</x:f>
      </x:c>
      <x:c r="J735" s="12" t="str">
        <x:f>IF(A735="","",SUMIFS('입금대장'!$C$7:$C$1006,'입금대장'!$A$7:$A$1006,A735,'입금대장'!$E$7:$E$1006,"정상"))</x:f>
      </x:c>
      <x:c r="K735" s="12" t="str">
        <x:f>IF(A735="","",I735-J735)</x:f>
      </x:c>
      <x:c r="L735" s="13" t="str">
        <x:f>IF(A735="","",IF(K735&lt;0,"선입금·초과입금",IF(I735=0,"청구 전",IF(K735=0,"정산 완료",IF(J735=0,"미입금","부분 입금")))))</x:f>
      </x:c>
      <x:c r="M735" s="9"/>
      <x:c r="N735" s="9"/>
    </x:row>
    <x:row r="736" ht="23" customHeight="1">
      <x:c r="A736" s="9"/>
      <x:c r="B736" s="10"/>
      <x:c r="C736" s="9"/>
      <x:c r="D736" s="9"/>
      <x:c r="E736" s="9"/>
      <x:c r="F736" s="11"/>
      <x:c r="G736" s="12" t="str">
        <x:f>IF(A736="","",SUMIFS('출고대장'!$D$7:$D$1006,'출고대장'!$A$7:$A$1006,A736))</x:f>
      </x:c>
      <x:c r="H736" s="12" t="str">
        <x:f>IF(A736="","",F736-G736)</x:f>
      </x:c>
      <x:c r="I736" s="12" t="str">
        <x:f>IF(A736="","",SUMIFS('출고대장'!$K$7:$K$1006,'출고대장'!$A$7:$A$1006,A736))</x:f>
      </x:c>
      <x:c r="J736" s="12" t="str">
        <x:f>IF(A736="","",SUMIFS('입금대장'!$C$7:$C$1006,'입금대장'!$A$7:$A$1006,A736,'입금대장'!$E$7:$E$1006,"정상"))</x:f>
      </x:c>
      <x:c r="K736" s="12" t="str">
        <x:f>IF(A736="","",I736-J736)</x:f>
      </x:c>
      <x:c r="L736" s="13" t="str">
        <x:f>IF(A736="","",IF(K736&lt;0,"선입금·초과입금",IF(I736=0,"청구 전",IF(K736=0,"정산 완료",IF(J736=0,"미입금","부분 입금")))))</x:f>
      </x:c>
      <x:c r="M736" s="9"/>
      <x:c r="N736" s="9"/>
    </x:row>
    <x:row r="737" ht="23" customHeight="1">
      <x:c r="A737" s="9"/>
      <x:c r="B737" s="10"/>
      <x:c r="C737" s="9"/>
      <x:c r="D737" s="9"/>
      <x:c r="E737" s="9"/>
      <x:c r="F737" s="11"/>
      <x:c r="G737" s="12" t="str">
        <x:f>IF(A737="","",SUMIFS('출고대장'!$D$7:$D$1006,'출고대장'!$A$7:$A$1006,A737))</x:f>
      </x:c>
      <x:c r="H737" s="12" t="str">
        <x:f>IF(A737="","",F737-G737)</x:f>
      </x:c>
      <x:c r="I737" s="12" t="str">
        <x:f>IF(A737="","",SUMIFS('출고대장'!$K$7:$K$1006,'출고대장'!$A$7:$A$1006,A737))</x:f>
      </x:c>
      <x:c r="J737" s="12" t="str">
        <x:f>IF(A737="","",SUMIFS('입금대장'!$C$7:$C$1006,'입금대장'!$A$7:$A$1006,A737,'입금대장'!$E$7:$E$1006,"정상"))</x:f>
      </x:c>
      <x:c r="K737" s="12" t="str">
        <x:f>IF(A737="","",I737-J737)</x:f>
      </x:c>
      <x:c r="L737" s="13" t="str">
        <x:f>IF(A737="","",IF(K737&lt;0,"선입금·초과입금",IF(I737=0,"청구 전",IF(K737=0,"정산 완료",IF(J737=0,"미입금","부분 입금")))))</x:f>
      </x:c>
      <x:c r="M737" s="9"/>
      <x:c r="N737" s="9"/>
    </x:row>
    <x:row r="738" ht="23" customHeight="1">
      <x:c r="A738" s="9"/>
      <x:c r="B738" s="10"/>
      <x:c r="C738" s="9"/>
      <x:c r="D738" s="9"/>
      <x:c r="E738" s="9"/>
      <x:c r="F738" s="11"/>
      <x:c r="G738" s="12" t="str">
        <x:f>IF(A738="","",SUMIFS('출고대장'!$D$7:$D$1006,'출고대장'!$A$7:$A$1006,A738))</x:f>
      </x:c>
      <x:c r="H738" s="12" t="str">
        <x:f>IF(A738="","",F738-G738)</x:f>
      </x:c>
      <x:c r="I738" s="12" t="str">
        <x:f>IF(A738="","",SUMIFS('출고대장'!$K$7:$K$1006,'출고대장'!$A$7:$A$1006,A738))</x:f>
      </x:c>
      <x:c r="J738" s="12" t="str">
        <x:f>IF(A738="","",SUMIFS('입금대장'!$C$7:$C$1006,'입금대장'!$A$7:$A$1006,A738,'입금대장'!$E$7:$E$1006,"정상"))</x:f>
      </x:c>
      <x:c r="K738" s="12" t="str">
        <x:f>IF(A738="","",I738-J738)</x:f>
      </x:c>
      <x:c r="L738" s="13" t="str">
        <x:f>IF(A738="","",IF(K738&lt;0,"선입금·초과입금",IF(I738=0,"청구 전",IF(K738=0,"정산 완료",IF(J738=0,"미입금","부분 입금")))))</x:f>
      </x:c>
      <x:c r="M738" s="9"/>
      <x:c r="N738" s="9"/>
    </x:row>
    <x:row r="739" ht="23" customHeight="1">
      <x:c r="A739" s="9"/>
      <x:c r="B739" s="10"/>
      <x:c r="C739" s="9"/>
      <x:c r="D739" s="9"/>
      <x:c r="E739" s="9"/>
      <x:c r="F739" s="11"/>
      <x:c r="G739" s="12" t="str">
        <x:f>IF(A739="","",SUMIFS('출고대장'!$D$7:$D$1006,'출고대장'!$A$7:$A$1006,A739))</x:f>
      </x:c>
      <x:c r="H739" s="12" t="str">
        <x:f>IF(A739="","",F739-G739)</x:f>
      </x:c>
      <x:c r="I739" s="12" t="str">
        <x:f>IF(A739="","",SUMIFS('출고대장'!$K$7:$K$1006,'출고대장'!$A$7:$A$1006,A739))</x:f>
      </x:c>
      <x:c r="J739" s="12" t="str">
        <x:f>IF(A739="","",SUMIFS('입금대장'!$C$7:$C$1006,'입금대장'!$A$7:$A$1006,A739,'입금대장'!$E$7:$E$1006,"정상"))</x:f>
      </x:c>
      <x:c r="K739" s="12" t="str">
        <x:f>IF(A739="","",I739-J739)</x:f>
      </x:c>
      <x:c r="L739" s="13" t="str">
        <x:f>IF(A739="","",IF(K739&lt;0,"선입금·초과입금",IF(I739=0,"청구 전",IF(K739=0,"정산 완료",IF(J739=0,"미입금","부분 입금")))))</x:f>
      </x:c>
      <x:c r="M739" s="9"/>
      <x:c r="N739" s="9"/>
    </x:row>
    <x:row r="740" ht="23" customHeight="1">
      <x:c r="A740" s="9"/>
      <x:c r="B740" s="10"/>
      <x:c r="C740" s="9"/>
      <x:c r="D740" s="9"/>
      <x:c r="E740" s="9"/>
      <x:c r="F740" s="11"/>
      <x:c r="G740" s="12" t="str">
        <x:f>IF(A740="","",SUMIFS('출고대장'!$D$7:$D$1006,'출고대장'!$A$7:$A$1006,A740))</x:f>
      </x:c>
      <x:c r="H740" s="12" t="str">
        <x:f>IF(A740="","",F740-G740)</x:f>
      </x:c>
      <x:c r="I740" s="12" t="str">
        <x:f>IF(A740="","",SUMIFS('출고대장'!$K$7:$K$1006,'출고대장'!$A$7:$A$1006,A740))</x:f>
      </x:c>
      <x:c r="J740" s="12" t="str">
        <x:f>IF(A740="","",SUMIFS('입금대장'!$C$7:$C$1006,'입금대장'!$A$7:$A$1006,A740,'입금대장'!$E$7:$E$1006,"정상"))</x:f>
      </x:c>
      <x:c r="K740" s="12" t="str">
        <x:f>IF(A740="","",I740-J740)</x:f>
      </x:c>
      <x:c r="L740" s="13" t="str">
        <x:f>IF(A740="","",IF(K740&lt;0,"선입금·초과입금",IF(I740=0,"청구 전",IF(K740=0,"정산 완료",IF(J740=0,"미입금","부분 입금")))))</x:f>
      </x:c>
      <x:c r="M740" s="9"/>
      <x:c r="N740" s="9"/>
    </x:row>
    <x:row r="741" ht="23" customHeight="1">
      <x:c r="A741" s="9"/>
      <x:c r="B741" s="10"/>
      <x:c r="C741" s="9"/>
      <x:c r="D741" s="9"/>
      <x:c r="E741" s="9"/>
      <x:c r="F741" s="11"/>
      <x:c r="G741" s="12" t="str">
        <x:f>IF(A741="","",SUMIFS('출고대장'!$D$7:$D$1006,'출고대장'!$A$7:$A$1006,A741))</x:f>
      </x:c>
      <x:c r="H741" s="12" t="str">
        <x:f>IF(A741="","",F741-G741)</x:f>
      </x:c>
      <x:c r="I741" s="12" t="str">
        <x:f>IF(A741="","",SUMIFS('출고대장'!$K$7:$K$1006,'출고대장'!$A$7:$A$1006,A741))</x:f>
      </x:c>
      <x:c r="J741" s="12" t="str">
        <x:f>IF(A741="","",SUMIFS('입금대장'!$C$7:$C$1006,'입금대장'!$A$7:$A$1006,A741,'입금대장'!$E$7:$E$1006,"정상"))</x:f>
      </x:c>
      <x:c r="K741" s="12" t="str">
        <x:f>IF(A741="","",I741-J741)</x:f>
      </x:c>
      <x:c r="L741" s="13" t="str">
        <x:f>IF(A741="","",IF(K741&lt;0,"선입금·초과입금",IF(I741=0,"청구 전",IF(K741=0,"정산 완료",IF(J741=0,"미입금","부분 입금")))))</x:f>
      </x:c>
      <x:c r="M741" s="9"/>
      <x:c r="N741" s="9"/>
    </x:row>
    <x:row r="742" ht="23" customHeight="1">
      <x:c r="A742" s="9"/>
      <x:c r="B742" s="10"/>
      <x:c r="C742" s="9"/>
      <x:c r="D742" s="9"/>
      <x:c r="E742" s="9"/>
      <x:c r="F742" s="11"/>
      <x:c r="G742" s="12" t="str">
        <x:f>IF(A742="","",SUMIFS('출고대장'!$D$7:$D$1006,'출고대장'!$A$7:$A$1006,A742))</x:f>
      </x:c>
      <x:c r="H742" s="12" t="str">
        <x:f>IF(A742="","",F742-G742)</x:f>
      </x:c>
      <x:c r="I742" s="12" t="str">
        <x:f>IF(A742="","",SUMIFS('출고대장'!$K$7:$K$1006,'출고대장'!$A$7:$A$1006,A742))</x:f>
      </x:c>
      <x:c r="J742" s="12" t="str">
        <x:f>IF(A742="","",SUMIFS('입금대장'!$C$7:$C$1006,'입금대장'!$A$7:$A$1006,A742,'입금대장'!$E$7:$E$1006,"정상"))</x:f>
      </x:c>
      <x:c r="K742" s="12" t="str">
        <x:f>IF(A742="","",I742-J742)</x:f>
      </x:c>
      <x:c r="L742" s="13" t="str">
        <x:f>IF(A742="","",IF(K742&lt;0,"선입금·초과입금",IF(I742=0,"청구 전",IF(K742=0,"정산 완료",IF(J742=0,"미입금","부분 입금")))))</x:f>
      </x:c>
      <x:c r="M742" s="9"/>
      <x:c r="N742" s="9"/>
    </x:row>
    <x:row r="743" ht="23" customHeight="1">
      <x:c r="A743" s="9"/>
      <x:c r="B743" s="10"/>
      <x:c r="C743" s="9"/>
      <x:c r="D743" s="9"/>
      <x:c r="E743" s="9"/>
      <x:c r="F743" s="11"/>
      <x:c r="G743" s="12" t="str">
        <x:f>IF(A743="","",SUMIFS('출고대장'!$D$7:$D$1006,'출고대장'!$A$7:$A$1006,A743))</x:f>
      </x:c>
      <x:c r="H743" s="12" t="str">
        <x:f>IF(A743="","",F743-G743)</x:f>
      </x:c>
      <x:c r="I743" s="12" t="str">
        <x:f>IF(A743="","",SUMIFS('출고대장'!$K$7:$K$1006,'출고대장'!$A$7:$A$1006,A743))</x:f>
      </x:c>
      <x:c r="J743" s="12" t="str">
        <x:f>IF(A743="","",SUMIFS('입금대장'!$C$7:$C$1006,'입금대장'!$A$7:$A$1006,A743,'입금대장'!$E$7:$E$1006,"정상"))</x:f>
      </x:c>
      <x:c r="K743" s="12" t="str">
        <x:f>IF(A743="","",I743-J743)</x:f>
      </x:c>
      <x:c r="L743" s="13" t="str">
        <x:f>IF(A743="","",IF(K743&lt;0,"선입금·초과입금",IF(I743=0,"청구 전",IF(K743=0,"정산 완료",IF(J743=0,"미입금","부분 입금")))))</x:f>
      </x:c>
      <x:c r="M743" s="9"/>
      <x:c r="N743" s="9"/>
    </x:row>
    <x:row r="744" ht="23" customHeight="1">
      <x:c r="A744" s="9"/>
      <x:c r="B744" s="10"/>
      <x:c r="C744" s="9"/>
      <x:c r="D744" s="9"/>
      <x:c r="E744" s="9"/>
      <x:c r="F744" s="11"/>
      <x:c r="G744" s="12" t="str">
        <x:f>IF(A744="","",SUMIFS('출고대장'!$D$7:$D$1006,'출고대장'!$A$7:$A$1006,A744))</x:f>
      </x:c>
      <x:c r="H744" s="12" t="str">
        <x:f>IF(A744="","",F744-G744)</x:f>
      </x:c>
      <x:c r="I744" s="12" t="str">
        <x:f>IF(A744="","",SUMIFS('출고대장'!$K$7:$K$1006,'출고대장'!$A$7:$A$1006,A744))</x:f>
      </x:c>
      <x:c r="J744" s="12" t="str">
        <x:f>IF(A744="","",SUMIFS('입금대장'!$C$7:$C$1006,'입금대장'!$A$7:$A$1006,A744,'입금대장'!$E$7:$E$1006,"정상"))</x:f>
      </x:c>
      <x:c r="K744" s="12" t="str">
        <x:f>IF(A744="","",I744-J744)</x:f>
      </x:c>
      <x:c r="L744" s="13" t="str">
        <x:f>IF(A744="","",IF(K744&lt;0,"선입금·초과입금",IF(I744=0,"청구 전",IF(K744=0,"정산 완료",IF(J744=0,"미입금","부분 입금")))))</x:f>
      </x:c>
      <x:c r="M744" s="9"/>
      <x:c r="N744" s="9"/>
    </x:row>
    <x:row r="745" ht="23" customHeight="1">
      <x:c r="A745" s="9"/>
      <x:c r="B745" s="10"/>
      <x:c r="C745" s="9"/>
      <x:c r="D745" s="9"/>
      <x:c r="E745" s="9"/>
      <x:c r="F745" s="11"/>
      <x:c r="G745" s="12" t="str">
        <x:f>IF(A745="","",SUMIFS('출고대장'!$D$7:$D$1006,'출고대장'!$A$7:$A$1006,A745))</x:f>
      </x:c>
      <x:c r="H745" s="12" t="str">
        <x:f>IF(A745="","",F745-G745)</x:f>
      </x:c>
      <x:c r="I745" s="12" t="str">
        <x:f>IF(A745="","",SUMIFS('출고대장'!$K$7:$K$1006,'출고대장'!$A$7:$A$1006,A745))</x:f>
      </x:c>
      <x:c r="J745" s="12" t="str">
        <x:f>IF(A745="","",SUMIFS('입금대장'!$C$7:$C$1006,'입금대장'!$A$7:$A$1006,A745,'입금대장'!$E$7:$E$1006,"정상"))</x:f>
      </x:c>
      <x:c r="K745" s="12" t="str">
        <x:f>IF(A745="","",I745-J745)</x:f>
      </x:c>
      <x:c r="L745" s="13" t="str">
        <x:f>IF(A745="","",IF(K745&lt;0,"선입금·초과입금",IF(I745=0,"청구 전",IF(K745=0,"정산 완료",IF(J745=0,"미입금","부분 입금")))))</x:f>
      </x:c>
      <x:c r="M745" s="9"/>
      <x:c r="N745" s="9"/>
    </x:row>
    <x:row r="746" ht="23" customHeight="1">
      <x:c r="A746" s="9"/>
      <x:c r="B746" s="10"/>
      <x:c r="C746" s="9"/>
      <x:c r="D746" s="9"/>
      <x:c r="E746" s="9"/>
      <x:c r="F746" s="11"/>
      <x:c r="G746" s="12" t="str">
        <x:f>IF(A746="","",SUMIFS('출고대장'!$D$7:$D$1006,'출고대장'!$A$7:$A$1006,A746))</x:f>
      </x:c>
      <x:c r="H746" s="12" t="str">
        <x:f>IF(A746="","",F746-G746)</x:f>
      </x:c>
      <x:c r="I746" s="12" t="str">
        <x:f>IF(A746="","",SUMIFS('출고대장'!$K$7:$K$1006,'출고대장'!$A$7:$A$1006,A746))</x:f>
      </x:c>
      <x:c r="J746" s="12" t="str">
        <x:f>IF(A746="","",SUMIFS('입금대장'!$C$7:$C$1006,'입금대장'!$A$7:$A$1006,A746,'입금대장'!$E$7:$E$1006,"정상"))</x:f>
      </x:c>
      <x:c r="K746" s="12" t="str">
        <x:f>IF(A746="","",I746-J746)</x:f>
      </x:c>
      <x:c r="L746" s="13" t="str">
        <x:f>IF(A746="","",IF(K746&lt;0,"선입금·초과입금",IF(I746=0,"청구 전",IF(K746=0,"정산 완료",IF(J746=0,"미입금","부분 입금")))))</x:f>
      </x:c>
      <x:c r="M746" s="9"/>
      <x:c r="N746" s="9"/>
    </x:row>
    <x:row r="747" ht="23" customHeight="1">
      <x:c r="A747" s="9"/>
      <x:c r="B747" s="10"/>
      <x:c r="C747" s="9"/>
      <x:c r="D747" s="9"/>
      <x:c r="E747" s="9"/>
      <x:c r="F747" s="11"/>
      <x:c r="G747" s="12" t="str">
        <x:f>IF(A747="","",SUMIFS('출고대장'!$D$7:$D$1006,'출고대장'!$A$7:$A$1006,A747))</x:f>
      </x:c>
      <x:c r="H747" s="12" t="str">
        <x:f>IF(A747="","",F747-G747)</x:f>
      </x:c>
      <x:c r="I747" s="12" t="str">
        <x:f>IF(A747="","",SUMIFS('출고대장'!$K$7:$K$1006,'출고대장'!$A$7:$A$1006,A747))</x:f>
      </x:c>
      <x:c r="J747" s="12" t="str">
        <x:f>IF(A747="","",SUMIFS('입금대장'!$C$7:$C$1006,'입금대장'!$A$7:$A$1006,A747,'입금대장'!$E$7:$E$1006,"정상"))</x:f>
      </x:c>
      <x:c r="K747" s="12" t="str">
        <x:f>IF(A747="","",I747-J747)</x:f>
      </x:c>
      <x:c r="L747" s="13" t="str">
        <x:f>IF(A747="","",IF(K747&lt;0,"선입금·초과입금",IF(I747=0,"청구 전",IF(K747=0,"정산 완료",IF(J747=0,"미입금","부분 입금")))))</x:f>
      </x:c>
      <x:c r="M747" s="9"/>
      <x:c r="N747" s="9"/>
    </x:row>
    <x:row r="748" ht="23" customHeight="1">
      <x:c r="A748" s="9"/>
      <x:c r="B748" s="10"/>
      <x:c r="C748" s="9"/>
      <x:c r="D748" s="9"/>
      <x:c r="E748" s="9"/>
      <x:c r="F748" s="11"/>
      <x:c r="G748" s="12" t="str">
        <x:f>IF(A748="","",SUMIFS('출고대장'!$D$7:$D$1006,'출고대장'!$A$7:$A$1006,A748))</x:f>
      </x:c>
      <x:c r="H748" s="12" t="str">
        <x:f>IF(A748="","",F748-G748)</x:f>
      </x:c>
      <x:c r="I748" s="12" t="str">
        <x:f>IF(A748="","",SUMIFS('출고대장'!$K$7:$K$1006,'출고대장'!$A$7:$A$1006,A748))</x:f>
      </x:c>
      <x:c r="J748" s="12" t="str">
        <x:f>IF(A748="","",SUMIFS('입금대장'!$C$7:$C$1006,'입금대장'!$A$7:$A$1006,A748,'입금대장'!$E$7:$E$1006,"정상"))</x:f>
      </x:c>
      <x:c r="K748" s="12" t="str">
        <x:f>IF(A748="","",I748-J748)</x:f>
      </x:c>
      <x:c r="L748" s="13" t="str">
        <x:f>IF(A748="","",IF(K748&lt;0,"선입금·초과입금",IF(I748=0,"청구 전",IF(K748=0,"정산 완료",IF(J748=0,"미입금","부분 입금")))))</x:f>
      </x:c>
      <x:c r="M748" s="9"/>
      <x:c r="N748" s="9"/>
    </x:row>
    <x:row r="749" ht="23" customHeight="1">
      <x:c r="A749" s="9"/>
      <x:c r="B749" s="10"/>
      <x:c r="C749" s="9"/>
      <x:c r="D749" s="9"/>
      <x:c r="E749" s="9"/>
      <x:c r="F749" s="11"/>
      <x:c r="G749" s="12" t="str">
        <x:f>IF(A749="","",SUMIFS('출고대장'!$D$7:$D$1006,'출고대장'!$A$7:$A$1006,A749))</x:f>
      </x:c>
      <x:c r="H749" s="12" t="str">
        <x:f>IF(A749="","",F749-G749)</x:f>
      </x:c>
      <x:c r="I749" s="12" t="str">
        <x:f>IF(A749="","",SUMIFS('출고대장'!$K$7:$K$1006,'출고대장'!$A$7:$A$1006,A749))</x:f>
      </x:c>
      <x:c r="J749" s="12" t="str">
        <x:f>IF(A749="","",SUMIFS('입금대장'!$C$7:$C$1006,'입금대장'!$A$7:$A$1006,A749,'입금대장'!$E$7:$E$1006,"정상"))</x:f>
      </x:c>
      <x:c r="K749" s="12" t="str">
        <x:f>IF(A749="","",I749-J749)</x:f>
      </x:c>
      <x:c r="L749" s="13" t="str">
        <x:f>IF(A749="","",IF(K749&lt;0,"선입금·초과입금",IF(I749=0,"청구 전",IF(K749=0,"정산 완료",IF(J749=0,"미입금","부분 입금")))))</x:f>
      </x:c>
      <x:c r="M749" s="9"/>
      <x:c r="N749" s="9"/>
    </x:row>
    <x:row r="750" ht="23" customHeight="1">
      <x:c r="A750" s="9"/>
      <x:c r="B750" s="10"/>
      <x:c r="C750" s="9"/>
      <x:c r="D750" s="9"/>
      <x:c r="E750" s="9"/>
      <x:c r="F750" s="11"/>
      <x:c r="G750" s="12" t="str">
        <x:f>IF(A750="","",SUMIFS('출고대장'!$D$7:$D$1006,'출고대장'!$A$7:$A$1006,A750))</x:f>
      </x:c>
      <x:c r="H750" s="12" t="str">
        <x:f>IF(A750="","",F750-G750)</x:f>
      </x:c>
      <x:c r="I750" s="12" t="str">
        <x:f>IF(A750="","",SUMIFS('출고대장'!$K$7:$K$1006,'출고대장'!$A$7:$A$1006,A750))</x:f>
      </x:c>
      <x:c r="J750" s="12" t="str">
        <x:f>IF(A750="","",SUMIFS('입금대장'!$C$7:$C$1006,'입금대장'!$A$7:$A$1006,A750,'입금대장'!$E$7:$E$1006,"정상"))</x:f>
      </x:c>
      <x:c r="K750" s="12" t="str">
        <x:f>IF(A750="","",I750-J750)</x:f>
      </x:c>
      <x:c r="L750" s="13" t="str">
        <x:f>IF(A750="","",IF(K750&lt;0,"선입금·초과입금",IF(I750=0,"청구 전",IF(K750=0,"정산 완료",IF(J750=0,"미입금","부분 입금")))))</x:f>
      </x:c>
      <x:c r="M750" s="9"/>
      <x:c r="N750" s="9"/>
    </x:row>
    <x:row r="751" ht="23" customHeight="1">
      <x:c r="A751" s="9"/>
      <x:c r="B751" s="10"/>
      <x:c r="C751" s="9"/>
      <x:c r="D751" s="9"/>
      <x:c r="E751" s="9"/>
      <x:c r="F751" s="11"/>
      <x:c r="G751" s="12" t="str">
        <x:f>IF(A751="","",SUMIFS('출고대장'!$D$7:$D$1006,'출고대장'!$A$7:$A$1006,A751))</x:f>
      </x:c>
      <x:c r="H751" s="12" t="str">
        <x:f>IF(A751="","",F751-G751)</x:f>
      </x:c>
      <x:c r="I751" s="12" t="str">
        <x:f>IF(A751="","",SUMIFS('출고대장'!$K$7:$K$1006,'출고대장'!$A$7:$A$1006,A751))</x:f>
      </x:c>
      <x:c r="J751" s="12" t="str">
        <x:f>IF(A751="","",SUMIFS('입금대장'!$C$7:$C$1006,'입금대장'!$A$7:$A$1006,A751,'입금대장'!$E$7:$E$1006,"정상"))</x:f>
      </x:c>
      <x:c r="K751" s="12" t="str">
        <x:f>IF(A751="","",I751-J751)</x:f>
      </x:c>
      <x:c r="L751" s="13" t="str">
        <x:f>IF(A751="","",IF(K751&lt;0,"선입금·초과입금",IF(I751=0,"청구 전",IF(K751=0,"정산 완료",IF(J751=0,"미입금","부분 입금")))))</x:f>
      </x:c>
      <x:c r="M751" s="9"/>
      <x:c r="N751" s="9"/>
    </x:row>
    <x:row r="752" ht="23" customHeight="1">
      <x:c r="A752" s="9"/>
      <x:c r="B752" s="10"/>
      <x:c r="C752" s="9"/>
      <x:c r="D752" s="9"/>
      <x:c r="E752" s="9"/>
      <x:c r="F752" s="11"/>
      <x:c r="G752" s="12" t="str">
        <x:f>IF(A752="","",SUMIFS('출고대장'!$D$7:$D$1006,'출고대장'!$A$7:$A$1006,A752))</x:f>
      </x:c>
      <x:c r="H752" s="12" t="str">
        <x:f>IF(A752="","",F752-G752)</x:f>
      </x:c>
      <x:c r="I752" s="12" t="str">
        <x:f>IF(A752="","",SUMIFS('출고대장'!$K$7:$K$1006,'출고대장'!$A$7:$A$1006,A752))</x:f>
      </x:c>
      <x:c r="J752" s="12" t="str">
        <x:f>IF(A752="","",SUMIFS('입금대장'!$C$7:$C$1006,'입금대장'!$A$7:$A$1006,A752,'입금대장'!$E$7:$E$1006,"정상"))</x:f>
      </x:c>
      <x:c r="K752" s="12" t="str">
        <x:f>IF(A752="","",I752-J752)</x:f>
      </x:c>
      <x:c r="L752" s="13" t="str">
        <x:f>IF(A752="","",IF(K752&lt;0,"선입금·초과입금",IF(I752=0,"청구 전",IF(K752=0,"정산 완료",IF(J752=0,"미입금","부분 입금")))))</x:f>
      </x:c>
      <x:c r="M752" s="9"/>
      <x:c r="N752" s="9"/>
    </x:row>
    <x:row r="753" ht="23" customHeight="1">
      <x:c r="A753" s="9"/>
      <x:c r="B753" s="10"/>
      <x:c r="C753" s="9"/>
      <x:c r="D753" s="9"/>
      <x:c r="E753" s="9"/>
      <x:c r="F753" s="11"/>
      <x:c r="G753" s="12" t="str">
        <x:f>IF(A753="","",SUMIFS('출고대장'!$D$7:$D$1006,'출고대장'!$A$7:$A$1006,A753))</x:f>
      </x:c>
      <x:c r="H753" s="12" t="str">
        <x:f>IF(A753="","",F753-G753)</x:f>
      </x:c>
      <x:c r="I753" s="12" t="str">
        <x:f>IF(A753="","",SUMIFS('출고대장'!$K$7:$K$1006,'출고대장'!$A$7:$A$1006,A753))</x:f>
      </x:c>
      <x:c r="J753" s="12" t="str">
        <x:f>IF(A753="","",SUMIFS('입금대장'!$C$7:$C$1006,'입금대장'!$A$7:$A$1006,A753,'입금대장'!$E$7:$E$1006,"정상"))</x:f>
      </x:c>
      <x:c r="K753" s="12" t="str">
        <x:f>IF(A753="","",I753-J753)</x:f>
      </x:c>
      <x:c r="L753" s="13" t="str">
        <x:f>IF(A753="","",IF(K753&lt;0,"선입금·초과입금",IF(I753=0,"청구 전",IF(K753=0,"정산 완료",IF(J753=0,"미입금","부분 입금")))))</x:f>
      </x:c>
      <x:c r="M753" s="9"/>
      <x:c r="N753" s="9"/>
    </x:row>
    <x:row r="754" ht="23" customHeight="1">
      <x:c r="A754" s="9"/>
      <x:c r="B754" s="10"/>
      <x:c r="C754" s="9"/>
      <x:c r="D754" s="9"/>
      <x:c r="E754" s="9"/>
      <x:c r="F754" s="11"/>
      <x:c r="G754" s="12" t="str">
        <x:f>IF(A754="","",SUMIFS('출고대장'!$D$7:$D$1006,'출고대장'!$A$7:$A$1006,A754))</x:f>
      </x:c>
      <x:c r="H754" s="12" t="str">
        <x:f>IF(A754="","",F754-G754)</x:f>
      </x:c>
      <x:c r="I754" s="12" t="str">
        <x:f>IF(A754="","",SUMIFS('출고대장'!$K$7:$K$1006,'출고대장'!$A$7:$A$1006,A754))</x:f>
      </x:c>
      <x:c r="J754" s="12" t="str">
        <x:f>IF(A754="","",SUMIFS('입금대장'!$C$7:$C$1006,'입금대장'!$A$7:$A$1006,A754,'입금대장'!$E$7:$E$1006,"정상"))</x:f>
      </x:c>
      <x:c r="K754" s="12" t="str">
        <x:f>IF(A754="","",I754-J754)</x:f>
      </x:c>
      <x:c r="L754" s="13" t="str">
        <x:f>IF(A754="","",IF(K754&lt;0,"선입금·초과입금",IF(I754=0,"청구 전",IF(K754=0,"정산 완료",IF(J754=0,"미입금","부분 입금")))))</x:f>
      </x:c>
      <x:c r="M754" s="9"/>
      <x:c r="N754" s="9"/>
    </x:row>
    <x:row r="755" ht="23" customHeight="1">
      <x:c r="A755" s="9"/>
      <x:c r="B755" s="10"/>
      <x:c r="C755" s="9"/>
      <x:c r="D755" s="9"/>
      <x:c r="E755" s="9"/>
      <x:c r="F755" s="11"/>
      <x:c r="G755" s="12" t="str">
        <x:f>IF(A755="","",SUMIFS('출고대장'!$D$7:$D$1006,'출고대장'!$A$7:$A$1006,A755))</x:f>
      </x:c>
      <x:c r="H755" s="12" t="str">
        <x:f>IF(A755="","",F755-G755)</x:f>
      </x:c>
      <x:c r="I755" s="12" t="str">
        <x:f>IF(A755="","",SUMIFS('출고대장'!$K$7:$K$1006,'출고대장'!$A$7:$A$1006,A755))</x:f>
      </x:c>
      <x:c r="J755" s="12" t="str">
        <x:f>IF(A755="","",SUMIFS('입금대장'!$C$7:$C$1006,'입금대장'!$A$7:$A$1006,A755,'입금대장'!$E$7:$E$1006,"정상"))</x:f>
      </x:c>
      <x:c r="K755" s="12" t="str">
        <x:f>IF(A755="","",I755-J755)</x:f>
      </x:c>
      <x:c r="L755" s="13" t="str">
        <x:f>IF(A755="","",IF(K755&lt;0,"선입금·초과입금",IF(I755=0,"청구 전",IF(K755=0,"정산 완료",IF(J755=0,"미입금","부분 입금")))))</x:f>
      </x:c>
      <x:c r="M755" s="9"/>
      <x:c r="N755" s="9"/>
    </x:row>
    <x:row r="756" ht="23" customHeight="1">
      <x:c r="A756" s="9"/>
      <x:c r="B756" s="10"/>
      <x:c r="C756" s="9"/>
      <x:c r="D756" s="9"/>
      <x:c r="E756" s="9"/>
      <x:c r="F756" s="11"/>
      <x:c r="G756" s="12" t="str">
        <x:f>IF(A756="","",SUMIFS('출고대장'!$D$7:$D$1006,'출고대장'!$A$7:$A$1006,A756))</x:f>
      </x:c>
      <x:c r="H756" s="12" t="str">
        <x:f>IF(A756="","",F756-G756)</x:f>
      </x:c>
      <x:c r="I756" s="12" t="str">
        <x:f>IF(A756="","",SUMIFS('출고대장'!$K$7:$K$1006,'출고대장'!$A$7:$A$1006,A756))</x:f>
      </x:c>
      <x:c r="J756" s="12" t="str">
        <x:f>IF(A756="","",SUMIFS('입금대장'!$C$7:$C$1006,'입금대장'!$A$7:$A$1006,A756,'입금대장'!$E$7:$E$1006,"정상"))</x:f>
      </x:c>
      <x:c r="K756" s="12" t="str">
        <x:f>IF(A756="","",I756-J756)</x:f>
      </x:c>
      <x:c r="L756" s="13" t="str">
        <x:f>IF(A756="","",IF(K756&lt;0,"선입금·초과입금",IF(I756=0,"청구 전",IF(K756=0,"정산 완료",IF(J756=0,"미입금","부분 입금")))))</x:f>
      </x:c>
      <x:c r="M756" s="9"/>
      <x:c r="N756" s="9"/>
    </x:row>
    <x:row r="757" ht="23" customHeight="1">
      <x:c r="A757" s="9"/>
      <x:c r="B757" s="10"/>
      <x:c r="C757" s="9"/>
      <x:c r="D757" s="9"/>
      <x:c r="E757" s="9"/>
      <x:c r="F757" s="11"/>
      <x:c r="G757" s="12" t="str">
        <x:f>IF(A757="","",SUMIFS('출고대장'!$D$7:$D$1006,'출고대장'!$A$7:$A$1006,A757))</x:f>
      </x:c>
      <x:c r="H757" s="12" t="str">
        <x:f>IF(A757="","",F757-G757)</x:f>
      </x:c>
      <x:c r="I757" s="12" t="str">
        <x:f>IF(A757="","",SUMIFS('출고대장'!$K$7:$K$1006,'출고대장'!$A$7:$A$1006,A757))</x:f>
      </x:c>
      <x:c r="J757" s="12" t="str">
        <x:f>IF(A757="","",SUMIFS('입금대장'!$C$7:$C$1006,'입금대장'!$A$7:$A$1006,A757,'입금대장'!$E$7:$E$1006,"정상"))</x:f>
      </x:c>
      <x:c r="K757" s="12" t="str">
        <x:f>IF(A757="","",I757-J757)</x:f>
      </x:c>
      <x:c r="L757" s="13" t="str">
        <x:f>IF(A757="","",IF(K757&lt;0,"선입금·초과입금",IF(I757=0,"청구 전",IF(K757=0,"정산 완료",IF(J757=0,"미입금","부분 입금")))))</x:f>
      </x:c>
      <x:c r="M757" s="9"/>
      <x:c r="N757" s="9"/>
    </x:row>
    <x:row r="758" ht="23" customHeight="1">
      <x:c r="A758" s="9"/>
      <x:c r="B758" s="10"/>
      <x:c r="C758" s="9"/>
      <x:c r="D758" s="9"/>
      <x:c r="E758" s="9"/>
      <x:c r="F758" s="11"/>
      <x:c r="G758" s="12" t="str">
        <x:f>IF(A758="","",SUMIFS('출고대장'!$D$7:$D$1006,'출고대장'!$A$7:$A$1006,A758))</x:f>
      </x:c>
      <x:c r="H758" s="12" t="str">
        <x:f>IF(A758="","",F758-G758)</x:f>
      </x:c>
      <x:c r="I758" s="12" t="str">
        <x:f>IF(A758="","",SUMIFS('출고대장'!$K$7:$K$1006,'출고대장'!$A$7:$A$1006,A758))</x:f>
      </x:c>
      <x:c r="J758" s="12" t="str">
        <x:f>IF(A758="","",SUMIFS('입금대장'!$C$7:$C$1006,'입금대장'!$A$7:$A$1006,A758,'입금대장'!$E$7:$E$1006,"정상"))</x:f>
      </x:c>
      <x:c r="K758" s="12" t="str">
        <x:f>IF(A758="","",I758-J758)</x:f>
      </x:c>
      <x:c r="L758" s="13" t="str">
        <x:f>IF(A758="","",IF(K758&lt;0,"선입금·초과입금",IF(I758=0,"청구 전",IF(K758=0,"정산 완료",IF(J758=0,"미입금","부분 입금")))))</x:f>
      </x:c>
      <x:c r="M758" s="9"/>
      <x:c r="N758" s="9"/>
    </x:row>
    <x:row r="759" ht="23" customHeight="1">
      <x:c r="A759" s="9"/>
      <x:c r="B759" s="10"/>
      <x:c r="C759" s="9"/>
      <x:c r="D759" s="9"/>
      <x:c r="E759" s="9"/>
      <x:c r="F759" s="11"/>
      <x:c r="G759" s="12" t="str">
        <x:f>IF(A759="","",SUMIFS('출고대장'!$D$7:$D$1006,'출고대장'!$A$7:$A$1006,A759))</x:f>
      </x:c>
      <x:c r="H759" s="12" t="str">
        <x:f>IF(A759="","",F759-G759)</x:f>
      </x:c>
      <x:c r="I759" s="12" t="str">
        <x:f>IF(A759="","",SUMIFS('출고대장'!$K$7:$K$1006,'출고대장'!$A$7:$A$1006,A759))</x:f>
      </x:c>
      <x:c r="J759" s="12" t="str">
        <x:f>IF(A759="","",SUMIFS('입금대장'!$C$7:$C$1006,'입금대장'!$A$7:$A$1006,A759,'입금대장'!$E$7:$E$1006,"정상"))</x:f>
      </x:c>
      <x:c r="K759" s="12" t="str">
        <x:f>IF(A759="","",I759-J759)</x:f>
      </x:c>
      <x:c r="L759" s="13" t="str">
        <x:f>IF(A759="","",IF(K759&lt;0,"선입금·초과입금",IF(I759=0,"청구 전",IF(K759=0,"정산 완료",IF(J759=0,"미입금","부분 입금")))))</x:f>
      </x:c>
      <x:c r="M759" s="9"/>
      <x:c r="N759" s="9"/>
    </x:row>
    <x:row r="760" ht="23" customHeight="1">
      <x:c r="A760" s="9"/>
      <x:c r="B760" s="10"/>
      <x:c r="C760" s="9"/>
      <x:c r="D760" s="9"/>
      <x:c r="E760" s="9"/>
      <x:c r="F760" s="11"/>
      <x:c r="G760" s="12" t="str">
        <x:f>IF(A760="","",SUMIFS('출고대장'!$D$7:$D$1006,'출고대장'!$A$7:$A$1006,A760))</x:f>
      </x:c>
      <x:c r="H760" s="12" t="str">
        <x:f>IF(A760="","",F760-G760)</x:f>
      </x:c>
      <x:c r="I760" s="12" t="str">
        <x:f>IF(A760="","",SUMIFS('출고대장'!$K$7:$K$1006,'출고대장'!$A$7:$A$1006,A760))</x:f>
      </x:c>
      <x:c r="J760" s="12" t="str">
        <x:f>IF(A760="","",SUMIFS('입금대장'!$C$7:$C$1006,'입금대장'!$A$7:$A$1006,A760,'입금대장'!$E$7:$E$1006,"정상"))</x:f>
      </x:c>
      <x:c r="K760" s="12" t="str">
        <x:f>IF(A760="","",I760-J760)</x:f>
      </x:c>
      <x:c r="L760" s="13" t="str">
        <x:f>IF(A760="","",IF(K760&lt;0,"선입금·초과입금",IF(I760=0,"청구 전",IF(K760=0,"정산 완료",IF(J760=0,"미입금","부분 입금")))))</x:f>
      </x:c>
      <x:c r="M760" s="9"/>
      <x:c r="N760" s="9"/>
    </x:row>
    <x:row r="761" ht="23" customHeight="1">
      <x:c r="A761" s="9"/>
      <x:c r="B761" s="10"/>
      <x:c r="C761" s="9"/>
      <x:c r="D761" s="9"/>
      <x:c r="E761" s="9"/>
      <x:c r="F761" s="11"/>
      <x:c r="G761" s="12" t="str">
        <x:f>IF(A761="","",SUMIFS('출고대장'!$D$7:$D$1006,'출고대장'!$A$7:$A$1006,A761))</x:f>
      </x:c>
      <x:c r="H761" s="12" t="str">
        <x:f>IF(A761="","",F761-G761)</x:f>
      </x:c>
      <x:c r="I761" s="12" t="str">
        <x:f>IF(A761="","",SUMIFS('출고대장'!$K$7:$K$1006,'출고대장'!$A$7:$A$1006,A761))</x:f>
      </x:c>
      <x:c r="J761" s="12" t="str">
        <x:f>IF(A761="","",SUMIFS('입금대장'!$C$7:$C$1006,'입금대장'!$A$7:$A$1006,A761,'입금대장'!$E$7:$E$1006,"정상"))</x:f>
      </x:c>
      <x:c r="K761" s="12" t="str">
        <x:f>IF(A761="","",I761-J761)</x:f>
      </x:c>
      <x:c r="L761" s="13" t="str">
        <x:f>IF(A761="","",IF(K761&lt;0,"선입금·초과입금",IF(I761=0,"청구 전",IF(K761=0,"정산 완료",IF(J761=0,"미입금","부분 입금")))))</x:f>
      </x:c>
      <x:c r="M761" s="9"/>
      <x:c r="N761" s="9"/>
    </x:row>
    <x:row r="762" ht="23" customHeight="1">
      <x:c r="A762" s="9"/>
      <x:c r="B762" s="10"/>
      <x:c r="C762" s="9"/>
      <x:c r="D762" s="9"/>
      <x:c r="E762" s="9"/>
      <x:c r="F762" s="11"/>
      <x:c r="G762" s="12" t="str">
        <x:f>IF(A762="","",SUMIFS('출고대장'!$D$7:$D$1006,'출고대장'!$A$7:$A$1006,A762))</x:f>
      </x:c>
      <x:c r="H762" s="12" t="str">
        <x:f>IF(A762="","",F762-G762)</x:f>
      </x:c>
      <x:c r="I762" s="12" t="str">
        <x:f>IF(A762="","",SUMIFS('출고대장'!$K$7:$K$1006,'출고대장'!$A$7:$A$1006,A762))</x:f>
      </x:c>
      <x:c r="J762" s="12" t="str">
        <x:f>IF(A762="","",SUMIFS('입금대장'!$C$7:$C$1006,'입금대장'!$A$7:$A$1006,A762,'입금대장'!$E$7:$E$1006,"정상"))</x:f>
      </x:c>
      <x:c r="K762" s="12" t="str">
        <x:f>IF(A762="","",I762-J762)</x:f>
      </x:c>
      <x:c r="L762" s="13" t="str">
        <x:f>IF(A762="","",IF(K762&lt;0,"선입금·초과입금",IF(I762=0,"청구 전",IF(K762=0,"정산 완료",IF(J762=0,"미입금","부분 입금")))))</x:f>
      </x:c>
      <x:c r="M762" s="9"/>
      <x:c r="N762" s="9"/>
    </x:row>
    <x:row r="763" ht="23" customHeight="1">
      <x:c r="A763" s="9"/>
      <x:c r="B763" s="10"/>
      <x:c r="C763" s="9"/>
      <x:c r="D763" s="9"/>
      <x:c r="E763" s="9"/>
      <x:c r="F763" s="11"/>
      <x:c r="G763" s="12" t="str">
        <x:f>IF(A763="","",SUMIFS('출고대장'!$D$7:$D$1006,'출고대장'!$A$7:$A$1006,A763))</x:f>
      </x:c>
      <x:c r="H763" s="12" t="str">
        <x:f>IF(A763="","",F763-G763)</x:f>
      </x:c>
      <x:c r="I763" s="12" t="str">
        <x:f>IF(A763="","",SUMIFS('출고대장'!$K$7:$K$1006,'출고대장'!$A$7:$A$1006,A763))</x:f>
      </x:c>
      <x:c r="J763" s="12" t="str">
        <x:f>IF(A763="","",SUMIFS('입금대장'!$C$7:$C$1006,'입금대장'!$A$7:$A$1006,A763,'입금대장'!$E$7:$E$1006,"정상"))</x:f>
      </x:c>
      <x:c r="K763" s="12" t="str">
        <x:f>IF(A763="","",I763-J763)</x:f>
      </x:c>
      <x:c r="L763" s="13" t="str">
        <x:f>IF(A763="","",IF(K763&lt;0,"선입금·초과입금",IF(I763=0,"청구 전",IF(K763=0,"정산 완료",IF(J763=0,"미입금","부분 입금")))))</x:f>
      </x:c>
      <x:c r="M763" s="9"/>
      <x:c r="N763" s="9"/>
    </x:row>
    <x:row r="764" ht="23" customHeight="1">
      <x:c r="A764" s="9"/>
      <x:c r="B764" s="10"/>
      <x:c r="C764" s="9"/>
      <x:c r="D764" s="9"/>
      <x:c r="E764" s="9"/>
      <x:c r="F764" s="11"/>
      <x:c r="G764" s="12" t="str">
        <x:f>IF(A764="","",SUMIFS('출고대장'!$D$7:$D$1006,'출고대장'!$A$7:$A$1006,A764))</x:f>
      </x:c>
      <x:c r="H764" s="12" t="str">
        <x:f>IF(A764="","",F764-G764)</x:f>
      </x:c>
      <x:c r="I764" s="12" t="str">
        <x:f>IF(A764="","",SUMIFS('출고대장'!$K$7:$K$1006,'출고대장'!$A$7:$A$1006,A764))</x:f>
      </x:c>
      <x:c r="J764" s="12" t="str">
        <x:f>IF(A764="","",SUMIFS('입금대장'!$C$7:$C$1006,'입금대장'!$A$7:$A$1006,A764,'입금대장'!$E$7:$E$1006,"정상"))</x:f>
      </x:c>
      <x:c r="K764" s="12" t="str">
        <x:f>IF(A764="","",I764-J764)</x:f>
      </x:c>
      <x:c r="L764" s="13" t="str">
        <x:f>IF(A764="","",IF(K764&lt;0,"선입금·초과입금",IF(I764=0,"청구 전",IF(K764=0,"정산 완료",IF(J764=0,"미입금","부분 입금")))))</x:f>
      </x:c>
      <x:c r="M764" s="9"/>
      <x:c r="N764" s="9"/>
    </x:row>
    <x:row r="765" ht="23" customHeight="1">
      <x:c r="A765" s="9"/>
      <x:c r="B765" s="10"/>
      <x:c r="C765" s="9"/>
      <x:c r="D765" s="9"/>
      <x:c r="E765" s="9"/>
      <x:c r="F765" s="11"/>
      <x:c r="G765" s="12" t="str">
        <x:f>IF(A765="","",SUMIFS('출고대장'!$D$7:$D$1006,'출고대장'!$A$7:$A$1006,A765))</x:f>
      </x:c>
      <x:c r="H765" s="12" t="str">
        <x:f>IF(A765="","",F765-G765)</x:f>
      </x:c>
      <x:c r="I765" s="12" t="str">
        <x:f>IF(A765="","",SUMIFS('출고대장'!$K$7:$K$1006,'출고대장'!$A$7:$A$1006,A765))</x:f>
      </x:c>
      <x:c r="J765" s="12" t="str">
        <x:f>IF(A765="","",SUMIFS('입금대장'!$C$7:$C$1006,'입금대장'!$A$7:$A$1006,A765,'입금대장'!$E$7:$E$1006,"정상"))</x:f>
      </x:c>
      <x:c r="K765" s="12" t="str">
        <x:f>IF(A765="","",I765-J765)</x:f>
      </x:c>
      <x:c r="L765" s="13" t="str">
        <x:f>IF(A765="","",IF(K765&lt;0,"선입금·초과입금",IF(I765=0,"청구 전",IF(K765=0,"정산 완료",IF(J765=0,"미입금","부분 입금")))))</x:f>
      </x:c>
      <x:c r="M765" s="9"/>
      <x:c r="N765" s="9"/>
    </x:row>
    <x:row r="766" ht="23" customHeight="1">
      <x:c r="A766" s="9"/>
      <x:c r="B766" s="10"/>
      <x:c r="C766" s="9"/>
      <x:c r="D766" s="9"/>
      <x:c r="E766" s="9"/>
      <x:c r="F766" s="11"/>
      <x:c r="G766" s="12" t="str">
        <x:f>IF(A766="","",SUMIFS('출고대장'!$D$7:$D$1006,'출고대장'!$A$7:$A$1006,A766))</x:f>
      </x:c>
      <x:c r="H766" s="12" t="str">
        <x:f>IF(A766="","",F766-G766)</x:f>
      </x:c>
      <x:c r="I766" s="12" t="str">
        <x:f>IF(A766="","",SUMIFS('출고대장'!$K$7:$K$1006,'출고대장'!$A$7:$A$1006,A766))</x:f>
      </x:c>
      <x:c r="J766" s="12" t="str">
        <x:f>IF(A766="","",SUMIFS('입금대장'!$C$7:$C$1006,'입금대장'!$A$7:$A$1006,A766,'입금대장'!$E$7:$E$1006,"정상"))</x:f>
      </x:c>
      <x:c r="K766" s="12" t="str">
        <x:f>IF(A766="","",I766-J766)</x:f>
      </x:c>
      <x:c r="L766" s="13" t="str">
        <x:f>IF(A766="","",IF(K766&lt;0,"선입금·초과입금",IF(I766=0,"청구 전",IF(K766=0,"정산 완료",IF(J766=0,"미입금","부분 입금")))))</x:f>
      </x:c>
      <x:c r="M766" s="9"/>
      <x:c r="N766" s="9"/>
    </x:row>
    <x:row r="767" ht="23" customHeight="1">
      <x:c r="A767" s="9"/>
      <x:c r="B767" s="10"/>
      <x:c r="C767" s="9"/>
      <x:c r="D767" s="9"/>
      <x:c r="E767" s="9"/>
      <x:c r="F767" s="11"/>
      <x:c r="G767" s="12" t="str">
        <x:f>IF(A767="","",SUMIFS('출고대장'!$D$7:$D$1006,'출고대장'!$A$7:$A$1006,A767))</x:f>
      </x:c>
      <x:c r="H767" s="12" t="str">
        <x:f>IF(A767="","",F767-G767)</x:f>
      </x:c>
      <x:c r="I767" s="12" t="str">
        <x:f>IF(A767="","",SUMIFS('출고대장'!$K$7:$K$1006,'출고대장'!$A$7:$A$1006,A767))</x:f>
      </x:c>
      <x:c r="J767" s="12" t="str">
        <x:f>IF(A767="","",SUMIFS('입금대장'!$C$7:$C$1006,'입금대장'!$A$7:$A$1006,A767,'입금대장'!$E$7:$E$1006,"정상"))</x:f>
      </x:c>
      <x:c r="K767" s="12" t="str">
        <x:f>IF(A767="","",I767-J767)</x:f>
      </x:c>
      <x:c r="L767" s="13" t="str">
        <x:f>IF(A767="","",IF(K767&lt;0,"선입금·초과입금",IF(I767=0,"청구 전",IF(K767=0,"정산 완료",IF(J767=0,"미입금","부분 입금")))))</x:f>
      </x:c>
      <x:c r="M767" s="9"/>
      <x:c r="N767" s="9"/>
    </x:row>
    <x:row r="768" ht="23" customHeight="1">
      <x:c r="A768" s="9"/>
      <x:c r="B768" s="10"/>
      <x:c r="C768" s="9"/>
      <x:c r="D768" s="9"/>
      <x:c r="E768" s="9"/>
      <x:c r="F768" s="11"/>
      <x:c r="G768" s="12" t="str">
        <x:f>IF(A768="","",SUMIFS('출고대장'!$D$7:$D$1006,'출고대장'!$A$7:$A$1006,A768))</x:f>
      </x:c>
      <x:c r="H768" s="12" t="str">
        <x:f>IF(A768="","",F768-G768)</x:f>
      </x:c>
      <x:c r="I768" s="12" t="str">
        <x:f>IF(A768="","",SUMIFS('출고대장'!$K$7:$K$1006,'출고대장'!$A$7:$A$1006,A768))</x:f>
      </x:c>
      <x:c r="J768" s="12" t="str">
        <x:f>IF(A768="","",SUMIFS('입금대장'!$C$7:$C$1006,'입금대장'!$A$7:$A$1006,A768,'입금대장'!$E$7:$E$1006,"정상"))</x:f>
      </x:c>
      <x:c r="K768" s="12" t="str">
        <x:f>IF(A768="","",I768-J768)</x:f>
      </x:c>
      <x:c r="L768" s="13" t="str">
        <x:f>IF(A768="","",IF(K768&lt;0,"선입금·초과입금",IF(I768=0,"청구 전",IF(K768=0,"정산 완료",IF(J768=0,"미입금","부분 입금")))))</x:f>
      </x:c>
      <x:c r="M768" s="9"/>
      <x:c r="N768" s="9"/>
    </x:row>
    <x:row r="769" ht="23" customHeight="1">
      <x:c r="A769" s="9"/>
      <x:c r="B769" s="10"/>
      <x:c r="C769" s="9"/>
      <x:c r="D769" s="9"/>
      <x:c r="E769" s="9"/>
      <x:c r="F769" s="11"/>
      <x:c r="G769" s="12" t="str">
        <x:f>IF(A769="","",SUMIFS('출고대장'!$D$7:$D$1006,'출고대장'!$A$7:$A$1006,A769))</x:f>
      </x:c>
      <x:c r="H769" s="12" t="str">
        <x:f>IF(A769="","",F769-G769)</x:f>
      </x:c>
      <x:c r="I769" s="12" t="str">
        <x:f>IF(A769="","",SUMIFS('출고대장'!$K$7:$K$1006,'출고대장'!$A$7:$A$1006,A769))</x:f>
      </x:c>
      <x:c r="J769" s="12" t="str">
        <x:f>IF(A769="","",SUMIFS('입금대장'!$C$7:$C$1006,'입금대장'!$A$7:$A$1006,A769,'입금대장'!$E$7:$E$1006,"정상"))</x:f>
      </x:c>
      <x:c r="K769" s="12" t="str">
        <x:f>IF(A769="","",I769-J769)</x:f>
      </x:c>
      <x:c r="L769" s="13" t="str">
        <x:f>IF(A769="","",IF(K769&lt;0,"선입금·초과입금",IF(I769=0,"청구 전",IF(K769=0,"정산 완료",IF(J769=0,"미입금","부분 입금")))))</x:f>
      </x:c>
      <x:c r="M769" s="9"/>
      <x:c r="N769" s="9"/>
    </x:row>
    <x:row r="770" ht="23" customHeight="1">
      <x:c r="A770" s="9"/>
      <x:c r="B770" s="10"/>
      <x:c r="C770" s="9"/>
      <x:c r="D770" s="9"/>
      <x:c r="E770" s="9"/>
      <x:c r="F770" s="11"/>
      <x:c r="G770" s="12" t="str">
        <x:f>IF(A770="","",SUMIFS('출고대장'!$D$7:$D$1006,'출고대장'!$A$7:$A$1006,A770))</x:f>
      </x:c>
      <x:c r="H770" s="12" t="str">
        <x:f>IF(A770="","",F770-G770)</x:f>
      </x:c>
      <x:c r="I770" s="12" t="str">
        <x:f>IF(A770="","",SUMIFS('출고대장'!$K$7:$K$1006,'출고대장'!$A$7:$A$1006,A770))</x:f>
      </x:c>
      <x:c r="J770" s="12" t="str">
        <x:f>IF(A770="","",SUMIFS('입금대장'!$C$7:$C$1006,'입금대장'!$A$7:$A$1006,A770,'입금대장'!$E$7:$E$1006,"정상"))</x:f>
      </x:c>
      <x:c r="K770" s="12" t="str">
        <x:f>IF(A770="","",I770-J770)</x:f>
      </x:c>
      <x:c r="L770" s="13" t="str">
        <x:f>IF(A770="","",IF(K770&lt;0,"선입금·초과입금",IF(I770=0,"청구 전",IF(K770=0,"정산 완료",IF(J770=0,"미입금","부분 입금")))))</x:f>
      </x:c>
      <x:c r="M770" s="9"/>
      <x:c r="N770" s="9"/>
    </x:row>
    <x:row r="771" ht="23" customHeight="1">
      <x:c r="A771" s="9"/>
      <x:c r="B771" s="10"/>
      <x:c r="C771" s="9"/>
      <x:c r="D771" s="9"/>
      <x:c r="E771" s="9"/>
      <x:c r="F771" s="11"/>
      <x:c r="G771" s="12" t="str">
        <x:f>IF(A771="","",SUMIFS('출고대장'!$D$7:$D$1006,'출고대장'!$A$7:$A$1006,A771))</x:f>
      </x:c>
      <x:c r="H771" s="12" t="str">
        <x:f>IF(A771="","",F771-G771)</x:f>
      </x:c>
      <x:c r="I771" s="12" t="str">
        <x:f>IF(A771="","",SUMIFS('출고대장'!$K$7:$K$1006,'출고대장'!$A$7:$A$1006,A771))</x:f>
      </x:c>
      <x:c r="J771" s="12" t="str">
        <x:f>IF(A771="","",SUMIFS('입금대장'!$C$7:$C$1006,'입금대장'!$A$7:$A$1006,A771,'입금대장'!$E$7:$E$1006,"정상"))</x:f>
      </x:c>
      <x:c r="K771" s="12" t="str">
        <x:f>IF(A771="","",I771-J771)</x:f>
      </x:c>
      <x:c r="L771" s="13" t="str">
        <x:f>IF(A771="","",IF(K771&lt;0,"선입금·초과입금",IF(I771=0,"청구 전",IF(K771=0,"정산 완료",IF(J771=0,"미입금","부분 입금")))))</x:f>
      </x:c>
      <x:c r="M771" s="9"/>
      <x:c r="N771" s="9"/>
    </x:row>
    <x:row r="772" ht="23" customHeight="1">
      <x:c r="A772" s="9"/>
      <x:c r="B772" s="10"/>
      <x:c r="C772" s="9"/>
      <x:c r="D772" s="9"/>
      <x:c r="E772" s="9"/>
      <x:c r="F772" s="11"/>
      <x:c r="G772" s="12" t="str">
        <x:f>IF(A772="","",SUMIFS('출고대장'!$D$7:$D$1006,'출고대장'!$A$7:$A$1006,A772))</x:f>
      </x:c>
      <x:c r="H772" s="12" t="str">
        <x:f>IF(A772="","",F772-G772)</x:f>
      </x:c>
      <x:c r="I772" s="12" t="str">
        <x:f>IF(A772="","",SUMIFS('출고대장'!$K$7:$K$1006,'출고대장'!$A$7:$A$1006,A772))</x:f>
      </x:c>
      <x:c r="J772" s="12" t="str">
        <x:f>IF(A772="","",SUMIFS('입금대장'!$C$7:$C$1006,'입금대장'!$A$7:$A$1006,A772,'입금대장'!$E$7:$E$1006,"정상"))</x:f>
      </x:c>
      <x:c r="K772" s="12" t="str">
        <x:f>IF(A772="","",I772-J772)</x:f>
      </x:c>
      <x:c r="L772" s="13" t="str">
        <x:f>IF(A772="","",IF(K772&lt;0,"선입금·초과입금",IF(I772=0,"청구 전",IF(K772=0,"정산 완료",IF(J772=0,"미입금","부분 입금")))))</x:f>
      </x:c>
      <x:c r="M772" s="9"/>
      <x:c r="N772" s="9"/>
    </x:row>
    <x:row r="773" ht="23" customHeight="1">
      <x:c r="A773" s="9"/>
      <x:c r="B773" s="10"/>
      <x:c r="C773" s="9"/>
      <x:c r="D773" s="9"/>
      <x:c r="E773" s="9"/>
      <x:c r="F773" s="11"/>
      <x:c r="G773" s="12" t="str">
        <x:f>IF(A773="","",SUMIFS('출고대장'!$D$7:$D$1006,'출고대장'!$A$7:$A$1006,A773))</x:f>
      </x:c>
      <x:c r="H773" s="12" t="str">
        <x:f>IF(A773="","",F773-G773)</x:f>
      </x:c>
      <x:c r="I773" s="12" t="str">
        <x:f>IF(A773="","",SUMIFS('출고대장'!$K$7:$K$1006,'출고대장'!$A$7:$A$1006,A773))</x:f>
      </x:c>
      <x:c r="J773" s="12" t="str">
        <x:f>IF(A773="","",SUMIFS('입금대장'!$C$7:$C$1006,'입금대장'!$A$7:$A$1006,A773,'입금대장'!$E$7:$E$1006,"정상"))</x:f>
      </x:c>
      <x:c r="K773" s="12" t="str">
        <x:f>IF(A773="","",I773-J773)</x:f>
      </x:c>
      <x:c r="L773" s="13" t="str">
        <x:f>IF(A773="","",IF(K773&lt;0,"선입금·초과입금",IF(I773=0,"청구 전",IF(K773=0,"정산 완료",IF(J773=0,"미입금","부분 입금")))))</x:f>
      </x:c>
      <x:c r="M773" s="9"/>
      <x:c r="N773" s="9"/>
    </x:row>
    <x:row r="774" ht="23" customHeight="1">
      <x:c r="A774" s="9"/>
      <x:c r="B774" s="10"/>
      <x:c r="C774" s="9"/>
      <x:c r="D774" s="9"/>
      <x:c r="E774" s="9"/>
      <x:c r="F774" s="11"/>
      <x:c r="G774" s="12" t="str">
        <x:f>IF(A774="","",SUMIFS('출고대장'!$D$7:$D$1006,'출고대장'!$A$7:$A$1006,A774))</x:f>
      </x:c>
      <x:c r="H774" s="12" t="str">
        <x:f>IF(A774="","",F774-G774)</x:f>
      </x:c>
      <x:c r="I774" s="12" t="str">
        <x:f>IF(A774="","",SUMIFS('출고대장'!$K$7:$K$1006,'출고대장'!$A$7:$A$1006,A774))</x:f>
      </x:c>
      <x:c r="J774" s="12" t="str">
        <x:f>IF(A774="","",SUMIFS('입금대장'!$C$7:$C$1006,'입금대장'!$A$7:$A$1006,A774,'입금대장'!$E$7:$E$1006,"정상"))</x:f>
      </x:c>
      <x:c r="K774" s="12" t="str">
        <x:f>IF(A774="","",I774-J774)</x:f>
      </x:c>
      <x:c r="L774" s="13" t="str">
        <x:f>IF(A774="","",IF(K774&lt;0,"선입금·초과입금",IF(I774=0,"청구 전",IF(K774=0,"정산 완료",IF(J774=0,"미입금","부분 입금")))))</x:f>
      </x:c>
      <x:c r="M774" s="9"/>
      <x:c r="N774" s="9"/>
    </x:row>
    <x:row r="775" ht="23" customHeight="1">
      <x:c r="A775" s="9"/>
      <x:c r="B775" s="10"/>
      <x:c r="C775" s="9"/>
      <x:c r="D775" s="9"/>
      <x:c r="E775" s="9"/>
      <x:c r="F775" s="11"/>
      <x:c r="G775" s="12" t="str">
        <x:f>IF(A775="","",SUMIFS('출고대장'!$D$7:$D$1006,'출고대장'!$A$7:$A$1006,A775))</x:f>
      </x:c>
      <x:c r="H775" s="12" t="str">
        <x:f>IF(A775="","",F775-G775)</x:f>
      </x:c>
      <x:c r="I775" s="12" t="str">
        <x:f>IF(A775="","",SUMIFS('출고대장'!$K$7:$K$1006,'출고대장'!$A$7:$A$1006,A775))</x:f>
      </x:c>
      <x:c r="J775" s="12" t="str">
        <x:f>IF(A775="","",SUMIFS('입금대장'!$C$7:$C$1006,'입금대장'!$A$7:$A$1006,A775,'입금대장'!$E$7:$E$1006,"정상"))</x:f>
      </x:c>
      <x:c r="K775" s="12" t="str">
        <x:f>IF(A775="","",I775-J775)</x:f>
      </x:c>
      <x:c r="L775" s="13" t="str">
        <x:f>IF(A775="","",IF(K775&lt;0,"선입금·초과입금",IF(I775=0,"청구 전",IF(K775=0,"정산 완료",IF(J775=0,"미입금","부분 입금")))))</x:f>
      </x:c>
      <x:c r="M775" s="9"/>
      <x:c r="N775" s="9"/>
    </x:row>
    <x:row r="776" ht="23" customHeight="1">
      <x:c r="A776" s="9"/>
      <x:c r="B776" s="10"/>
      <x:c r="C776" s="9"/>
      <x:c r="D776" s="9"/>
      <x:c r="E776" s="9"/>
      <x:c r="F776" s="11"/>
      <x:c r="G776" s="12" t="str">
        <x:f>IF(A776="","",SUMIFS('출고대장'!$D$7:$D$1006,'출고대장'!$A$7:$A$1006,A776))</x:f>
      </x:c>
      <x:c r="H776" s="12" t="str">
        <x:f>IF(A776="","",F776-G776)</x:f>
      </x:c>
      <x:c r="I776" s="12" t="str">
        <x:f>IF(A776="","",SUMIFS('출고대장'!$K$7:$K$1006,'출고대장'!$A$7:$A$1006,A776))</x:f>
      </x:c>
      <x:c r="J776" s="12" t="str">
        <x:f>IF(A776="","",SUMIFS('입금대장'!$C$7:$C$1006,'입금대장'!$A$7:$A$1006,A776,'입금대장'!$E$7:$E$1006,"정상"))</x:f>
      </x:c>
      <x:c r="K776" s="12" t="str">
        <x:f>IF(A776="","",I776-J776)</x:f>
      </x:c>
      <x:c r="L776" s="13" t="str">
        <x:f>IF(A776="","",IF(K776&lt;0,"선입금·초과입금",IF(I776=0,"청구 전",IF(K776=0,"정산 완료",IF(J776=0,"미입금","부분 입금")))))</x:f>
      </x:c>
      <x:c r="M776" s="9"/>
      <x:c r="N776" s="9"/>
    </x:row>
    <x:row r="777" ht="23" customHeight="1">
      <x:c r="A777" s="9"/>
      <x:c r="B777" s="10"/>
      <x:c r="C777" s="9"/>
      <x:c r="D777" s="9"/>
      <x:c r="E777" s="9"/>
      <x:c r="F777" s="11"/>
      <x:c r="G777" s="12" t="str">
        <x:f>IF(A777="","",SUMIFS('출고대장'!$D$7:$D$1006,'출고대장'!$A$7:$A$1006,A777))</x:f>
      </x:c>
      <x:c r="H777" s="12" t="str">
        <x:f>IF(A777="","",F777-G777)</x:f>
      </x:c>
      <x:c r="I777" s="12" t="str">
        <x:f>IF(A777="","",SUMIFS('출고대장'!$K$7:$K$1006,'출고대장'!$A$7:$A$1006,A777))</x:f>
      </x:c>
      <x:c r="J777" s="12" t="str">
        <x:f>IF(A777="","",SUMIFS('입금대장'!$C$7:$C$1006,'입금대장'!$A$7:$A$1006,A777,'입금대장'!$E$7:$E$1006,"정상"))</x:f>
      </x:c>
      <x:c r="K777" s="12" t="str">
        <x:f>IF(A777="","",I777-J777)</x:f>
      </x:c>
      <x:c r="L777" s="13" t="str">
        <x:f>IF(A777="","",IF(K777&lt;0,"선입금·초과입금",IF(I777=0,"청구 전",IF(K777=0,"정산 완료",IF(J777=0,"미입금","부분 입금")))))</x:f>
      </x:c>
      <x:c r="M777" s="9"/>
      <x:c r="N777" s="9"/>
    </x:row>
    <x:row r="778" ht="23" customHeight="1">
      <x:c r="A778" s="9"/>
      <x:c r="B778" s="10"/>
      <x:c r="C778" s="9"/>
      <x:c r="D778" s="9"/>
      <x:c r="E778" s="9"/>
      <x:c r="F778" s="11"/>
      <x:c r="G778" s="12" t="str">
        <x:f>IF(A778="","",SUMIFS('출고대장'!$D$7:$D$1006,'출고대장'!$A$7:$A$1006,A778))</x:f>
      </x:c>
      <x:c r="H778" s="12" t="str">
        <x:f>IF(A778="","",F778-G778)</x:f>
      </x:c>
      <x:c r="I778" s="12" t="str">
        <x:f>IF(A778="","",SUMIFS('출고대장'!$K$7:$K$1006,'출고대장'!$A$7:$A$1006,A778))</x:f>
      </x:c>
      <x:c r="J778" s="12" t="str">
        <x:f>IF(A778="","",SUMIFS('입금대장'!$C$7:$C$1006,'입금대장'!$A$7:$A$1006,A778,'입금대장'!$E$7:$E$1006,"정상"))</x:f>
      </x:c>
      <x:c r="K778" s="12" t="str">
        <x:f>IF(A778="","",I778-J778)</x:f>
      </x:c>
      <x:c r="L778" s="13" t="str">
        <x:f>IF(A778="","",IF(K778&lt;0,"선입금·초과입금",IF(I778=0,"청구 전",IF(K778=0,"정산 완료",IF(J778=0,"미입금","부분 입금")))))</x:f>
      </x:c>
      <x:c r="M778" s="9"/>
      <x:c r="N778" s="9"/>
    </x:row>
    <x:row r="779" ht="23" customHeight="1">
      <x:c r="A779" s="9"/>
      <x:c r="B779" s="10"/>
      <x:c r="C779" s="9"/>
      <x:c r="D779" s="9"/>
      <x:c r="E779" s="9"/>
      <x:c r="F779" s="11"/>
      <x:c r="G779" s="12" t="str">
        <x:f>IF(A779="","",SUMIFS('출고대장'!$D$7:$D$1006,'출고대장'!$A$7:$A$1006,A779))</x:f>
      </x:c>
      <x:c r="H779" s="12" t="str">
        <x:f>IF(A779="","",F779-G779)</x:f>
      </x:c>
      <x:c r="I779" s="12" t="str">
        <x:f>IF(A779="","",SUMIFS('출고대장'!$K$7:$K$1006,'출고대장'!$A$7:$A$1006,A779))</x:f>
      </x:c>
      <x:c r="J779" s="12" t="str">
        <x:f>IF(A779="","",SUMIFS('입금대장'!$C$7:$C$1006,'입금대장'!$A$7:$A$1006,A779,'입금대장'!$E$7:$E$1006,"정상"))</x:f>
      </x:c>
      <x:c r="K779" s="12" t="str">
        <x:f>IF(A779="","",I779-J779)</x:f>
      </x:c>
      <x:c r="L779" s="13" t="str">
        <x:f>IF(A779="","",IF(K779&lt;0,"선입금·초과입금",IF(I779=0,"청구 전",IF(K779=0,"정산 완료",IF(J779=0,"미입금","부분 입금")))))</x:f>
      </x:c>
      <x:c r="M779" s="9"/>
      <x:c r="N779" s="9"/>
    </x:row>
    <x:row r="780" ht="23" customHeight="1">
      <x:c r="A780" s="9"/>
      <x:c r="B780" s="10"/>
      <x:c r="C780" s="9"/>
      <x:c r="D780" s="9"/>
      <x:c r="E780" s="9"/>
      <x:c r="F780" s="11"/>
      <x:c r="G780" s="12" t="str">
        <x:f>IF(A780="","",SUMIFS('출고대장'!$D$7:$D$1006,'출고대장'!$A$7:$A$1006,A780))</x:f>
      </x:c>
      <x:c r="H780" s="12" t="str">
        <x:f>IF(A780="","",F780-G780)</x:f>
      </x:c>
      <x:c r="I780" s="12" t="str">
        <x:f>IF(A780="","",SUMIFS('출고대장'!$K$7:$K$1006,'출고대장'!$A$7:$A$1006,A780))</x:f>
      </x:c>
      <x:c r="J780" s="12" t="str">
        <x:f>IF(A780="","",SUMIFS('입금대장'!$C$7:$C$1006,'입금대장'!$A$7:$A$1006,A780,'입금대장'!$E$7:$E$1006,"정상"))</x:f>
      </x:c>
      <x:c r="K780" s="12" t="str">
        <x:f>IF(A780="","",I780-J780)</x:f>
      </x:c>
      <x:c r="L780" s="13" t="str">
        <x:f>IF(A780="","",IF(K780&lt;0,"선입금·초과입금",IF(I780=0,"청구 전",IF(K780=0,"정산 완료",IF(J780=0,"미입금","부분 입금")))))</x:f>
      </x:c>
      <x:c r="M780" s="9"/>
      <x:c r="N780" s="9"/>
    </x:row>
    <x:row r="781" ht="23" customHeight="1">
      <x:c r="A781" s="9"/>
      <x:c r="B781" s="10"/>
      <x:c r="C781" s="9"/>
      <x:c r="D781" s="9"/>
      <x:c r="E781" s="9"/>
      <x:c r="F781" s="11"/>
      <x:c r="G781" s="12" t="str">
        <x:f>IF(A781="","",SUMIFS('출고대장'!$D$7:$D$1006,'출고대장'!$A$7:$A$1006,A781))</x:f>
      </x:c>
      <x:c r="H781" s="12" t="str">
        <x:f>IF(A781="","",F781-G781)</x:f>
      </x:c>
      <x:c r="I781" s="12" t="str">
        <x:f>IF(A781="","",SUMIFS('출고대장'!$K$7:$K$1006,'출고대장'!$A$7:$A$1006,A781))</x:f>
      </x:c>
      <x:c r="J781" s="12" t="str">
        <x:f>IF(A781="","",SUMIFS('입금대장'!$C$7:$C$1006,'입금대장'!$A$7:$A$1006,A781,'입금대장'!$E$7:$E$1006,"정상"))</x:f>
      </x:c>
      <x:c r="K781" s="12" t="str">
        <x:f>IF(A781="","",I781-J781)</x:f>
      </x:c>
      <x:c r="L781" s="13" t="str">
        <x:f>IF(A781="","",IF(K781&lt;0,"선입금·초과입금",IF(I781=0,"청구 전",IF(K781=0,"정산 완료",IF(J781=0,"미입금","부분 입금")))))</x:f>
      </x:c>
      <x:c r="M781" s="9"/>
      <x:c r="N781" s="9"/>
    </x:row>
    <x:row r="782" ht="23" customHeight="1">
      <x:c r="A782" s="9"/>
      <x:c r="B782" s="10"/>
      <x:c r="C782" s="9"/>
      <x:c r="D782" s="9"/>
      <x:c r="E782" s="9"/>
      <x:c r="F782" s="11"/>
      <x:c r="G782" s="12" t="str">
        <x:f>IF(A782="","",SUMIFS('출고대장'!$D$7:$D$1006,'출고대장'!$A$7:$A$1006,A782))</x:f>
      </x:c>
      <x:c r="H782" s="12" t="str">
        <x:f>IF(A782="","",F782-G782)</x:f>
      </x:c>
      <x:c r="I782" s="12" t="str">
        <x:f>IF(A782="","",SUMIFS('출고대장'!$K$7:$K$1006,'출고대장'!$A$7:$A$1006,A782))</x:f>
      </x:c>
      <x:c r="J782" s="12" t="str">
        <x:f>IF(A782="","",SUMIFS('입금대장'!$C$7:$C$1006,'입금대장'!$A$7:$A$1006,A782,'입금대장'!$E$7:$E$1006,"정상"))</x:f>
      </x:c>
      <x:c r="K782" s="12" t="str">
        <x:f>IF(A782="","",I782-J782)</x:f>
      </x:c>
      <x:c r="L782" s="13" t="str">
        <x:f>IF(A782="","",IF(K782&lt;0,"선입금·초과입금",IF(I782=0,"청구 전",IF(K782=0,"정산 완료",IF(J782=0,"미입금","부분 입금")))))</x:f>
      </x:c>
      <x:c r="M782" s="9"/>
      <x:c r="N782" s="9"/>
    </x:row>
    <x:row r="783" ht="23" customHeight="1">
      <x:c r="A783" s="9"/>
      <x:c r="B783" s="10"/>
      <x:c r="C783" s="9"/>
      <x:c r="D783" s="9"/>
      <x:c r="E783" s="9"/>
      <x:c r="F783" s="11"/>
      <x:c r="G783" s="12" t="str">
        <x:f>IF(A783="","",SUMIFS('출고대장'!$D$7:$D$1006,'출고대장'!$A$7:$A$1006,A783))</x:f>
      </x:c>
      <x:c r="H783" s="12" t="str">
        <x:f>IF(A783="","",F783-G783)</x:f>
      </x:c>
      <x:c r="I783" s="12" t="str">
        <x:f>IF(A783="","",SUMIFS('출고대장'!$K$7:$K$1006,'출고대장'!$A$7:$A$1006,A783))</x:f>
      </x:c>
      <x:c r="J783" s="12" t="str">
        <x:f>IF(A783="","",SUMIFS('입금대장'!$C$7:$C$1006,'입금대장'!$A$7:$A$1006,A783,'입금대장'!$E$7:$E$1006,"정상"))</x:f>
      </x:c>
      <x:c r="K783" s="12" t="str">
        <x:f>IF(A783="","",I783-J783)</x:f>
      </x:c>
      <x:c r="L783" s="13" t="str">
        <x:f>IF(A783="","",IF(K783&lt;0,"선입금·초과입금",IF(I783=0,"청구 전",IF(K783=0,"정산 완료",IF(J783=0,"미입금","부분 입금")))))</x:f>
      </x:c>
      <x:c r="M783" s="9"/>
      <x:c r="N783" s="9"/>
    </x:row>
    <x:row r="784" ht="23" customHeight="1">
      <x:c r="A784" s="9"/>
      <x:c r="B784" s="10"/>
      <x:c r="C784" s="9"/>
      <x:c r="D784" s="9"/>
      <x:c r="E784" s="9"/>
      <x:c r="F784" s="11"/>
      <x:c r="G784" s="12" t="str">
        <x:f>IF(A784="","",SUMIFS('출고대장'!$D$7:$D$1006,'출고대장'!$A$7:$A$1006,A784))</x:f>
      </x:c>
      <x:c r="H784" s="12" t="str">
        <x:f>IF(A784="","",F784-G784)</x:f>
      </x:c>
      <x:c r="I784" s="12" t="str">
        <x:f>IF(A784="","",SUMIFS('출고대장'!$K$7:$K$1006,'출고대장'!$A$7:$A$1006,A784))</x:f>
      </x:c>
      <x:c r="J784" s="12" t="str">
        <x:f>IF(A784="","",SUMIFS('입금대장'!$C$7:$C$1006,'입금대장'!$A$7:$A$1006,A784,'입금대장'!$E$7:$E$1006,"정상"))</x:f>
      </x:c>
      <x:c r="K784" s="12" t="str">
        <x:f>IF(A784="","",I784-J784)</x:f>
      </x:c>
      <x:c r="L784" s="13" t="str">
        <x:f>IF(A784="","",IF(K784&lt;0,"선입금·초과입금",IF(I784=0,"청구 전",IF(K784=0,"정산 완료",IF(J784=0,"미입금","부분 입금")))))</x:f>
      </x:c>
      <x:c r="M784" s="9"/>
      <x:c r="N784" s="9"/>
    </x:row>
    <x:row r="785" ht="23" customHeight="1">
      <x:c r="A785" s="9"/>
      <x:c r="B785" s="10"/>
      <x:c r="C785" s="9"/>
      <x:c r="D785" s="9"/>
      <x:c r="E785" s="9"/>
      <x:c r="F785" s="11"/>
      <x:c r="G785" s="12" t="str">
        <x:f>IF(A785="","",SUMIFS('출고대장'!$D$7:$D$1006,'출고대장'!$A$7:$A$1006,A785))</x:f>
      </x:c>
      <x:c r="H785" s="12" t="str">
        <x:f>IF(A785="","",F785-G785)</x:f>
      </x:c>
      <x:c r="I785" s="12" t="str">
        <x:f>IF(A785="","",SUMIFS('출고대장'!$K$7:$K$1006,'출고대장'!$A$7:$A$1006,A785))</x:f>
      </x:c>
      <x:c r="J785" s="12" t="str">
        <x:f>IF(A785="","",SUMIFS('입금대장'!$C$7:$C$1006,'입금대장'!$A$7:$A$1006,A785,'입금대장'!$E$7:$E$1006,"정상"))</x:f>
      </x:c>
      <x:c r="K785" s="12" t="str">
        <x:f>IF(A785="","",I785-J785)</x:f>
      </x:c>
      <x:c r="L785" s="13" t="str">
        <x:f>IF(A785="","",IF(K785&lt;0,"선입금·초과입금",IF(I785=0,"청구 전",IF(K785=0,"정산 완료",IF(J785=0,"미입금","부분 입금")))))</x:f>
      </x:c>
      <x:c r="M785" s="9"/>
      <x:c r="N785" s="9"/>
    </x:row>
    <x:row r="786" ht="23" customHeight="1">
      <x:c r="A786" s="9"/>
      <x:c r="B786" s="10"/>
      <x:c r="C786" s="9"/>
      <x:c r="D786" s="9"/>
      <x:c r="E786" s="9"/>
      <x:c r="F786" s="11"/>
      <x:c r="G786" s="12" t="str">
        <x:f>IF(A786="","",SUMIFS('출고대장'!$D$7:$D$1006,'출고대장'!$A$7:$A$1006,A786))</x:f>
      </x:c>
      <x:c r="H786" s="12" t="str">
        <x:f>IF(A786="","",F786-G786)</x:f>
      </x:c>
      <x:c r="I786" s="12" t="str">
        <x:f>IF(A786="","",SUMIFS('출고대장'!$K$7:$K$1006,'출고대장'!$A$7:$A$1006,A786))</x:f>
      </x:c>
      <x:c r="J786" s="12" t="str">
        <x:f>IF(A786="","",SUMIFS('입금대장'!$C$7:$C$1006,'입금대장'!$A$7:$A$1006,A786,'입금대장'!$E$7:$E$1006,"정상"))</x:f>
      </x:c>
      <x:c r="K786" s="12" t="str">
        <x:f>IF(A786="","",I786-J786)</x:f>
      </x:c>
      <x:c r="L786" s="13" t="str">
        <x:f>IF(A786="","",IF(K786&lt;0,"선입금·초과입금",IF(I786=0,"청구 전",IF(K786=0,"정산 완료",IF(J786=0,"미입금","부분 입금")))))</x:f>
      </x:c>
      <x:c r="M786" s="9"/>
      <x:c r="N786" s="9"/>
    </x:row>
    <x:row r="787" ht="23" customHeight="1">
      <x:c r="A787" s="9"/>
      <x:c r="B787" s="10"/>
      <x:c r="C787" s="9"/>
      <x:c r="D787" s="9"/>
      <x:c r="E787" s="9"/>
      <x:c r="F787" s="11"/>
      <x:c r="G787" s="12" t="str">
        <x:f>IF(A787="","",SUMIFS('출고대장'!$D$7:$D$1006,'출고대장'!$A$7:$A$1006,A787))</x:f>
      </x:c>
      <x:c r="H787" s="12" t="str">
        <x:f>IF(A787="","",F787-G787)</x:f>
      </x:c>
      <x:c r="I787" s="12" t="str">
        <x:f>IF(A787="","",SUMIFS('출고대장'!$K$7:$K$1006,'출고대장'!$A$7:$A$1006,A787))</x:f>
      </x:c>
      <x:c r="J787" s="12" t="str">
        <x:f>IF(A787="","",SUMIFS('입금대장'!$C$7:$C$1006,'입금대장'!$A$7:$A$1006,A787,'입금대장'!$E$7:$E$1006,"정상"))</x:f>
      </x:c>
      <x:c r="K787" s="12" t="str">
        <x:f>IF(A787="","",I787-J787)</x:f>
      </x:c>
      <x:c r="L787" s="13" t="str">
        <x:f>IF(A787="","",IF(K787&lt;0,"선입금·초과입금",IF(I787=0,"청구 전",IF(K787=0,"정산 완료",IF(J787=0,"미입금","부분 입금")))))</x:f>
      </x:c>
      <x:c r="M787" s="9"/>
      <x:c r="N787" s="9"/>
    </x:row>
    <x:row r="788" ht="23" customHeight="1">
      <x:c r="A788" s="9"/>
      <x:c r="B788" s="10"/>
      <x:c r="C788" s="9"/>
      <x:c r="D788" s="9"/>
      <x:c r="E788" s="9"/>
      <x:c r="F788" s="11"/>
      <x:c r="G788" s="12" t="str">
        <x:f>IF(A788="","",SUMIFS('출고대장'!$D$7:$D$1006,'출고대장'!$A$7:$A$1006,A788))</x:f>
      </x:c>
      <x:c r="H788" s="12" t="str">
        <x:f>IF(A788="","",F788-G788)</x:f>
      </x:c>
      <x:c r="I788" s="12" t="str">
        <x:f>IF(A788="","",SUMIFS('출고대장'!$K$7:$K$1006,'출고대장'!$A$7:$A$1006,A788))</x:f>
      </x:c>
      <x:c r="J788" s="12" t="str">
        <x:f>IF(A788="","",SUMIFS('입금대장'!$C$7:$C$1006,'입금대장'!$A$7:$A$1006,A788,'입금대장'!$E$7:$E$1006,"정상"))</x:f>
      </x:c>
      <x:c r="K788" s="12" t="str">
        <x:f>IF(A788="","",I788-J788)</x:f>
      </x:c>
      <x:c r="L788" s="13" t="str">
        <x:f>IF(A788="","",IF(K788&lt;0,"선입금·초과입금",IF(I788=0,"청구 전",IF(K788=0,"정산 완료",IF(J788=0,"미입금","부분 입금")))))</x:f>
      </x:c>
      <x:c r="M788" s="9"/>
      <x:c r="N788" s="9"/>
    </x:row>
    <x:row r="789" ht="23" customHeight="1">
      <x:c r="A789" s="9"/>
      <x:c r="B789" s="10"/>
      <x:c r="C789" s="9"/>
      <x:c r="D789" s="9"/>
      <x:c r="E789" s="9"/>
      <x:c r="F789" s="11"/>
      <x:c r="G789" s="12" t="str">
        <x:f>IF(A789="","",SUMIFS('출고대장'!$D$7:$D$1006,'출고대장'!$A$7:$A$1006,A789))</x:f>
      </x:c>
      <x:c r="H789" s="12" t="str">
        <x:f>IF(A789="","",F789-G789)</x:f>
      </x:c>
      <x:c r="I789" s="12" t="str">
        <x:f>IF(A789="","",SUMIFS('출고대장'!$K$7:$K$1006,'출고대장'!$A$7:$A$1006,A789))</x:f>
      </x:c>
      <x:c r="J789" s="12" t="str">
        <x:f>IF(A789="","",SUMIFS('입금대장'!$C$7:$C$1006,'입금대장'!$A$7:$A$1006,A789,'입금대장'!$E$7:$E$1006,"정상"))</x:f>
      </x:c>
      <x:c r="K789" s="12" t="str">
        <x:f>IF(A789="","",I789-J789)</x:f>
      </x:c>
      <x:c r="L789" s="13" t="str">
        <x:f>IF(A789="","",IF(K789&lt;0,"선입금·초과입금",IF(I789=0,"청구 전",IF(K789=0,"정산 완료",IF(J789=0,"미입금","부분 입금")))))</x:f>
      </x:c>
      <x:c r="M789" s="9"/>
      <x:c r="N789" s="9"/>
    </x:row>
    <x:row r="790" ht="23" customHeight="1">
      <x:c r="A790" s="9"/>
      <x:c r="B790" s="10"/>
      <x:c r="C790" s="9"/>
      <x:c r="D790" s="9"/>
      <x:c r="E790" s="9"/>
      <x:c r="F790" s="11"/>
      <x:c r="G790" s="12" t="str">
        <x:f>IF(A790="","",SUMIFS('출고대장'!$D$7:$D$1006,'출고대장'!$A$7:$A$1006,A790))</x:f>
      </x:c>
      <x:c r="H790" s="12" t="str">
        <x:f>IF(A790="","",F790-G790)</x:f>
      </x:c>
      <x:c r="I790" s="12" t="str">
        <x:f>IF(A790="","",SUMIFS('출고대장'!$K$7:$K$1006,'출고대장'!$A$7:$A$1006,A790))</x:f>
      </x:c>
      <x:c r="J790" s="12" t="str">
        <x:f>IF(A790="","",SUMIFS('입금대장'!$C$7:$C$1006,'입금대장'!$A$7:$A$1006,A790,'입금대장'!$E$7:$E$1006,"정상"))</x:f>
      </x:c>
      <x:c r="K790" s="12" t="str">
        <x:f>IF(A790="","",I790-J790)</x:f>
      </x:c>
      <x:c r="L790" s="13" t="str">
        <x:f>IF(A790="","",IF(K790&lt;0,"선입금·초과입금",IF(I790=0,"청구 전",IF(K790=0,"정산 완료",IF(J790=0,"미입금","부분 입금")))))</x:f>
      </x:c>
      <x:c r="M790" s="9"/>
      <x:c r="N790" s="9"/>
    </x:row>
    <x:row r="791" ht="23" customHeight="1">
      <x:c r="A791" s="9"/>
      <x:c r="B791" s="10"/>
      <x:c r="C791" s="9"/>
      <x:c r="D791" s="9"/>
      <x:c r="E791" s="9"/>
      <x:c r="F791" s="11"/>
      <x:c r="G791" s="12" t="str">
        <x:f>IF(A791="","",SUMIFS('출고대장'!$D$7:$D$1006,'출고대장'!$A$7:$A$1006,A791))</x:f>
      </x:c>
      <x:c r="H791" s="12" t="str">
        <x:f>IF(A791="","",F791-G791)</x:f>
      </x:c>
      <x:c r="I791" s="12" t="str">
        <x:f>IF(A791="","",SUMIFS('출고대장'!$K$7:$K$1006,'출고대장'!$A$7:$A$1006,A791))</x:f>
      </x:c>
      <x:c r="J791" s="12" t="str">
        <x:f>IF(A791="","",SUMIFS('입금대장'!$C$7:$C$1006,'입금대장'!$A$7:$A$1006,A791,'입금대장'!$E$7:$E$1006,"정상"))</x:f>
      </x:c>
      <x:c r="K791" s="12" t="str">
        <x:f>IF(A791="","",I791-J791)</x:f>
      </x:c>
      <x:c r="L791" s="13" t="str">
        <x:f>IF(A791="","",IF(K791&lt;0,"선입금·초과입금",IF(I791=0,"청구 전",IF(K791=0,"정산 완료",IF(J791=0,"미입금","부분 입금")))))</x:f>
      </x:c>
      <x:c r="M791" s="9"/>
      <x:c r="N791" s="9"/>
    </x:row>
    <x:row r="792" ht="23" customHeight="1">
      <x:c r="A792" s="9"/>
      <x:c r="B792" s="10"/>
      <x:c r="C792" s="9"/>
      <x:c r="D792" s="9"/>
      <x:c r="E792" s="9"/>
      <x:c r="F792" s="11"/>
      <x:c r="G792" s="12" t="str">
        <x:f>IF(A792="","",SUMIFS('출고대장'!$D$7:$D$1006,'출고대장'!$A$7:$A$1006,A792))</x:f>
      </x:c>
      <x:c r="H792" s="12" t="str">
        <x:f>IF(A792="","",F792-G792)</x:f>
      </x:c>
      <x:c r="I792" s="12" t="str">
        <x:f>IF(A792="","",SUMIFS('출고대장'!$K$7:$K$1006,'출고대장'!$A$7:$A$1006,A792))</x:f>
      </x:c>
      <x:c r="J792" s="12" t="str">
        <x:f>IF(A792="","",SUMIFS('입금대장'!$C$7:$C$1006,'입금대장'!$A$7:$A$1006,A792,'입금대장'!$E$7:$E$1006,"정상"))</x:f>
      </x:c>
      <x:c r="K792" s="12" t="str">
        <x:f>IF(A792="","",I792-J792)</x:f>
      </x:c>
      <x:c r="L792" s="13" t="str">
        <x:f>IF(A792="","",IF(K792&lt;0,"선입금·초과입금",IF(I792=0,"청구 전",IF(K792=0,"정산 완료",IF(J792=0,"미입금","부분 입금")))))</x:f>
      </x:c>
      <x:c r="M792" s="9"/>
      <x:c r="N792" s="9"/>
    </x:row>
    <x:row r="793" ht="23" customHeight="1">
      <x:c r="A793" s="9"/>
      <x:c r="B793" s="10"/>
      <x:c r="C793" s="9"/>
      <x:c r="D793" s="9"/>
      <x:c r="E793" s="9"/>
      <x:c r="F793" s="11"/>
      <x:c r="G793" s="12" t="str">
        <x:f>IF(A793="","",SUMIFS('출고대장'!$D$7:$D$1006,'출고대장'!$A$7:$A$1006,A793))</x:f>
      </x:c>
      <x:c r="H793" s="12" t="str">
        <x:f>IF(A793="","",F793-G793)</x:f>
      </x:c>
      <x:c r="I793" s="12" t="str">
        <x:f>IF(A793="","",SUMIFS('출고대장'!$K$7:$K$1006,'출고대장'!$A$7:$A$1006,A793))</x:f>
      </x:c>
      <x:c r="J793" s="12" t="str">
        <x:f>IF(A793="","",SUMIFS('입금대장'!$C$7:$C$1006,'입금대장'!$A$7:$A$1006,A793,'입금대장'!$E$7:$E$1006,"정상"))</x:f>
      </x:c>
      <x:c r="K793" s="12" t="str">
        <x:f>IF(A793="","",I793-J793)</x:f>
      </x:c>
      <x:c r="L793" s="13" t="str">
        <x:f>IF(A793="","",IF(K793&lt;0,"선입금·초과입금",IF(I793=0,"청구 전",IF(K793=0,"정산 완료",IF(J793=0,"미입금","부분 입금")))))</x:f>
      </x:c>
      <x:c r="M793" s="9"/>
      <x:c r="N793" s="9"/>
    </x:row>
    <x:row r="794" ht="23" customHeight="1">
      <x:c r="A794" s="9"/>
      <x:c r="B794" s="10"/>
      <x:c r="C794" s="9"/>
      <x:c r="D794" s="9"/>
      <x:c r="E794" s="9"/>
      <x:c r="F794" s="11"/>
      <x:c r="G794" s="12" t="str">
        <x:f>IF(A794="","",SUMIFS('출고대장'!$D$7:$D$1006,'출고대장'!$A$7:$A$1006,A794))</x:f>
      </x:c>
      <x:c r="H794" s="12" t="str">
        <x:f>IF(A794="","",F794-G794)</x:f>
      </x:c>
      <x:c r="I794" s="12" t="str">
        <x:f>IF(A794="","",SUMIFS('출고대장'!$K$7:$K$1006,'출고대장'!$A$7:$A$1006,A794))</x:f>
      </x:c>
      <x:c r="J794" s="12" t="str">
        <x:f>IF(A794="","",SUMIFS('입금대장'!$C$7:$C$1006,'입금대장'!$A$7:$A$1006,A794,'입금대장'!$E$7:$E$1006,"정상"))</x:f>
      </x:c>
      <x:c r="K794" s="12" t="str">
        <x:f>IF(A794="","",I794-J794)</x:f>
      </x:c>
      <x:c r="L794" s="13" t="str">
        <x:f>IF(A794="","",IF(K794&lt;0,"선입금·초과입금",IF(I794=0,"청구 전",IF(K794=0,"정산 완료",IF(J794=0,"미입금","부분 입금")))))</x:f>
      </x:c>
      <x:c r="M794" s="9"/>
      <x:c r="N794" s="9"/>
    </x:row>
    <x:row r="795" ht="23" customHeight="1">
      <x:c r="A795" s="9"/>
      <x:c r="B795" s="10"/>
      <x:c r="C795" s="9"/>
      <x:c r="D795" s="9"/>
      <x:c r="E795" s="9"/>
      <x:c r="F795" s="11"/>
      <x:c r="G795" s="12" t="str">
        <x:f>IF(A795="","",SUMIFS('출고대장'!$D$7:$D$1006,'출고대장'!$A$7:$A$1006,A795))</x:f>
      </x:c>
      <x:c r="H795" s="12" t="str">
        <x:f>IF(A795="","",F795-G795)</x:f>
      </x:c>
      <x:c r="I795" s="12" t="str">
        <x:f>IF(A795="","",SUMIFS('출고대장'!$K$7:$K$1006,'출고대장'!$A$7:$A$1006,A795))</x:f>
      </x:c>
      <x:c r="J795" s="12" t="str">
        <x:f>IF(A795="","",SUMIFS('입금대장'!$C$7:$C$1006,'입금대장'!$A$7:$A$1006,A795,'입금대장'!$E$7:$E$1006,"정상"))</x:f>
      </x:c>
      <x:c r="K795" s="12" t="str">
        <x:f>IF(A795="","",I795-J795)</x:f>
      </x:c>
      <x:c r="L795" s="13" t="str">
        <x:f>IF(A795="","",IF(K795&lt;0,"선입금·초과입금",IF(I795=0,"청구 전",IF(K795=0,"정산 완료",IF(J795=0,"미입금","부분 입금")))))</x:f>
      </x:c>
      <x:c r="M795" s="9"/>
      <x:c r="N795" s="9"/>
    </x:row>
    <x:row r="796" ht="23" customHeight="1">
      <x:c r="A796" s="9"/>
      <x:c r="B796" s="10"/>
      <x:c r="C796" s="9"/>
      <x:c r="D796" s="9"/>
      <x:c r="E796" s="9"/>
      <x:c r="F796" s="11"/>
      <x:c r="G796" s="12" t="str">
        <x:f>IF(A796="","",SUMIFS('출고대장'!$D$7:$D$1006,'출고대장'!$A$7:$A$1006,A796))</x:f>
      </x:c>
      <x:c r="H796" s="12" t="str">
        <x:f>IF(A796="","",F796-G796)</x:f>
      </x:c>
      <x:c r="I796" s="12" t="str">
        <x:f>IF(A796="","",SUMIFS('출고대장'!$K$7:$K$1006,'출고대장'!$A$7:$A$1006,A796))</x:f>
      </x:c>
      <x:c r="J796" s="12" t="str">
        <x:f>IF(A796="","",SUMIFS('입금대장'!$C$7:$C$1006,'입금대장'!$A$7:$A$1006,A796,'입금대장'!$E$7:$E$1006,"정상"))</x:f>
      </x:c>
      <x:c r="K796" s="12" t="str">
        <x:f>IF(A796="","",I796-J796)</x:f>
      </x:c>
      <x:c r="L796" s="13" t="str">
        <x:f>IF(A796="","",IF(K796&lt;0,"선입금·초과입금",IF(I796=0,"청구 전",IF(K796=0,"정산 완료",IF(J796=0,"미입금","부분 입금")))))</x:f>
      </x:c>
      <x:c r="M796" s="9"/>
      <x:c r="N796" s="9"/>
    </x:row>
    <x:row r="797" ht="23" customHeight="1">
      <x:c r="A797" s="9"/>
      <x:c r="B797" s="10"/>
      <x:c r="C797" s="9"/>
      <x:c r="D797" s="9"/>
      <x:c r="E797" s="9"/>
      <x:c r="F797" s="11"/>
      <x:c r="G797" s="12" t="str">
        <x:f>IF(A797="","",SUMIFS('출고대장'!$D$7:$D$1006,'출고대장'!$A$7:$A$1006,A797))</x:f>
      </x:c>
      <x:c r="H797" s="12" t="str">
        <x:f>IF(A797="","",F797-G797)</x:f>
      </x:c>
      <x:c r="I797" s="12" t="str">
        <x:f>IF(A797="","",SUMIFS('출고대장'!$K$7:$K$1006,'출고대장'!$A$7:$A$1006,A797))</x:f>
      </x:c>
      <x:c r="J797" s="12" t="str">
        <x:f>IF(A797="","",SUMIFS('입금대장'!$C$7:$C$1006,'입금대장'!$A$7:$A$1006,A797,'입금대장'!$E$7:$E$1006,"정상"))</x:f>
      </x:c>
      <x:c r="K797" s="12" t="str">
        <x:f>IF(A797="","",I797-J797)</x:f>
      </x:c>
      <x:c r="L797" s="13" t="str">
        <x:f>IF(A797="","",IF(K797&lt;0,"선입금·초과입금",IF(I797=0,"청구 전",IF(K797=0,"정산 완료",IF(J797=0,"미입금","부분 입금")))))</x:f>
      </x:c>
      <x:c r="M797" s="9"/>
      <x:c r="N797" s="9"/>
    </x:row>
    <x:row r="798" ht="23" customHeight="1">
      <x:c r="A798" s="9"/>
      <x:c r="B798" s="10"/>
      <x:c r="C798" s="9"/>
      <x:c r="D798" s="9"/>
      <x:c r="E798" s="9"/>
      <x:c r="F798" s="11"/>
      <x:c r="G798" s="12" t="str">
        <x:f>IF(A798="","",SUMIFS('출고대장'!$D$7:$D$1006,'출고대장'!$A$7:$A$1006,A798))</x:f>
      </x:c>
      <x:c r="H798" s="12" t="str">
        <x:f>IF(A798="","",F798-G798)</x:f>
      </x:c>
      <x:c r="I798" s="12" t="str">
        <x:f>IF(A798="","",SUMIFS('출고대장'!$K$7:$K$1006,'출고대장'!$A$7:$A$1006,A798))</x:f>
      </x:c>
      <x:c r="J798" s="12" t="str">
        <x:f>IF(A798="","",SUMIFS('입금대장'!$C$7:$C$1006,'입금대장'!$A$7:$A$1006,A798,'입금대장'!$E$7:$E$1006,"정상"))</x:f>
      </x:c>
      <x:c r="K798" s="12" t="str">
        <x:f>IF(A798="","",I798-J798)</x:f>
      </x:c>
      <x:c r="L798" s="13" t="str">
        <x:f>IF(A798="","",IF(K798&lt;0,"선입금·초과입금",IF(I798=0,"청구 전",IF(K798=0,"정산 완료",IF(J798=0,"미입금","부분 입금")))))</x:f>
      </x:c>
      <x:c r="M798" s="9"/>
      <x:c r="N798" s="9"/>
    </x:row>
    <x:row r="799" ht="23" customHeight="1">
      <x:c r="A799" s="9"/>
      <x:c r="B799" s="10"/>
      <x:c r="C799" s="9"/>
      <x:c r="D799" s="9"/>
      <x:c r="E799" s="9"/>
      <x:c r="F799" s="11"/>
      <x:c r="G799" s="12" t="str">
        <x:f>IF(A799="","",SUMIFS('출고대장'!$D$7:$D$1006,'출고대장'!$A$7:$A$1006,A799))</x:f>
      </x:c>
      <x:c r="H799" s="12" t="str">
        <x:f>IF(A799="","",F799-G799)</x:f>
      </x:c>
      <x:c r="I799" s="12" t="str">
        <x:f>IF(A799="","",SUMIFS('출고대장'!$K$7:$K$1006,'출고대장'!$A$7:$A$1006,A799))</x:f>
      </x:c>
      <x:c r="J799" s="12" t="str">
        <x:f>IF(A799="","",SUMIFS('입금대장'!$C$7:$C$1006,'입금대장'!$A$7:$A$1006,A799,'입금대장'!$E$7:$E$1006,"정상"))</x:f>
      </x:c>
      <x:c r="K799" s="12" t="str">
        <x:f>IF(A799="","",I799-J799)</x:f>
      </x:c>
      <x:c r="L799" s="13" t="str">
        <x:f>IF(A799="","",IF(K799&lt;0,"선입금·초과입금",IF(I799=0,"청구 전",IF(K799=0,"정산 완료",IF(J799=0,"미입금","부분 입금")))))</x:f>
      </x:c>
      <x:c r="M799" s="9"/>
      <x:c r="N799" s="9"/>
    </x:row>
    <x:row r="800" ht="23" customHeight="1">
      <x:c r="A800" s="9"/>
      <x:c r="B800" s="10"/>
      <x:c r="C800" s="9"/>
      <x:c r="D800" s="9"/>
      <x:c r="E800" s="9"/>
      <x:c r="F800" s="11"/>
      <x:c r="G800" s="12" t="str">
        <x:f>IF(A800="","",SUMIFS('출고대장'!$D$7:$D$1006,'출고대장'!$A$7:$A$1006,A800))</x:f>
      </x:c>
      <x:c r="H800" s="12" t="str">
        <x:f>IF(A800="","",F800-G800)</x:f>
      </x:c>
      <x:c r="I800" s="12" t="str">
        <x:f>IF(A800="","",SUMIFS('출고대장'!$K$7:$K$1006,'출고대장'!$A$7:$A$1006,A800))</x:f>
      </x:c>
      <x:c r="J800" s="12" t="str">
        <x:f>IF(A800="","",SUMIFS('입금대장'!$C$7:$C$1006,'입금대장'!$A$7:$A$1006,A800,'입금대장'!$E$7:$E$1006,"정상"))</x:f>
      </x:c>
      <x:c r="K800" s="12" t="str">
        <x:f>IF(A800="","",I800-J800)</x:f>
      </x:c>
      <x:c r="L800" s="13" t="str">
        <x:f>IF(A800="","",IF(K800&lt;0,"선입금·초과입금",IF(I800=0,"청구 전",IF(K800=0,"정산 완료",IF(J800=0,"미입금","부분 입금")))))</x:f>
      </x:c>
      <x:c r="M800" s="9"/>
      <x:c r="N800" s="9"/>
    </x:row>
    <x:row r="801" ht="23" customHeight="1">
      <x:c r="A801" s="9"/>
      <x:c r="B801" s="10"/>
      <x:c r="C801" s="9"/>
      <x:c r="D801" s="9"/>
      <x:c r="E801" s="9"/>
      <x:c r="F801" s="11"/>
      <x:c r="G801" s="12" t="str">
        <x:f>IF(A801="","",SUMIFS('출고대장'!$D$7:$D$1006,'출고대장'!$A$7:$A$1006,A801))</x:f>
      </x:c>
      <x:c r="H801" s="12" t="str">
        <x:f>IF(A801="","",F801-G801)</x:f>
      </x:c>
      <x:c r="I801" s="12" t="str">
        <x:f>IF(A801="","",SUMIFS('출고대장'!$K$7:$K$1006,'출고대장'!$A$7:$A$1006,A801))</x:f>
      </x:c>
      <x:c r="J801" s="12" t="str">
        <x:f>IF(A801="","",SUMIFS('입금대장'!$C$7:$C$1006,'입금대장'!$A$7:$A$1006,A801,'입금대장'!$E$7:$E$1006,"정상"))</x:f>
      </x:c>
      <x:c r="K801" s="12" t="str">
        <x:f>IF(A801="","",I801-J801)</x:f>
      </x:c>
      <x:c r="L801" s="13" t="str">
        <x:f>IF(A801="","",IF(K801&lt;0,"선입금·초과입금",IF(I801=0,"청구 전",IF(K801=0,"정산 완료",IF(J801=0,"미입금","부분 입금")))))</x:f>
      </x:c>
      <x:c r="M801" s="9"/>
      <x:c r="N801" s="9"/>
    </x:row>
    <x:row r="802" ht="23" customHeight="1">
      <x:c r="A802" s="9"/>
      <x:c r="B802" s="10"/>
      <x:c r="C802" s="9"/>
      <x:c r="D802" s="9"/>
      <x:c r="E802" s="9"/>
      <x:c r="F802" s="11"/>
      <x:c r="G802" s="12" t="str">
        <x:f>IF(A802="","",SUMIFS('출고대장'!$D$7:$D$1006,'출고대장'!$A$7:$A$1006,A802))</x:f>
      </x:c>
      <x:c r="H802" s="12" t="str">
        <x:f>IF(A802="","",F802-G802)</x:f>
      </x:c>
      <x:c r="I802" s="12" t="str">
        <x:f>IF(A802="","",SUMIFS('출고대장'!$K$7:$K$1006,'출고대장'!$A$7:$A$1006,A802))</x:f>
      </x:c>
      <x:c r="J802" s="12" t="str">
        <x:f>IF(A802="","",SUMIFS('입금대장'!$C$7:$C$1006,'입금대장'!$A$7:$A$1006,A802,'입금대장'!$E$7:$E$1006,"정상"))</x:f>
      </x:c>
      <x:c r="K802" s="12" t="str">
        <x:f>IF(A802="","",I802-J802)</x:f>
      </x:c>
      <x:c r="L802" s="13" t="str">
        <x:f>IF(A802="","",IF(K802&lt;0,"선입금·초과입금",IF(I802=0,"청구 전",IF(K802=0,"정산 완료",IF(J802=0,"미입금","부분 입금")))))</x:f>
      </x:c>
      <x:c r="M802" s="9"/>
      <x:c r="N802" s="9"/>
    </x:row>
    <x:row r="803" ht="23" customHeight="1">
      <x:c r="A803" s="9"/>
      <x:c r="B803" s="10"/>
      <x:c r="C803" s="9"/>
      <x:c r="D803" s="9"/>
      <x:c r="E803" s="9"/>
      <x:c r="F803" s="11"/>
      <x:c r="G803" s="12" t="str">
        <x:f>IF(A803="","",SUMIFS('출고대장'!$D$7:$D$1006,'출고대장'!$A$7:$A$1006,A803))</x:f>
      </x:c>
      <x:c r="H803" s="12" t="str">
        <x:f>IF(A803="","",F803-G803)</x:f>
      </x:c>
      <x:c r="I803" s="12" t="str">
        <x:f>IF(A803="","",SUMIFS('출고대장'!$K$7:$K$1006,'출고대장'!$A$7:$A$1006,A803))</x:f>
      </x:c>
      <x:c r="J803" s="12" t="str">
        <x:f>IF(A803="","",SUMIFS('입금대장'!$C$7:$C$1006,'입금대장'!$A$7:$A$1006,A803,'입금대장'!$E$7:$E$1006,"정상"))</x:f>
      </x:c>
      <x:c r="K803" s="12" t="str">
        <x:f>IF(A803="","",I803-J803)</x:f>
      </x:c>
      <x:c r="L803" s="13" t="str">
        <x:f>IF(A803="","",IF(K803&lt;0,"선입금·초과입금",IF(I803=0,"청구 전",IF(K803=0,"정산 완료",IF(J803=0,"미입금","부분 입금")))))</x:f>
      </x:c>
      <x:c r="M803" s="9"/>
      <x:c r="N803" s="9"/>
    </x:row>
    <x:row r="804" ht="23" customHeight="1">
      <x:c r="A804" s="9"/>
      <x:c r="B804" s="10"/>
      <x:c r="C804" s="9"/>
      <x:c r="D804" s="9"/>
      <x:c r="E804" s="9"/>
      <x:c r="F804" s="11"/>
      <x:c r="G804" s="12" t="str">
        <x:f>IF(A804="","",SUMIFS('출고대장'!$D$7:$D$1006,'출고대장'!$A$7:$A$1006,A804))</x:f>
      </x:c>
      <x:c r="H804" s="12" t="str">
        <x:f>IF(A804="","",F804-G804)</x:f>
      </x:c>
      <x:c r="I804" s="12" t="str">
        <x:f>IF(A804="","",SUMIFS('출고대장'!$K$7:$K$1006,'출고대장'!$A$7:$A$1006,A804))</x:f>
      </x:c>
      <x:c r="J804" s="12" t="str">
        <x:f>IF(A804="","",SUMIFS('입금대장'!$C$7:$C$1006,'입금대장'!$A$7:$A$1006,A804,'입금대장'!$E$7:$E$1006,"정상"))</x:f>
      </x:c>
      <x:c r="K804" s="12" t="str">
        <x:f>IF(A804="","",I804-J804)</x:f>
      </x:c>
      <x:c r="L804" s="13" t="str">
        <x:f>IF(A804="","",IF(K804&lt;0,"선입금·초과입금",IF(I804=0,"청구 전",IF(K804=0,"정산 완료",IF(J804=0,"미입금","부분 입금")))))</x:f>
      </x:c>
      <x:c r="M804" s="9"/>
      <x:c r="N804" s="9"/>
    </x:row>
    <x:row r="805" ht="23" customHeight="1">
      <x:c r="A805" s="9"/>
      <x:c r="B805" s="10"/>
      <x:c r="C805" s="9"/>
      <x:c r="D805" s="9"/>
      <x:c r="E805" s="9"/>
      <x:c r="F805" s="11"/>
      <x:c r="G805" s="12" t="str">
        <x:f>IF(A805="","",SUMIFS('출고대장'!$D$7:$D$1006,'출고대장'!$A$7:$A$1006,A805))</x:f>
      </x:c>
      <x:c r="H805" s="12" t="str">
        <x:f>IF(A805="","",F805-G805)</x:f>
      </x:c>
      <x:c r="I805" s="12" t="str">
        <x:f>IF(A805="","",SUMIFS('출고대장'!$K$7:$K$1006,'출고대장'!$A$7:$A$1006,A805))</x:f>
      </x:c>
      <x:c r="J805" s="12" t="str">
        <x:f>IF(A805="","",SUMIFS('입금대장'!$C$7:$C$1006,'입금대장'!$A$7:$A$1006,A805,'입금대장'!$E$7:$E$1006,"정상"))</x:f>
      </x:c>
      <x:c r="K805" s="12" t="str">
        <x:f>IF(A805="","",I805-J805)</x:f>
      </x:c>
      <x:c r="L805" s="13" t="str">
        <x:f>IF(A805="","",IF(K805&lt;0,"선입금·초과입금",IF(I805=0,"청구 전",IF(K805=0,"정산 완료",IF(J805=0,"미입금","부분 입금")))))</x:f>
      </x:c>
      <x:c r="M805" s="9"/>
      <x:c r="N805" s="9"/>
    </x:row>
    <x:row r="806" ht="23" customHeight="1">
      <x:c r="A806" s="9"/>
      <x:c r="B806" s="10"/>
      <x:c r="C806" s="9"/>
      <x:c r="D806" s="9"/>
      <x:c r="E806" s="9"/>
      <x:c r="F806" s="11"/>
      <x:c r="G806" s="12" t="str">
        <x:f>IF(A806="","",SUMIFS('출고대장'!$D$7:$D$1006,'출고대장'!$A$7:$A$1006,A806))</x:f>
      </x:c>
      <x:c r="H806" s="12" t="str">
        <x:f>IF(A806="","",F806-G806)</x:f>
      </x:c>
      <x:c r="I806" s="12" t="str">
        <x:f>IF(A806="","",SUMIFS('출고대장'!$K$7:$K$1006,'출고대장'!$A$7:$A$1006,A806))</x:f>
      </x:c>
      <x:c r="J806" s="12" t="str">
        <x:f>IF(A806="","",SUMIFS('입금대장'!$C$7:$C$1006,'입금대장'!$A$7:$A$1006,A806,'입금대장'!$E$7:$E$1006,"정상"))</x:f>
      </x:c>
      <x:c r="K806" s="12" t="str">
        <x:f>IF(A806="","",I806-J806)</x:f>
      </x:c>
      <x:c r="L806" s="13" t="str">
        <x:f>IF(A806="","",IF(K806&lt;0,"선입금·초과입금",IF(I806=0,"청구 전",IF(K806=0,"정산 완료",IF(J806=0,"미입금","부분 입금")))))</x:f>
      </x:c>
      <x:c r="M806" s="9"/>
      <x:c r="N806" s="9"/>
    </x:row>
    <x:row r="807" ht="23" customHeight="1">
      <x:c r="A807" s="9"/>
      <x:c r="B807" s="10"/>
      <x:c r="C807" s="9"/>
      <x:c r="D807" s="9"/>
      <x:c r="E807" s="9"/>
      <x:c r="F807" s="11"/>
      <x:c r="G807" s="12" t="str">
        <x:f>IF(A807="","",SUMIFS('출고대장'!$D$7:$D$1006,'출고대장'!$A$7:$A$1006,A807))</x:f>
      </x:c>
      <x:c r="H807" s="12" t="str">
        <x:f>IF(A807="","",F807-G807)</x:f>
      </x:c>
      <x:c r="I807" s="12" t="str">
        <x:f>IF(A807="","",SUMIFS('출고대장'!$K$7:$K$1006,'출고대장'!$A$7:$A$1006,A807))</x:f>
      </x:c>
      <x:c r="J807" s="12" t="str">
        <x:f>IF(A807="","",SUMIFS('입금대장'!$C$7:$C$1006,'입금대장'!$A$7:$A$1006,A807,'입금대장'!$E$7:$E$1006,"정상"))</x:f>
      </x:c>
      <x:c r="K807" s="12" t="str">
        <x:f>IF(A807="","",I807-J807)</x:f>
      </x:c>
      <x:c r="L807" s="13" t="str">
        <x:f>IF(A807="","",IF(K807&lt;0,"선입금·초과입금",IF(I807=0,"청구 전",IF(K807=0,"정산 완료",IF(J807=0,"미입금","부분 입금")))))</x:f>
      </x:c>
      <x:c r="M807" s="9"/>
      <x:c r="N807" s="9"/>
    </x:row>
    <x:row r="808" ht="23" customHeight="1">
      <x:c r="A808" s="9"/>
      <x:c r="B808" s="10"/>
      <x:c r="C808" s="9"/>
      <x:c r="D808" s="9"/>
      <x:c r="E808" s="9"/>
      <x:c r="F808" s="11"/>
      <x:c r="G808" s="12" t="str">
        <x:f>IF(A808="","",SUMIFS('출고대장'!$D$7:$D$1006,'출고대장'!$A$7:$A$1006,A808))</x:f>
      </x:c>
      <x:c r="H808" s="12" t="str">
        <x:f>IF(A808="","",F808-G808)</x:f>
      </x:c>
      <x:c r="I808" s="12" t="str">
        <x:f>IF(A808="","",SUMIFS('출고대장'!$K$7:$K$1006,'출고대장'!$A$7:$A$1006,A808))</x:f>
      </x:c>
      <x:c r="J808" s="12" t="str">
        <x:f>IF(A808="","",SUMIFS('입금대장'!$C$7:$C$1006,'입금대장'!$A$7:$A$1006,A808,'입금대장'!$E$7:$E$1006,"정상"))</x:f>
      </x:c>
      <x:c r="K808" s="12" t="str">
        <x:f>IF(A808="","",I808-J808)</x:f>
      </x:c>
      <x:c r="L808" s="13" t="str">
        <x:f>IF(A808="","",IF(K808&lt;0,"선입금·초과입금",IF(I808=0,"청구 전",IF(K808=0,"정산 완료",IF(J808=0,"미입금","부분 입금")))))</x:f>
      </x:c>
      <x:c r="M808" s="9"/>
      <x:c r="N808" s="9"/>
    </x:row>
    <x:row r="809" ht="23" customHeight="1">
      <x:c r="A809" s="9"/>
      <x:c r="B809" s="10"/>
      <x:c r="C809" s="9"/>
      <x:c r="D809" s="9"/>
      <x:c r="E809" s="9"/>
      <x:c r="F809" s="11"/>
      <x:c r="G809" s="12" t="str">
        <x:f>IF(A809="","",SUMIFS('출고대장'!$D$7:$D$1006,'출고대장'!$A$7:$A$1006,A809))</x:f>
      </x:c>
      <x:c r="H809" s="12" t="str">
        <x:f>IF(A809="","",F809-G809)</x:f>
      </x:c>
      <x:c r="I809" s="12" t="str">
        <x:f>IF(A809="","",SUMIFS('출고대장'!$K$7:$K$1006,'출고대장'!$A$7:$A$1006,A809))</x:f>
      </x:c>
      <x:c r="J809" s="12" t="str">
        <x:f>IF(A809="","",SUMIFS('입금대장'!$C$7:$C$1006,'입금대장'!$A$7:$A$1006,A809,'입금대장'!$E$7:$E$1006,"정상"))</x:f>
      </x:c>
      <x:c r="K809" s="12" t="str">
        <x:f>IF(A809="","",I809-J809)</x:f>
      </x:c>
      <x:c r="L809" s="13" t="str">
        <x:f>IF(A809="","",IF(K809&lt;0,"선입금·초과입금",IF(I809=0,"청구 전",IF(K809=0,"정산 완료",IF(J809=0,"미입금","부분 입금")))))</x:f>
      </x:c>
      <x:c r="M809" s="9"/>
      <x:c r="N809" s="9"/>
    </x:row>
    <x:row r="810" ht="23" customHeight="1">
      <x:c r="A810" s="9"/>
      <x:c r="B810" s="10"/>
      <x:c r="C810" s="9"/>
      <x:c r="D810" s="9"/>
      <x:c r="E810" s="9"/>
      <x:c r="F810" s="11"/>
      <x:c r="G810" s="12" t="str">
        <x:f>IF(A810="","",SUMIFS('출고대장'!$D$7:$D$1006,'출고대장'!$A$7:$A$1006,A810))</x:f>
      </x:c>
      <x:c r="H810" s="12" t="str">
        <x:f>IF(A810="","",F810-G810)</x:f>
      </x:c>
      <x:c r="I810" s="12" t="str">
        <x:f>IF(A810="","",SUMIFS('출고대장'!$K$7:$K$1006,'출고대장'!$A$7:$A$1006,A810))</x:f>
      </x:c>
      <x:c r="J810" s="12" t="str">
        <x:f>IF(A810="","",SUMIFS('입금대장'!$C$7:$C$1006,'입금대장'!$A$7:$A$1006,A810,'입금대장'!$E$7:$E$1006,"정상"))</x:f>
      </x:c>
      <x:c r="K810" s="12" t="str">
        <x:f>IF(A810="","",I810-J810)</x:f>
      </x:c>
      <x:c r="L810" s="13" t="str">
        <x:f>IF(A810="","",IF(K810&lt;0,"선입금·초과입금",IF(I810=0,"청구 전",IF(K810=0,"정산 완료",IF(J810=0,"미입금","부분 입금")))))</x:f>
      </x:c>
      <x:c r="M810" s="9"/>
      <x:c r="N810" s="9"/>
    </x:row>
    <x:row r="811" ht="23" customHeight="1">
      <x:c r="A811" s="9"/>
      <x:c r="B811" s="10"/>
      <x:c r="C811" s="9"/>
      <x:c r="D811" s="9"/>
      <x:c r="E811" s="9"/>
      <x:c r="F811" s="11"/>
      <x:c r="G811" s="12" t="str">
        <x:f>IF(A811="","",SUMIFS('출고대장'!$D$7:$D$1006,'출고대장'!$A$7:$A$1006,A811))</x:f>
      </x:c>
      <x:c r="H811" s="12" t="str">
        <x:f>IF(A811="","",F811-G811)</x:f>
      </x:c>
      <x:c r="I811" s="12" t="str">
        <x:f>IF(A811="","",SUMIFS('출고대장'!$K$7:$K$1006,'출고대장'!$A$7:$A$1006,A811))</x:f>
      </x:c>
      <x:c r="J811" s="12" t="str">
        <x:f>IF(A811="","",SUMIFS('입금대장'!$C$7:$C$1006,'입금대장'!$A$7:$A$1006,A811,'입금대장'!$E$7:$E$1006,"정상"))</x:f>
      </x:c>
      <x:c r="K811" s="12" t="str">
        <x:f>IF(A811="","",I811-J811)</x:f>
      </x:c>
      <x:c r="L811" s="13" t="str">
        <x:f>IF(A811="","",IF(K811&lt;0,"선입금·초과입금",IF(I811=0,"청구 전",IF(K811=0,"정산 완료",IF(J811=0,"미입금","부분 입금")))))</x:f>
      </x:c>
      <x:c r="M811" s="9"/>
      <x:c r="N811" s="9"/>
    </x:row>
    <x:row r="812" ht="23" customHeight="1">
      <x:c r="A812" s="9"/>
      <x:c r="B812" s="10"/>
      <x:c r="C812" s="9"/>
      <x:c r="D812" s="9"/>
      <x:c r="E812" s="9"/>
      <x:c r="F812" s="11"/>
      <x:c r="G812" s="12" t="str">
        <x:f>IF(A812="","",SUMIFS('출고대장'!$D$7:$D$1006,'출고대장'!$A$7:$A$1006,A812))</x:f>
      </x:c>
      <x:c r="H812" s="12" t="str">
        <x:f>IF(A812="","",F812-G812)</x:f>
      </x:c>
      <x:c r="I812" s="12" t="str">
        <x:f>IF(A812="","",SUMIFS('출고대장'!$K$7:$K$1006,'출고대장'!$A$7:$A$1006,A812))</x:f>
      </x:c>
      <x:c r="J812" s="12" t="str">
        <x:f>IF(A812="","",SUMIFS('입금대장'!$C$7:$C$1006,'입금대장'!$A$7:$A$1006,A812,'입금대장'!$E$7:$E$1006,"정상"))</x:f>
      </x:c>
      <x:c r="K812" s="12" t="str">
        <x:f>IF(A812="","",I812-J812)</x:f>
      </x:c>
      <x:c r="L812" s="13" t="str">
        <x:f>IF(A812="","",IF(K812&lt;0,"선입금·초과입금",IF(I812=0,"청구 전",IF(K812=0,"정산 완료",IF(J812=0,"미입금","부분 입금")))))</x:f>
      </x:c>
      <x:c r="M812" s="9"/>
      <x:c r="N812" s="9"/>
    </x:row>
    <x:row r="813" ht="23" customHeight="1">
      <x:c r="A813" s="9"/>
      <x:c r="B813" s="10"/>
      <x:c r="C813" s="9"/>
      <x:c r="D813" s="9"/>
      <x:c r="E813" s="9"/>
      <x:c r="F813" s="11"/>
      <x:c r="G813" s="12" t="str">
        <x:f>IF(A813="","",SUMIFS('출고대장'!$D$7:$D$1006,'출고대장'!$A$7:$A$1006,A813))</x:f>
      </x:c>
      <x:c r="H813" s="12" t="str">
        <x:f>IF(A813="","",F813-G813)</x:f>
      </x:c>
      <x:c r="I813" s="12" t="str">
        <x:f>IF(A813="","",SUMIFS('출고대장'!$K$7:$K$1006,'출고대장'!$A$7:$A$1006,A813))</x:f>
      </x:c>
      <x:c r="J813" s="12" t="str">
        <x:f>IF(A813="","",SUMIFS('입금대장'!$C$7:$C$1006,'입금대장'!$A$7:$A$1006,A813,'입금대장'!$E$7:$E$1006,"정상"))</x:f>
      </x:c>
      <x:c r="K813" s="12" t="str">
        <x:f>IF(A813="","",I813-J813)</x:f>
      </x:c>
      <x:c r="L813" s="13" t="str">
        <x:f>IF(A813="","",IF(K813&lt;0,"선입금·초과입금",IF(I813=0,"청구 전",IF(K813=0,"정산 완료",IF(J813=0,"미입금","부분 입금")))))</x:f>
      </x:c>
      <x:c r="M813" s="9"/>
      <x:c r="N813" s="9"/>
    </x:row>
    <x:row r="814" ht="23" customHeight="1">
      <x:c r="A814" s="9"/>
      <x:c r="B814" s="10"/>
      <x:c r="C814" s="9"/>
      <x:c r="D814" s="9"/>
      <x:c r="E814" s="9"/>
      <x:c r="F814" s="11"/>
      <x:c r="G814" s="12" t="str">
        <x:f>IF(A814="","",SUMIFS('출고대장'!$D$7:$D$1006,'출고대장'!$A$7:$A$1006,A814))</x:f>
      </x:c>
      <x:c r="H814" s="12" t="str">
        <x:f>IF(A814="","",F814-G814)</x:f>
      </x:c>
      <x:c r="I814" s="12" t="str">
        <x:f>IF(A814="","",SUMIFS('출고대장'!$K$7:$K$1006,'출고대장'!$A$7:$A$1006,A814))</x:f>
      </x:c>
      <x:c r="J814" s="12" t="str">
        <x:f>IF(A814="","",SUMIFS('입금대장'!$C$7:$C$1006,'입금대장'!$A$7:$A$1006,A814,'입금대장'!$E$7:$E$1006,"정상"))</x:f>
      </x:c>
      <x:c r="K814" s="12" t="str">
        <x:f>IF(A814="","",I814-J814)</x:f>
      </x:c>
      <x:c r="L814" s="13" t="str">
        <x:f>IF(A814="","",IF(K814&lt;0,"선입금·초과입금",IF(I814=0,"청구 전",IF(K814=0,"정산 완료",IF(J814=0,"미입금","부분 입금")))))</x:f>
      </x:c>
      <x:c r="M814" s="9"/>
      <x:c r="N814" s="9"/>
    </x:row>
    <x:row r="815" ht="23" customHeight="1">
      <x:c r="A815" s="9"/>
      <x:c r="B815" s="10"/>
      <x:c r="C815" s="9"/>
      <x:c r="D815" s="9"/>
      <x:c r="E815" s="9"/>
      <x:c r="F815" s="11"/>
      <x:c r="G815" s="12" t="str">
        <x:f>IF(A815="","",SUMIFS('출고대장'!$D$7:$D$1006,'출고대장'!$A$7:$A$1006,A815))</x:f>
      </x:c>
      <x:c r="H815" s="12" t="str">
        <x:f>IF(A815="","",F815-G815)</x:f>
      </x:c>
      <x:c r="I815" s="12" t="str">
        <x:f>IF(A815="","",SUMIFS('출고대장'!$K$7:$K$1006,'출고대장'!$A$7:$A$1006,A815))</x:f>
      </x:c>
      <x:c r="J815" s="12" t="str">
        <x:f>IF(A815="","",SUMIFS('입금대장'!$C$7:$C$1006,'입금대장'!$A$7:$A$1006,A815,'입금대장'!$E$7:$E$1006,"정상"))</x:f>
      </x:c>
      <x:c r="K815" s="12" t="str">
        <x:f>IF(A815="","",I815-J815)</x:f>
      </x:c>
      <x:c r="L815" s="13" t="str">
        <x:f>IF(A815="","",IF(K815&lt;0,"선입금·초과입금",IF(I815=0,"청구 전",IF(K815=0,"정산 완료",IF(J815=0,"미입금","부분 입금")))))</x:f>
      </x:c>
      <x:c r="M815" s="9"/>
      <x:c r="N815" s="9"/>
    </x:row>
    <x:row r="816" ht="23" customHeight="1">
      <x:c r="A816" s="9"/>
      <x:c r="B816" s="10"/>
      <x:c r="C816" s="9"/>
      <x:c r="D816" s="9"/>
      <x:c r="E816" s="9"/>
      <x:c r="F816" s="11"/>
      <x:c r="G816" s="12" t="str">
        <x:f>IF(A816="","",SUMIFS('출고대장'!$D$7:$D$1006,'출고대장'!$A$7:$A$1006,A816))</x:f>
      </x:c>
      <x:c r="H816" s="12" t="str">
        <x:f>IF(A816="","",F816-G816)</x:f>
      </x:c>
      <x:c r="I816" s="12" t="str">
        <x:f>IF(A816="","",SUMIFS('출고대장'!$K$7:$K$1006,'출고대장'!$A$7:$A$1006,A816))</x:f>
      </x:c>
      <x:c r="J816" s="12" t="str">
        <x:f>IF(A816="","",SUMIFS('입금대장'!$C$7:$C$1006,'입금대장'!$A$7:$A$1006,A816,'입금대장'!$E$7:$E$1006,"정상"))</x:f>
      </x:c>
      <x:c r="K816" s="12" t="str">
        <x:f>IF(A816="","",I816-J816)</x:f>
      </x:c>
      <x:c r="L816" s="13" t="str">
        <x:f>IF(A816="","",IF(K816&lt;0,"선입금·초과입금",IF(I816=0,"청구 전",IF(K816=0,"정산 완료",IF(J816=0,"미입금","부분 입금")))))</x:f>
      </x:c>
      <x:c r="M816" s="9"/>
      <x:c r="N816" s="9"/>
    </x:row>
    <x:row r="817" ht="23" customHeight="1">
      <x:c r="A817" s="9"/>
      <x:c r="B817" s="10"/>
      <x:c r="C817" s="9"/>
      <x:c r="D817" s="9"/>
      <x:c r="E817" s="9"/>
      <x:c r="F817" s="11"/>
      <x:c r="G817" s="12" t="str">
        <x:f>IF(A817="","",SUMIFS('출고대장'!$D$7:$D$1006,'출고대장'!$A$7:$A$1006,A817))</x:f>
      </x:c>
      <x:c r="H817" s="12" t="str">
        <x:f>IF(A817="","",F817-G817)</x:f>
      </x:c>
      <x:c r="I817" s="12" t="str">
        <x:f>IF(A817="","",SUMIFS('출고대장'!$K$7:$K$1006,'출고대장'!$A$7:$A$1006,A817))</x:f>
      </x:c>
      <x:c r="J817" s="12" t="str">
        <x:f>IF(A817="","",SUMIFS('입금대장'!$C$7:$C$1006,'입금대장'!$A$7:$A$1006,A817,'입금대장'!$E$7:$E$1006,"정상"))</x:f>
      </x:c>
      <x:c r="K817" s="12" t="str">
        <x:f>IF(A817="","",I817-J817)</x:f>
      </x:c>
      <x:c r="L817" s="13" t="str">
        <x:f>IF(A817="","",IF(K817&lt;0,"선입금·초과입금",IF(I817=0,"청구 전",IF(K817=0,"정산 완료",IF(J817=0,"미입금","부분 입금")))))</x:f>
      </x:c>
      <x:c r="M817" s="9"/>
      <x:c r="N817" s="9"/>
    </x:row>
    <x:row r="818" ht="23" customHeight="1">
      <x:c r="A818" s="9"/>
      <x:c r="B818" s="10"/>
      <x:c r="C818" s="9"/>
      <x:c r="D818" s="9"/>
      <x:c r="E818" s="9"/>
      <x:c r="F818" s="11"/>
      <x:c r="G818" s="12" t="str">
        <x:f>IF(A818="","",SUMIFS('출고대장'!$D$7:$D$1006,'출고대장'!$A$7:$A$1006,A818))</x:f>
      </x:c>
      <x:c r="H818" s="12" t="str">
        <x:f>IF(A818="","",F818-G818)</x:f>
      </x:c>
      <x:c r="I818" s="12" t="str">
        <x:f>IF(A818="","",SUMIFS('출고대장'!$K$7:$K$1006,'출고대장'!$A$7:$A$1006,A818))</x:f>
      </x:c>
      <x:c r="J818" s="12" t="str">
        <x:f>IF(A818="","",SUMIFS('입금대장'!$C$7:$C$1006,'입금대장'!$A$7:$A$1006,A818,'입금대장'!$E$7:$E$1006,"정상"))</x:f>
      </x:c>
      <x:c r="K818" s="12" t="str">
        <x:f>IF(A818="","",I818-J818)</x:f>
      </x:c>
      <x:c r="L818" s="13" t="str">
        <x:f>IF(A818="","",IF(K818&lt;0,"선입금·초과입금",IF(I818=0,"청구 전",IF(K818=0,"정산 완료",IF(J818=0,"미입금","부분 입금")))))</x:f>
      </x:c>
      <x:c r="M818" s="9"/>
      <x:c r="N818" s="9"/>
    </x:row>
    <x:row r="819" ht="23" customHeight="1">
      <x:c r="A819" s="9"/>
      <x:c r="B819" s="10"/>
      <x:c r="C819" s="9"/>
      <x:c r="D819" s="9"/>
      <x:c r="E819" s="9"/>
      <x:c r="F819" s="11"/>
      <x:c r="G819" s="12" t="str">
        <x:f>IF(A819="","",SUMIFS('출고대장'!$D$7:$D$1006,'출고대장'!$A$7:$A$1006,A819))</x:f>
      </x:c>
      <x:c r="H819" s="12" t="str">
        <x:f>IF(A819="","",F819-G819)</x:f>
      </x:c>
      <x:c r="I819" s="12" t="str">
        <x:f>IF(A819="","",SUMIFS('출고대장'!$K$7:$K$1006,'출고대장'!$A$7:$A$1006,A819))</x:f>
      </x:c>
      <x:c r="J819" s="12" t="str">
        <x:f>IF(A819="","",SUMIFS('입금대장'!$C$7:$C$1006,'입금대장'!$A$7:$A$1006,A819,'입금대장'!$E$7:$E$1006,"정상"))</x:f>
      </x:c>
      <x:c r="K819" s="12" t="str">
        <x:f>IF(A819="","",I819-J819)</x:f>
      </x:c>
      <x:c r="L819" s="13" t="str">
        <x:f>IF(A819="","",IF(K819&lt;0,"선입금·초과입금",IF(I819=0,"청구 전",IF(K819=0,"정산 완료",IF(J819=0,"미입금","부분 입금")))))</x:f>
      </x:c>
      <x:c r="M819" s="9"/>
      <x:c r="N819" s="9"/>
    </x:row>
    <x:row r="820" ht="23" customHeight="1">
      <x:c r="A820" s="9"/>
      <x:c r="B820" s="10"/>
      <x:c r="C820" s="9"/>
      <x:c r="D820" s="9"/>
      <x:c r="E820" s="9"/>
      <x:c r="F820" s="11"/>
      <x:c r="G820" s="12" t="str">
        <x:f>IF(A820="","",SUMIFS('출고대장'!$D$7:$D$1006,'출고대장'!$A$7:$A$1006,A820))</x:f>
      </x:c>
      <x:c r="H820" s="12" t="str">
        <x:f>IF(A820="","",F820-G820)</x:f>
      </x:c>
      <x:c r="I820" s="12" t="str">
        <x:f>IF(A820="","",SUMIFS('출고대장'!$K$7:$K$1006,'출고대장'!$A$7:$A$1006,A820))</x:f>
      </x:c>
      <x:c r="J820" s="12" t="str">
        <x:f>IF(A820="","",SUMIFS('입금대장'!$C$7:$C$1006,'입금대장'!$A$7:$A$1006,A820,'입금대장'!$E$7:$E$1006,"정상"))</x:f>
      </x:c>
      <x:c r="K820" s="12" t="str">
        <x:f>IF(A820="","",I820-J820)</x:f>
      </x:c>
      <x:c r="L820" s="13" t="str">
        <x:f>IF(A820="","",IF(K820&lt;0,"선입금·초과입금",IF(I820=0,"청구 전",IF(K820=0,"정산 완료",IF(J820=0,"미입금","부분 입금")))))</x:f>
      </x:c>
      <x:c r="M820" s="9"/>
      <x:c r="N820" s="9"/>
    </x:row>
    <x:row r="821" ht="23" customHeight="1">
      <x:c r="A821" s="9"/>
      <x:c r="B821" s="10"/>
      <x:c r="C821" s="9"/>
      <x:c r="D821" s="9"/>
      <x:c r="E821" s="9"/>
      <x:c r="F821" s="11"/>
      <x:c r="G821" s="12" t="str">
        <x:f>IF(A821="","",SUMIFS('출고대장'!$D$7:$D$1006,'출고대장'!$A$7:$A$1006,A821))</x:f>
      </x:c>
      <x:c r="H821" s="12" t="str">
        <x:f>IF(A821="","",F821-G821)</x:f>
      </x:c>
      <x:c r="I821" s="12" t="str">
        <x:f>IF(A821="","",SUMIFS('출고대장'!$K$7:$K$1006,'출고대장'!$A$7:$A$1006,A821))</x:f>
      </x:c>
      <x:c r="J821" s="12" t="str">
        <x:f>IF(A821="","",SUMIFS('입금대장'!$C$7:$C$1006,'입금대장'!$A$7:$A$1006,A821,'입금대장'!$E$7:$E$1006,"정상"))</x:f>
      </x:c>
      <x:c r="K821" s="12" t="str">
        <x:f>IF(A821="","",I821-J821)</x:f>
      </x:c>
      <x:c r="L821" s="13" t="str">
        <x:f>IF(A821="","",IF(K821&lt;0,"선입금·초과입금",IF(I821=0,"청구 전",IF(K821=0,"정산 완료",IF(J821=0,"미입금","부분 입금")))))</x:f>
      </x:c>
      <x:c r="M821" s="9"/>
      <x:c r="N821" s="9"/>
    </x:row>
    <x:row r="822" ht="23" customHeight="1">
      <x:c r="A822" s="9"/>
      <x:c r="B822" s="10"/>
      <x:c r="C822" s="9"/>
      <x:c r="D822" s="9"/>
      <x:c r="E822" s="9"/>
      <x:c r="F822" s="11"/>
      <x:c r="G822" s="12" t="str">
        <x:f>IF(A822="","",SUMIFS('출고대장'!$D$7:$D$1006,'출고대장'!$A$7:$A$1006,A822))</x:f>
      </x:c>
      <x:c r="H822" s="12" t="str">
        <x:f>IF(A822="","",F822-G822)</x:f>
      </x:c>
      <x:c r="I822" s="12" t="str">
        <x:f>IF(A822="","",SUMIFS('출고대장'!$K$7:$K$1006,'출고대장'!$A$7:$A$1006,A822))</x:f>
      </x:c>
      <x:c r="J822" s="12" t="str">
        <x:f>IF(A822="","",SUMIFS('입금대장'!$C$7:$C$1006,'입금대장'!$A$7:$A$1006,A822,'입금대장'!$E$7:$E$1006,"정상"))</x:f>
      </x:c>
      <x:c r="K822" s="12" t="str">
        <x:f>IF(A822="","",I822-J822)</x:f>
      </x:c>
      <x:c r="L822" s="13" t="str">
        <x:f>IF(A822="","",IF(K822&lt;0,"선입금·초과입금",IF(I822=0,"청구 전",IF(K822=0,"정산 완료",IF(J822=0,"미입금","부분 입금")))))</x:f>
      </x:c>
      <x:c r="M822" s="9"/>
      <x:c r="N822" s="9"/>
    </x:row>
    <x:row r="823" ht="23" customHeight="1">
      <x:c r="A823" s="9"/>
      <x:c r="B823" s="10"/>
      <x:c r="C823" s="9"/>
      <x:c r="D823" s="9"/>
      <x:c r="E823" s="9"/>
      <x:c r="F823" s="11"/>
      <x:c r="G823" s="12" t="str">
        <x:f>IF(A823="","",SUMIFS('출고대장'!$D$7:$D$1006,'출고대장'!$A$7:$A$1006,A823))</x:f>
      </x:c>
      <x:c r="H823" s="12" t="str">
        <x:f>IF(A823="","",F823-G823)</x:f>
      </x:c>
      <x:c r="I823" s="12" t="str">
        <x:f>IF(A823="","",SUMIFS('출고대장'!$K$7:$K$1006,'출고대장'!$A$7:$A$1006,A823))</x:f>
      </x:c>
      <x:c r="J823" s="12" t="str">
        <x:f>IF(A823="","",SUMIFS('입금대장'!$C$7:$C$1006,'입금대장'!$A$7:$A$1006,A823,'입금대장'!$E$7:$E$1006,"정상"))</x:f>
      </x:c>
      <x:c r="K823" s="12" t="str">
        <x:f>IF(A823="","",I823-J823)</x:f>
      </x:c>
      <x:c r="L823" s="13" t="str">
        <x:f>IF(A823="","",IF(K823&lt;0,"선입금·초과입금",IF(I823=0,"청구 전",IF(K823=0,"정산 완료",IF(J823=0,"미입금","부분 입금")))))</x:f>
      </x:c>
      <x:c r="M823" s="9"/>
      <x:c r="N823" s="9"/>
    </x:row>
    <x:row r="824" ht="23" customHeight="1">
      <x:c r="A824" s="9"/>
      <x:c r="B824" s="10"/>
      <x:c r="C824" s="9"/>
      <x:c r="D824" s="9"/>
      <x:c r="E824" s="9"/>
      <x:c r="F824" s="11"/>
      <x:c r="G824" s="12" t="str">
        <x:f>IF(A824="","",SUMIFS('출고대장'!$D$7:$D$1006,'출고대장'!$A$7:$A$1006,A824))</x:f>
      </x:c>
      <x:c r="H824" s="12" t="str">
        <x:f>IF(A824="","",F824-G824)</x:f>
      </x:c>
      <x:c r="I824" s="12" t="str">
        <x:f>IF(A824="","",SUMIFS('출고대장'!$K$7:$K$1006,'출고대장'!$A$7:$A$1006,A824))</x:f>
      </x:c>
      <x:c r="J824" s="12" t="str">
        <x:f>IF(A824="","",SUMIFS('입금대장'!$C$7:$C$1006,'입금대장'!$A$7:$A$1006,A824,'입금대장'!$E$7:$E$1006,"정상"))</x:f>
      </x:c>
      <x:c r="K824" s="12" t="str">
        <x:f>IF(A824="","",I824-J824)</x:f>
      </x:c>
      <x:c r="L824" s="13" t="str">
        <x:f>IF(A824="","",IF(K824&lt;0,"선입금·초과입금",IF(I824=0,"청구 전",IF(K824=0,"정산 완료",IF(J824=0,"미입금","부분 입금")))))</x:f>
      </x:c>
      <x:c r="M824" s="9"/>
      <x:c r="N824" s="9"/>
    </x:row>
    <x:row r="825" ht="23" customHeight="1">
      <x:c r="A825" s="9"/>
      <x:c r="B825" s="10"/>
      <x:c r="C825" s="9"/>
      <x:c r="D825" s="9"/>
      <x:c r="E825" s="9"/>
      <x:c r="F825" s="11"/>
      <x:c r="G825" s="12" t="str">
        <x:f>IF(A825="","",SUMIFS('출고대장'!$D$7:$D$1006,'출고대장'!$A$7:$A$1006,A825))</x:f>
      </x:c>
      <x:c r="H825" s="12" t="str">
        <x:f>IF(A825="","",F825-G825)</x:f>
      </x:c>
      <x:c r="I825" s="12" t="str">
        <x:f>IF(A825="","",SUMIFS('출고대장'!$K$7:$K$1006,'출고대장'!$A$7:$A$1006,A825))</x:f>
      </x:c>
      <x:c r="J825" s="12" t="str">
        <x:f>IF(A825="","",SUMIFS('입금대장'!$C$7:$C$1006,'입금대장'!$A$7:$A$1006,A825,'입금대장'!$E$7:$E$1006,"정상"))</x:f>
      </x:c>
      <x:c r="K825" s="12" t="str">
        <x:f>IF(A825="","",I825-J825)</x:f>
      </x:c>
      <x:c r="L825" s="13" t="str">
        <x:f>IF(A825="","",IF(K825&lt;0,"선입금·초과입금",IF(I825=0,"청구 전",IF(K825=0,"정산 완료",IF(J825=0,"미입금","부분 입금")))))</x:f>
      </x:c>
      <x:c r="M825" s="9"/>
      <x:c r="N825" s="9"/>
    </x:row>
    <x:row r="826" ht="23" customHeight="1">
      <x:c r="A826" s="9"/>
      <x:c r="B826" s="10"/>
      <x:c r="C826" s="9"/>
      <x:c r="D826" s="9"/>
      <x:c r="E826" s="9"/>
      <x:c r="F826" s="11"/>
      <x:c r="G826" s="12" t="str">
        <x:f>IF(A826="","",SUMIFS('출고대장'!$D$7:$D$1006,'출고대장'!$A$7:$A$1006,A826))</x:f>
      </x:c>
      <x:c r="H826" s="12" t="str">
        <x:f>IF(A826="","",F826-G826)</x:f>
      </x:c>
      <x:c r="I826" s="12" t="str">
        <x:f>IF(A826="","",SUMIFS('출고대장'!$K$7:$K$1006,'출고대장'!$A$7:$A$1006,A826))</x:f>
      </x:c>
      <x:c r="J826" s="12" t="str">
        <x:f>IF(A826="","",SUMIFS('입금대장'!$C$7:$C$1006,'입금대장'!$A$7:$A$1006,A826,'입금대장'!$E$7:$E$1006,"정상"))</x:f>
      </x:c>
      <x:c r="K826" s="12" t="str">
        <x:f>IF(A826="","",I826-J826)</x:f>
      </x:c>
      <x:c r="L826" s="13" t="str">
        <x:f>IF(A826="","",IF(K826&lt;0,"선입금·초과입금",IF(I826=0,"청구 전",IF(K826=0,"정산 완료",IF(J826=0,"미입금","부분 입금")))))</x:f>
      </x:c>
      <x:c r="M826" s="9"/>
      <x:c r="N826" s="9"/>
    </x:row>
    <x:row r="827" ht="23" customHeight="1">
      <x:c r="A827" s="9"/>
      <x:c r="B827" s="10"/>
      <x:c r="C827" s="9"/>
      <x:c r="D827" s="9"/>
      <x:c r="E827" s="9"/>
      <x:c r="F827" s="11"/>
      <x:c r="G827" s="12" t="str">
        <x:f>IF(A827="","",SUMIFS('출고대장'!$D$7:$D$1006,'출고대장'!$A$7:$A$1006,A827))</x:f>
      </x:c>
      <x:c r="H827" s="12" t="str">
        <x:f>IF(A827="","",F827-G827)</x:f>
      </x:c>
      <x:c r="I827" s="12" t="str">
        <x:f>IF(A827="","",SUMIFS('출고대장'!$K$7:$K$1006,'출고대장'!$A$7:$A$1006,A827))</x:f>
      </x:c>
      <x:c r="J827" s="12" t="str">
        <x:f>IF(A827="","",SUMIFS('입금대장'!$C$7:$C$1006,'입금대장'!$A$7:$A$1006,A827,'입금대장'!$E$7:$E$1006,"정상"))</x:f>
      </x:c>
      <x:c r="K827" s="12" t="str">
        <x:f>IF(A827="","",I827-J827)</x:f>
      </x:c>
      <x:c r="L827" s="13" t="str">
        <x:f>IF(A827="","",IF(K827&lt;0,"선입금·초과입금",IF(I827=0,"청구 전",IF(K827=0,"정산 완료",IF(J827=0,"미입금","부분 입금")))))</x:f>
      </x:c>
      <x:c r="M827" s="9"/>
      <x:c r="N827" s="9"/>
    </x:row>
    <x:row r="828" ht="23" customHeight="1">
      <x:c r="A828" s="9"/>
      <x:c r="B828" s="10"/>
      <x:c r="C828" s="9"/>
      <x:c r="D828" s="9"/>
      <x:c r="E828" s="9"/>
      <x:c r="F828" s="11"/>
      <x:c r="G828" s="12" t="str">
        <x:f>IF(A828="","",SUMIFS('출고대장'!$D$7:$D$1006,'출고대장'!$A$7:$A$1006,A828))</x:f>
      </x:c>
      <x:c r="H828" s="12" t="str">
        <x:f>IF(A828="","",F828-G828)</x:f>
      </x:c>
      <x:c r="I828" s="12" t="str">
        <x:f>IF(A828="","",SUMIFS('출고대장'!$K$7:$K$1006,'출고대장'!$A$7:$A$1006,A828))</x:f>
      </x:c>
      <x:c r="J828" s="12" t="str">
        <x:f>IF(A828="","",SUMIFS('입금대장'!$C$7:$C$1006,'입금대장'!$A$7:$A$1006,A828,'입금대장'!$E$7:$E$1006,"정상"))</x:f>
      </x:c>
      <x:c r="K828" s="12" t="str">
        <x:f>IF(A828="","",I828-J828)</x:f>
      </x:c>
      <x:c r="L828" s="13" t="str">
        <x:f>IF(A828="","",IF(K828&lt;0,"선입금·초과입금",IF(I828=0,"청구 전",IF(K828=0,"정산 완료",IF(J828=0,"미입금","부분 입금")))))</x:f>
      </x:c>
      <x:c r="M828" s="9"/>
      <x:c r="N828" s="9"/>
    </x:row>
    <x:row r="829" ht="23" customHeight="1">
      <x:c r="A829" s="9"/>
      <x:c r="B829" s="10"/>
      <x:c r="C829" s="9"/>
      <x:c r="D829" s="9"/>
      <x:c r="E829" s="9"/>
      <x:c r="F829" s="11"/>
      <x:c r="G829" s="12" t="str">
        <x:f>IF(A829="","",SUMIFS('출고대장'!$D$7:$D$1006,'출고대장'!$A$7:$A$1006,A829))</x:f>
      </x:c>
      <x:c r="H829" s="12" t="str">
        <x:f>IF(A829="","",F829-G829)</x:f>
      </x:c>
      <x:c r="I829" s="12" t="str">
        <x:f>IF(A829="","",SUMIFS('출고대장'!$K$7:$K$1006,'출고대장'!$A$7:$A$1006,A829))</x:f>
      </x:c>
      <x:c r="J829" s="12" t="str">
        <x:f>IF(A829="","",SUMIFS('입금대장'!$C$7:$C$1006,'입금대장'!$A$7:$A$1006,A829,'입금대장'!$E$7:$E$1006,"정상"))</x:f>
      </x:c>
      <x:c r="K829" s="12" t="str">
        <x:f>IF(A829="","",I829-J829)</x:f>
      </x:c>
      <x:c r="L829" s="13" t="str">
        <x:f>IF(A829="","",IF(K829&lt;0,"선입금·초과입금",IF(I829=0,"청구 전",IF(K829=0,"정산 완료",IF(J829=0,"미입금","부분 입금")))))</x:f>
      </x:c>
      <x:c r="M829" s="9"/>
      <x:c r="N829" s="9"/>
    </x:row>
    <x:row r="830" ht="23" customHeight="1">
      <x:c r="A830" s="9"/>
      <x:c r="B830" s="10"/>
      <x:c r="C830" s="9"/>
      <x:c r="D830" s="9"/>
      <x:c r="E830" s="9"/>
      <x:c r="F830" s="11"/>
      <x:c r="G830" s="12" t="str">
        <x:f>IF(A830="","",SUMIFS('출고대장'!$D$7:$D$1006,'출고대장'!$A$7:$A$1006,A830))</x:f>
      </x:c>
      <x:c r="H830" s="12" t="str">
        <x:f>IF(A830="","",F830-G830)</x:f>
      </x:c>
      <x:c r="I830" s="12" t="str">
        <x:f>IF(A830="","",SUMIFS('출고대장'!$K$7:$K$1006,'출고대장'!$A$7:$A$1006,A830))</x:f>
      </x:c>
      <x:c r="J830" s="12" t="str">
        <x:f>IF(A830="","",SUMIFS('입금대장'!$C$7:$C$1006,'입금대장'!$A$7:$A$1006,A830,'입금대장'!$E$7:$E$1006,"정상"))</x:f>
      </x:c>
      <x:c r="K830" s="12" t="str">
        <x:f>IF(A830="","",I830-J830)</x:f>
      </x:c>
      <x:c r="L830" s="13" t="str">
        <x:f>IF(A830="","",IF(K830&lt;0,"선입금·초과입금",IF(I830=0,"청구 전",IF(K830=0,"정산 완료",IF(J830=0,"미입금","부분 입금")))))</x:f>
      </x:c>
      <x:c r="M830" s="9"/>
      <x:c r="N830" s="9"/>
    </x:row>
    <x:row r="831" ht="23" customHeight="1">
      <x:c r="A831" s="9"/>
      <x:c r="B831" s="10"/>
      <x:c r="C831" s="9"/>
      <x:c r="D831" s="9"/>
      <x:c r="E831" s="9"/>
      <x:c r="F831" s="11"/>
      <x:c r="G831" s="12" t="str">
        <x:f>IF(A831="","",SUMIFS('출고대장'!$D$7:$D$1006,'출고대장'!$A$7:$A$1006,A831))</x:f>
      </x:c>
      <x:c r="H831" s="12" t="str">
        <x:f>IF(A831="","",F831-G831)</x:f>
      </x:c>
      <x:c r="I831" s="12" t="str">
        <x:f>IF(A831="","",SUMIFS('출고대장'!$K$7:$K$1006,'출고대장'!$A$7:$A$1006,A831))</x:f>
      </x:c>
      <x:c r="J831" s="12" t="str">
        <x:f>IF(A831="","",SUMIFS('입금대장'!$C$7:$C$1006,'입금대장'!$A$7:$A$1006,A831,'입금대장'!$E$7:$E$1006,"정상"))</x:f>
      </x:c>
      <x:c r="K831" s="12" t="str">
        <x:f>IF(A831="","",I831-J831)</x:f>
      </x:c>
      <x:c r="L831" s="13" t="str">
        <x:f>IF(A831="","",IF(K831&lt;0,"선입금·초과입금",IF(I831=0,"청구 전",IF(K831=0,"정산 완료",IF(J831=0,"미입금","부분 입금")))))</x:f>
      </x:c>
      <x:c r="M831" s="9"/>
      <x:c r="N831" s="9"/>
    </x:row>
    <x:row r="832" ht="23" customHeight="1">
      <x:c r="A832" s="9"/>
      <x:c r="B832" s="10"/>
      <x:c r="C832" s="9"/>
      <x:c r="D832" s="9"/>
      <x:c r="E832" s="9"/>
      <x:c r="F832" s="11"/>
      <x:c r="G832" s="12" t="str">
        <x:f>IF(A832="","",SUMIFS('출고대장'!$D$7:$D$1006,'출고대장'!$A$7:$A$1006,A832))</x:f>
      </x:c>
      <x:c r="H832" s="12" t="str">
        <x:f>IF(A832="","",F832-G832)</x:f>
      </x:c>
      <x:c r="I832" s="12" t="str">
        <x:f>IF(A832="","",SUMIFS('출고대장'!$K$7:$K$1006,'출고대장'!$A$7:$A$1006,A832))</x:f>
      </x:c>
      <x:c r="J832" s="12" t="str">
        <x:f>IF(A832="","",SUMIFS('입금대장'!$C$7:$C$1006,'입금대장'!$A$7:$A$1006,A832,'입금대장'!$E$7:$E$1006,"정상"))</x:f>
      </x:c>
      <x:c r="K832" s="12" t="str">
        <x:f>IF(A832="","",I832-J832)</x:f>
      </x:c>
      <x:c r="L832" s="13" t="str">
        <x:f>IF(A832="","",IF(K832&lt;0,"선입금·초과입금",IF(I832=0,"청구 전",IF(K832=0,"정산 완료",IF(J832=0,"미입금","부분 입금")))))</x:f>
      </x:c>
      <x:c r="M832" s="9"/>
      <x:c r="N832" s="9"/>
    </x:row>
    <x:row r="833" ht="23" customHeight="1">
      <x:c r="A833" s="9"/>
      <x:c r="B833" s="10"/>
      <x:c r="C833" s="9"/>
      <x:c r="D833" s="9"/>
      <x:c r="E833" s="9"/>
      <x:c r="F833" s="11"/>
      <x:c r="G833" s="12" t="str">
        <x:f>IF(A833="","",SUMIFS('출고대장'!$D$7:$D$1006,'출고대장'!$A$7:$A$1006,A833))</x:f>
      </x:c>
      <x:c r="H833" s="12" t="str">
        <x:f>IF(A833="","",F833-G833)</x:f>
      </x:c>
      <x:c r="I833" s="12" t="str">
        <x:f>IF(A833="","",SUMIFS('출고대장'!$K$7:$K$1006,'출고대장'!$A$7:$A$1006,A833))</x:f>
      </x:c>
      <x:c r="J833" s="12" t="str">
        <x:f>IF(A833="","",SUMIFS('입금대장'!$C$7:$C$1006,'입금대장'!$A$7:$A$1006,A833,'입금대장'!$E$7:$E$1006,"정상"))</x:f>
      </x:c>
      <x:c r="K833" s="12" t="str">
        <x:f>IF(A833="","",I833-J833)</x:f>
      </x:c>
      <x:c r="L833" s="13" t="str">
        <x:f>IF(A833="","",IF(K833&lt;0,"선입금·초과입금",IF(I833=0,"청구 전",IF(K833=0,"정산 완료",IF(J833=0,"미입금","부분 입금")))))</x:f>
      </x:c>
      <x:c r="M833" s="9"/>
      <x:c r="N833" s="9"/>
    </x:row>
    <x:row r="834" ht="23" customHeight="1">
      <x:c r="A834" s="9"/>
      <x:c r="B834" s="10"/>
      <x:c r="C834" s="9"/>
      <x:c r="D834" s="9"/>
      <x:c r="E834" s="9"/>
      <x:c r="F834" s="11"/>
      <x:c r="G834" s="12" t="str">
        <x:f>IF(A834="","",SUMIFS('출고대장'!$D$7:$D$1006,'출고대장'!$A$7:$A$1006,A834))</x:f>
      </x:c>
      <x:c r="H834" s="12" t="str">
        <x:f>IF(A834="","",F834-G834)</x:f>
      </x:c>
      <x:c r="I834" s="12" t="str">
        <x:f>IF(A834="","",SUMIFS('출고대장'!$K$7:$K$1006,'출고대장'!$A$7:$A$1006,A834))</x:f>
      </x:c>
      <x:c r="J834" s="12" t="str">
        <x:f>IF(A834="","",SUMIFS('입금대장'!$C$7:$C$1006,'입금대장'!$A$7:$A$1006,A834,'입금대장'!$E$7:$E$1006,"정상"))</x:f>
      </x:c>
      <x:c r="K834" s="12" t="str">
        <x:f>IF(A834="","",I834-J834)</x:f>
      </x:c>
      <x:c r="L834" s="13" t="str">
        <x:f>IF(A834="","",IF(K834&lt;0,"선입금·초과입금",IF(I834=0,"청구 전",IF(K834=0,"정산 완료",IF(J834=0,"미입금","부분 입금")))))</x:f>
      </x:c>
      <x:c r="M834" s="9"/>
      <x:c r="N834" s="9"/>
    </x:row>
    <x:row r="835" ht="23" customHeight="1">
      <x:c r="A835" s="9"/>
      <x:c r="B835" s="10"/>
      <x:c r="C835" s="9"/>
      <x:c r="D835" s="9"/>
      <x:c r="E835" s="9"/>
      <x:c r="F835" s="11"/>
      <x:c r="G835" s="12" t="str">
        <x:f>IF(A835="","",SUMIFS('출고대장'!$D$7:$D$1006,'출고대장'!$A$7:$A$1006,A835))</x:f>
      </x:c>
      <x:c r="H835" s="12" t="str">
        <x:f>IF(A835="","",F835-G835)</x:f>
      </x:c>
      <x:c r="I835" s="12" t="str">
        <x:f>IF(A835="","",SUMIFS('출고대장'!$K$7:$K$1006,'출고대장'!$A$7:$A$1006,A835))</x:f>
      </x:c>
      <x:c r="J835" s="12" t="str">
        <x:f>IF(A835="","",SUMIFS('입금대장'!$C$7:$C$1006,'입금대장'!$A$7:$A$1006,A835,'입금대장'!$E$7:$E$1006,"정상"))</x:f>
      </x:c>
      <x:c r="K835" s="12" t="str">
        <x:f>IF(A835="","",I835-J835)</x:f>
      </x:c>
      <x:c r="L835" s="13" t="str">
        <x:f>IF(A835="","",IF(K835&lt;0,"선입금·초과입금",IF(I835=0,"청구 전",IF(K835=0,"정산 완료",IF(J835=0,"미입금","부분 입금")))))</x:f>
      </x:c>
      <x:c r="M835" s="9"/>
      <x:c r="N835" s="9"/>
    </x:row>
    <x:row r="836" ht="23" customHeight="1">
      <x:c r="A836" s="9"/>
      <x:c r="B836" s="10"/>
      <x:c r="C836" s="9"/>
      <x:c r="D836" s="9"/>
      <x:c r="E836" s="9"/>
      <x:c r="F836" s="11"/>
      <x:c r="G836" s="12" t="str">
        <x:f>IF(A836="","",SUMIFS('출고대장'!$D$7:$D$1006,'출고대장'!$A$7:$A$1006,A836))</x:f>
      </x:c>
      <x:c r="H836" s="12" t="str">
        <x:f>IF(A836="","",F836-G836)</x:f>
      </x:c>
      <x:c r="I836" s="12" t="str">
        <x:f>IF(A836="","",SUMIFS('출고대장'!$K$7:$K$1006,'출고대장'!$A$7:$A$1006,A836))</x:f>
      </x:c>
      <x:c r="J836" s="12" t="str">
        <x:f>IF(A836="","",SUMIFS('입금대장'!$C$7:$C$1006,'입금대장'!$A$7:$A$1006,A836,'입금대장'!$E$7:$E$1006,"정상"))</x:f>
      </x:c>
      <x:c r="K836" s="12" t="str">
        <x:f>IF(A836="","",I836-J836)</x:f>
      </x:c>
      <x:c r="L836" s="13" t="str">
        <x:f>IF(A836="","",IF(K836&lt;0,"선입금·초과입금",IF(I836=0,"청구 전",IF(K836=0,"정산 완료",IF(J836=0,"미입금","부분 입금")))))</x:f>
      </x:c>
      <x:c r="M836" s="9"/>
      <x:c r="N836" s="9"/>
    </x:row>
    <x:row r="837" ht="23" customHeight="1">
      <x:c r="A837" s="9"/>
      <x:c r="B837" s="10"/>
      <x:c r="C837" s="9"/>
      <x:c r="D837" s="9"/>
      <x:c r="E837" s="9"/>
      <x:c r="F837" s="11"/>
      <x:c r="G837" s="12" t="str">
        <x:f>IF(A837="","",SUMIFS('출고대장'!$D$7:$D$1006,'출고대장'!$A$7:$A$1006,A837))</x:f>
      </x:c>
      <x:c r="H837" s="12" t="str">
        <x:f>IF(A837="","",F837-G837)</x:f>
      </x:c>
      <x:c r="I837" s="12" t="str">
        <x:f>IF(A837="","",SUMIFS('출고대장'!$K$7:$K$1006,'출고대장'!$A$7:$A$1006,A837))</x:f>
      </x:c>
      <x:c r="J837" s="12" t="str">
        <x:f>IF(A837="","",SUMIFS('입금대장'!$C$7:$C$1006,'입금대장'!$A$7:$A$1006,A837,'입금대장'!$E$7:$E$1006,"정상"))</x:f>
      </x:c>
      <x:c r="K837" s="12" t="str">
        <x:f>IF(A837="","",I837-J837)</x:f>
      </x:c>
      <x:c r="L837" s="13" t="str">
        <x:f>IF(A837="","",IF(K837&lt;0,"선입금·초과입금",IF(I837=0,"청구 전",IF(K837=0,"정산 완료",IF(J837=0,"미입금","부분 입금")))))</x:f>
      </x:c>
      <x:c r="M837" s="9"/>
      <x:c r="N837" s="9"/>
    </x:row>
    <x:row r="838" ht="23" customHeight="1">
      <x:c r="A838" s="9"/>
      <x:c r="B838" s="10"/>
      <x:c r="C838" s="9"/>
      <x:c r="D838" s="9"/>
      <x:c r="E838" s="9"/>
      <x:c r="F838" s="11"/>
      <x:c r="G838" s="12" t="str">
        <x:f>IF(A838="","",SUMIFS('출고대장'!$D$7:$D$1006,'출고대장'!$A$7:$A$1006,A838))</x:f>
      </x:c>
      <x:c r="H838" s="12" t="str">
        <x:f>IF(A838="","",F838-G838)</x:f>
      </x:c>
      <x:c r="I838" s="12" t="str">
        <x:f>IF(A838="","",SUMIFS('출고대장'!$K$7:$K$1006,'출고대장'!$A$7:$A$1006,A838))</x:f>
      </x:c>
      <x:c r="J838" s="12" t="str">
        <x:f>IF(A838="","",SUMIFS('입금대장'!$C$7:$C$1006,'입금대장'!$A$7:$A$1006,A838,'입금대장'!$E$7:$E$1006,"정상"))</x:f>
      </x:c>
      <x:c r="K838" s="12" t="str">
        <x:f>IF(A838="","",I838-J838)</x:f>
      </x:c>
      <x:c r="L838" s="13" t="str">
        <x:f>IF(A838="","",IF(K838&lt;0,"선입금·초과입금",IF(I838=0,"청구 전",IF(K838=0,"정산 완료",IF(J838=0,"미입금","부분 입금")))))</x:f>
      </x:c>
      <x:c r="M838" s="9"/>
      <x:c r="N838" s="9"/>
    </x:row>
    <x:row r="839" ht="23" customHeight="1">
      <x:c r="A839" s="9"/>
      <x:c r="B839" s="10"/>
      <x:c r="C839" s="9"/>
      <x:c r="D839" s="9"/>
      <x:c r="E839" s="9"/>
      <x:c r="F839" s="11"/>
      <x:c r="G839" s="12" t="str">
        <x:f>IF(A839="","",SUMIFS('출고대장'!$D$7:$D$1006,'출고대장'!$A$7:$A$1006,A839))</x:f>
      </x:c>
      <x:c r="H839" s="12" t="str">
        <x:f>IF(A839="","",F839-G839)</x:f>
      </x:c>
      <x:c r="I839" s="12" t="str">
        <x:f>IF(A839="","",SUMIFS('출고대장'!$K$7:$K$1006,'출고대장'!$A$7:$A$1006,A839))</x:f>
      </x:c>
      <x:c r="J839" s="12" t="str">
        <x:f>IF(A839="","",SUMIFS('입금대장'!$C$7:$C$1006,'입금대장'!$A$7:$A$1006,A839,'입금대장'!$E$7:$E$1006,"정상"))</x:f>
      </x:c>
      <x:c r="K839" s="12" t="str">
        <x:f>IF(A839="","",I839-J839)</x:f>
      </x:c>
      <x:c r="L839" s="13" t="str">
        <x:f>IF(A839="","",IF(K839&lt;0,"선입금·초과입금",IF(I839=0,"청구 전",IF(K839=0,"정산 완료",IF(J839=0,"미입금","부분 입금")))))</x:f>
      </x:c>
      <x:c r="M839" s="9"/>
      <x:c r="N839" s="9"/>
    </x:row>
    <x:row r="840" ht="23" customHeight="1">
      <x:c r="A840" s="9"/>
      <x:c r="B840" s="10"/>
      <x:c r="C840" s="9"/>
      <x:c r="D840" s="9"/>
      <x:c r="E840" s="9"/>
      <x:c r="F840" s="11"/>
      <x:c r="G840" s="12" t="str">
        <x:f>IF(A840="","",SUMIFS('출고대장'!$D$7:$D$1006,'출고대장'!$A$7:$A$1006,A840))</x:f>
      </x:c>
      <x:c r="H840" s="12" t="str">
        <x:f>IF(A840="","",F840-G840)</x:f>
      </x:c>
      <x:c r="I840" s="12" t="str">
        <x:f>IF(A840="","",SUMIFS('출고대장'!$K$7:$K$1006,'출고대장'!$A$7:$A$1006,A840))</x:f>
      </x:c>
      <x:c r="J840" s="12" t="str">
        <x:f>IF(A840="","",SUMIFS('입금대장'!$C$7:$C$1006,'입금대장'!$A$7:$A$1006,A840,'입금대장'!$E$7:$E$1006,"정상"))</x:f>
      </x:c>
      <x:c r="K840" s="12" t="str">
        <x:f>IF(A840="","",I840-J840)</x:f>
      </x:c>
      <x:c r="L840" s="13" t="str">
        <x:f>IF(A840="","",IF(K840&lt;0,"선입금·초과입금",IF(I840=0,"청구 전",IF(K840=0,"정산 완료",IF(J840=0,"미입금","부분 입금")))))</x:f>
      </x:c>
      <x:c r="M840" s="9"/>
      <x:c r="N840" s="9"/>
    </x:row>
    <x:row r="841" ht="23" customHeight="1">
      <x:c r="A841" s="9"/>
      <x:c r="B841" s="10"/>
      <x:c r="C841" s="9"/>
      <x:c r="D841" s="9"/>
      <x:c r="E841" s="9"/>
      <x:c r="F841" s="11"/>
      <x:c r="G841" s="12" t="str">
        <x:f>IF(A841="","",SUMIFS('출고대장'!$D$7:$D$1006,'출고대장'!$A$7:$A$1006,A841))</x:f>
      </x:c>
      <x:c r="H841" s="12" t="str">
        <x:f>IF(A841="","",F841-G841)</x:f>
      </x:c>
      <x:c r="I841" s="12" t="str">
        <x:f>IF(A841="","",SUMIFS('출고대장'!$K$7:$K$1006,'출고대장'!$A$7:$A$1006,A841))</x:f>
      </x:c>
      <x:c r="J841" s="12" t="str">
        <x:f>IF(A841="","",SUMIFS('입금대장'!$C$7:$C$1006,'입금대장'!$A$7:$A$1006,A841,'입금대장'!$E$7:$E$1006,"정상"))</x:f>
      </x:c>
      <x:c r="K841" s="12" t="str">
        <x:f>IF(A841="","",I841-J841)</x:f>
      </x:c>
      <x:c r="L841" s="13" t="str">
        <x:f>IF(A841="","",IF(K841&lt;0,"선입금·초과입금",IF(I841=0,"청구 전",IF(K841=0,"정산 완료",IF(J841=0,"미입금","부분 입금")))))</x:f>
      </x:c>
      <x:c r="M841" s="9"/>
      <x:c r="N841" s="9"/>
    </x:row>
    <x:row r="842" ht="23" customHeight="1">
      <x:c r="A842" s="9"/>
      <x:c r="B842" s="10"/>
      <x:c r="C842" s="9"/>
      <x:c r="D842" s="9"/>
      <x:c r="E842" s="9"/>
      <x:c r="F842" s="11"/>
      <x:c r="G842" s="12" t="str">
        <x:f>IF(A842="","",SUMIFS('출고대장'!$D$7:$D$1006,'출고대장'!$A$7:$A$1006,A842))</x:f>
      </x:c>
      <x:c r="H842" s="12" t="str">
        <x:f>IF(A842="","",F842-G842)</x:f>
      </x:c>
      <x:c r="I842" s="12" t="str">
        <x:f>IF(A842="","",SUMIFS('출고대장'!$K$7:$K$1006,'출고대장'!$A$7:$A$1006,A842))</x:f>
      </x:c>
      <x:c r="J842" s="12" t="str">
        <x:f>IF(A842="","",SUMIFS('입금대장'!$C$7:$C$1006,'입금대장'!$A$7:$A$1006,A842,'입금대장'!$E$7:$E$1006,"정상"))</x:f>
      </x:c>
      <x:c r="K842" s="12" t="str">
        <x:f>IF(A842="","",I842-J842)</x:f>
      </x:c>
      <x:c r="L842" s="13" t="str">
        <x:f>IF(A842="","",IF(K842&lt;0,"선입금·초과입금",IF(I842=0,"청구 전",IF(K842=0,"정산 완료",IF(J842=0,"미입금","부분 입금")))))</x:f>
      </x:c>
      <x:c r="M842" s="9"/>
      <x:c r="N842" s="9"/>
    </x:row>
    <x:row r="843" ht="23" customHeight="1">
      <x:c r="A843" s="9"/>
      <x:c r="B843" s="10"/>
      <x:c r="C843" s="9"/>
      <x:c r="D843" s="9"/>
      <x:c r="E843" s="9"/>
      <x:c r="F843" s="11"/>
      <x:c r="G843" s="12" t="str">
        <x:f>IF(A843="","",SUMIFS('출고대장'!$D$7:$D$1006,'출고대장'!$A$7:$A$1006,A843))</x:f>
      </x:c>
      <x:c r="H843" s="12" t="str">
        <x:f>IF(A843="","",F843-G843)</x:f>
      </x:c>
      <x:c r="I843" s="12" t="str">
        <x:f>IF(A843="","",SUMIFS('출고대장'!$K$7:$K$1006,'출고대장'!$A$7:$A$1006,A843))</x:f>
      </x:c>
      <x:c r="J843" s="12" t="str">
        <x:f>IF(A843="","",SUMIFS('입금대장'!$C$7:$C$1006,'입금대장'!$A$7:$A$1006,A843,'입금대장'!$E$7:$E$1006,"정상"))</x:f>
      </x:c>
      <x:c r="K843" s="12" t="str">
        <x:f>IF(A843="","",I843-J843)</x:f>
      </x:c>
      <x:c r="L843" s="13" t="str">
        <x:f>IF(A843="","",IF(K843&lt;0,"선입금·초과입금",IF(I843=0,"청구 전",IF(K843=0,"정산 완료",IF(J843=0,"미입금","부분 입금")))))</x:f>
      </x:c>
      <x:c r="M843" s="9"/>
      <x:c r="N843" s="9"/>
    </x:row>
    <x:row r="844" ht="23" customHeight="1">
      <x:c r="A844" s="9"/>
      <x:c r="B844" s="10"/>
      <x:c r="C844" s="9"/>
      <x:c r="D844" s="9"/>
      <x:c r="E844" s="9"/>
      <x:c r="F844" s="11"/>
      <x:c r="G844" s="12" t="str">
        <x:f>IF(A844="","",SUMIFS('출고대장'!$D$7:$D$1006,'출고대장'!$A$7:$A$1006,A844))</x:f>
      </x:c>
      <x:c r="H844" s="12" t="str">
        <x:f>IF(A844="","",F844-G844)</x:f>
      </x:c>
      <x:c r="I844" s="12" t="str">
        <x:f>IF(A844="","",SUMIFS('출고대장'!$K$7:$K$1006,'출고대장'!$A$7:$A$1006,A844))</x:f>
      </x:c>
      <x:c r="J844" s="12" t="str">
        <x:f>IF(A844="","",SUMIFS('입금대장'!$C$7:$C$1006,'입금대장'!$A$7:$A$1006,A844,'입금대장'!$E$7:$E$1006,"정상"))</x:f>
      </x:c>
      <x:c r="K844" s="12" t="str">
        <x:f>IF(A844="","",I844-J844)</x:f>
      </x:c>
      <x:c r="L844" s="13" t="str">
        <x:f>IF(A844="","",IF(K844&lt;0,"선입금·초과입금",IF(I844=0,"청구 전",IF(K844=0,"정산 완료",IF(J844=0,"미입금","부분 입금")))))</x:f>
      </x:c>
      <x:c r="M844" s="9"/>
      <x:c r="N844" s="9"/>
    </x:row>
    <x:row r="845" ht="23" customHeight="1">
      <x:c r="A845" s="9"/>
      <x:c r="B845" s="10"/>
      <x:c r="C845" s="9"/>
      <x:c r="D845" s="9"/>
      <x:c r="E845" s="9"/>
      <x:c r="F845" s="11"/>
      <x:c r="G845" s="12" t="str">
        <x:f>IF(A845="","",SUMIFS('출고대장'!$D$7:$D$1006,'출고대장'!$A$7:$A$1006,A845))</x:f>
      </x:c>
      <x:c r="H845" s="12" t="str">
        <x:f>IF(A845="","",F845-G845)</x:f>
      </x:c>
      <x:c r="I845" s="12" t="str">
        <x:f>IF(A845="","",SUMIFS('출고대장'!$K$7:$K$1006,'출고대장'!$A$7:$A$1006,A845))</x:f>
      </x:c>
      <x:c r="J845" s="12" t="str">
        <x:f>IF(A845="","",SUMIFS('입금대장'!$C$7:$C$1006,'입금대장'!$A$7:$A$1006,A845,'입금대장'!$E$7:$E$1006,"정상"))</x:f>
      </x:c>
      <x:c r="K845" s="12" t="str">
        <x:f>IF(A845="","",I845-J845)</x:f>
      </x:c>
      <x:c r="L845" s="13" t="str">
        <x:f>IF(A845="","",IF(K845&lt;0,"선입금·초과입금",IF(I845=0,"청구 전",IF(K845=0,"정산 완료",IF(J845=0,"미입금","부분 입금")))))</x:f>
      </x:c>
      <x:c r="M845" s="9"/>
      <x:c r="N845" s="9"/>
    </x:row>
    <x:row r="846" ht="23" customHeight="1">
      <x:c r="A846" s="9"/>
      <x:c r="B846" s="10"/>
      <x:c r="C846" s="9"/>
      <x:c r="D846" s="9"/>
      <x:c r="E846" s="9"/>
      <x:c r="F846" s="11"/>
      <x:c r="G846" s="12" t="str">
        <x:f>IF(A846="","",SUMIFS('출고대장'!$D$7:$D$1006,'출고대장'!$A$7:$A$1006,A846))</x:f>
      </x:c>
      <x:c r="H846" s="12" t="str">
        <x:f>IF(A846="","",F846-G846)</x:f>
      </x:c>
      <x:c r="I846" s="12" t="str">
        <x:f>IF(A846="","",SUMIFS('출고대장'!$K$7:$K$1006,'출고대장'!$A$7:$A$1006,A846))</x:f>
      </x:c>
      <x:c r="J846" s="12" t="str">
        <x:f>IF(A846="","",SUMIFS('입금대장'!$C$7:$C$1006,'입금대장'!$A$7:$A$1006,A846,'입금대장'!$E$7:$E$1006,"정상"))</x:f>
      </x:c>
      <x:c r="K846" s="12" t="str">
        <x:f>IF(A846="","",I846-J846)</x:f>
      </x:c>
      <x:c r="L846" s="13" t="str">
        <x:f>IF(A846="","",IF(K846&lt;0,"선입금·초과입금",IF(I846=0,"청구 전",IF(K846=0,"정산 완료",IF(J846=0,"미입금","부분 입금")))))</x:f>
      </x:c>
      <x:c r="M846" s="9"/>
      <x:c r="N846" s="9"/>
    </x:row>
    <x:row r="847" ht="23" customHeight="1">
      <x:c r="A847" s="9"/>
      <x:c r="B847" s="10"/>
      <x:c r="C847" s="9"/>
      <x:c r="D847" s="9"/>
      <x:c r="E847" s="9"/>
      <x:c r="F847" s="11"/>
      <x:c r="G847" s="12" t="str">
        <x:f>IF(A847="","",SUMIFS('출고대장'!$D$7:$D$1006,'출고대장'!$A$7:$A$1006,A847))</x:f>
      </x:c>
      <x:c r="H847" s="12" t="str">
        <x:f>IF(A847="","",F847-G847)</x:f>
      </x:c>
      <x:c r="I847" s="12" t="str">
        <x:f>IF(A847="","",SUMIFS('출고대장'!$K$7:$K$1006,'출고대장'!$A$7:$A$1006,A847))</x:f>
      </x:c>
      <x:c r="J847" s="12" t="str">
        <x:f>IF(A847="","",SUMIFS('입금대장'!$C$7:$C$1006,'입금대장'!$A$7:$A$1006,A847,'입금대장'!$E$7:$E$1006,"정상"))</x:f>
      </x:c>
      <x:c r="K847" s="12" t="str">
        <x:f>IF(A847="","",I847-J847)</x:f>
      </x:c>
      <x:c r="L847" s="13" t="str">
        <x:f>IF(A847="","",IF(K847&lt;0,"선입금·초과입금",IF(I847=0,"청구 전",IF(K847=0,"정산 완료",IF(J847=0,"미입금","부분 입금")))))</x:f>
      </x:c>
      <x:c r="M847" s="9"/>
      <x:c r="N847" s="9"/>
    </x:row>
    <x:row r="848" ht="23" customHeight="1">
      <x:c r="A848" s="9"/>
      <x:c r="B848" s="10"/>
      <x:c r="C848" s="9"/>
      <x:c r="D848" s="9"/>
      <x:c r="E848" s="9"/>
      <x:c r="F848" s="11"/>
      <x:c r="G848" s="12" t="str">
        <x:f>IF(A848="","",SUMIFS('출고대장'!$D$7:$D$1006,'출고대장'!$A$7:$A$1006,A848))</x:f>
      </x:c>
      <x:c r="H848" s="12" t="str">
        <x:f>IF(A848="","",F848-G848)</x:f>
      </x:c>
      <x:c r="I848" s="12" t="str">
        <x:f>IF(A848="","",SUMIFS('출고대장'!$K$7:$K$1006,'출고대장'!$A$7:$A$1006,A848))</x:f>
      </x:c>
      <x:c r="J848" s="12" t="str">
        <x:f>IF(A848="","",SUMIFS('입금대장'!$C$7:$C$1006,'입금대장'!$A$7:$A$1006,A848,'입금대장'!$E$7:$E$1006,"정상"))</x:f>
      </x:c>
      <x:c r="K848" s="12" t="str">
        <x:f>IF(A848="","",I848-J848)</x:f>
      </x:c>
      <x:c r="L848" s="13" t="str">
        <x:f>IF(A848="","",IF(K848&lt;0,"선입금·초과입금",IF(I848=0,"청구 전",IF(K848=0,"정산 완료",IF(J848=0,"미입금","부분 입금")))))</x:f>
      </x:c>
      <x:c r="M848" s="9"/>
      <x:c r="N848" s="9"/>
    </x:row>
    <x:row r="849" ht="23" customHeight="1">
      <x:c r="A849" s="9"/>
      <x:c r="B849" s="10"/>
      <x:c r="C849" s="9"/>
      <x:c r="D849" s="9"/>
      <x:c r="E849" s="9"/>
      <x:c r="F849" s="11"/>
      <x:c r="G849" s="12" t="str">
        <x:f>IF(A849="","",SUMIFS('출고대장'!$D$7:$D$1006,'출고대장'!$A$7:$A$1006,A849))</x:f>
      </x:c>
      <x:c r="H849" s="12" t="str">
        <x:f>IF(A849="","",F849-G849)</x:f>
      </x:c>
      <x:c r="I849" s="12" t="str">
        <x:f>IF(A849="","",SUMIFS('출고대장'!$K$7:$K$1006,'출고대장'!$A$7:$A$1006,A849))</x:f>
      </x:c>
      <x:c r="J849" s="12" t="str">
        <x:f>IF(A849="","",SUMIFS('입금대장'!$C$7:$C$1006,'입금대장'!$A$7:$A$1006,A849,'입금대장'!$E$7:$E$1006,"정상"))</x:f>
      </x:c>
      <x:c r="K849" s="12" t="str">
        <x:f>IF(A849="","",I849-J849)</x:f>
      </x:c>
      <x:c r="L849" s="13" t="str">
        <x:f>IF(A849="","",IF(K849&lt;0,"선입금·초과입금",IF(I849=0,"청구 전",IF(K849=0,"정산 완료",IF(J849=0,"미입금","부분 입금")))))</x:f>
      </x:c>
      <x:c r="M849" s="9"/>
      <x:c r="N849" s="9"/>
    </x:row>
    <x:row r="850" ht="23" customHeight="1">
      <x:c r="A850" s="9"/>
      <x:c r="B850" s="10"/>
      <x:c r="C850" s="9"/>
      <x:c r="D850" s="9"/>
      <x:c r="E850" s="9"/>
      <x:c r="F850" s="11"/>
      <x:c r="G850" s="12" t="str">
        <x:f>IF(A850="","",SUMIFS('출고대장'!$D$7:$D$1006,'출고대장'!$A$7:$A$1006,A850))</x:f>
      </x:c>
      <x:c r="H850" s="12" t="str">
        <x:f>IF(A850="","",F850-G850)</x:f>
      </x:c>
      <x:c r="I850" s="12" t="str">
        <x:f>IF(A850="","",SUMIFS('출고대장'!$K$7:$K$1006,'출고대장'!$A$7:$A$1006,A850))</x:f>
      </x:c>
      <x:c r="J850" s="12" t="str">
        <x:f>IF(A850="","",SUMIFS('입금대장'!$C$7:$C$1006,'입금대장'!$A$7:$A$1006,A850,'입금대장'!$E$7:$E$1006,"정상"))</x:f>
      </x:c>
      <x:c r="K850" s="12" t="str">
        <x:f>IF(A850="","",I850-J850)</x:f>
      </x:c>
      <x:c r="L850" s="13" t="str">
        <x:f>IF(A850="","",IF(K850&lt;0,"선입금·초과입금",IF(I850=0,"청구 전",IF(K850=0,"정산 완료",IF(J850=0,"미입금","부분 입금")))))</x:f>
      </x:c>
      <x:c r="M850" s="9"/>
      <x:c r="N850" s="9"/>
    </x:row>
    <x:row r="851" ht="23" customHeight="1">
      <x:c r="A851" s="9"/>
      <x:c r="B851" s="10"/>
      <x:c r="C851" s="9"/>
      <x:c r="D851" s="9"/>
      <x:c r="E851" s="9"/>
      <x:c r="F851" s="11"/>
      <x:c r="G851" s="12" t="str">
        <x:f>IF(A851="","",SUMIFS('출고대장'!$D$7:$D$1006,'출고대장'!$A$7:$A$1006,A851))</x:f>
      </x:c>
      <x:c r="H851" s="12" t="str">
        <x:f>IF(A851="","",F851-G851)</x:f>
      </x:c>
      <x:c r="I851" s="12" t="str">
        <x:f>IF(A851="","",SUMIFS('출고대장'!$K$7:$K$1006,'출고대장'!$A$7:$A$1006,A851))</x:f>
      </x:c>
      <x:c r="J851" s="12" t="str">
        <x:f>IF(A851="","",SUMIFS('입금대장'!$C$7:$C$1006,'입금대장'!$A$7:$A$1006,A851,'입금대장'!$E$7:$E$1006,"정상"))</x:f>
      </x:c>
      <x:c r="K851" s="12" t="str">
        <x:f>IF(A851="","",I851-J851)</x:f>
      </x:c>
      <x:c r="L851" s="13" t="str">
        <x:f>IF(A851="","",IF(K851&lt;0,"선입금·초과입금",IF(I851=0,"청구 전",IF(K851=0,"정산 완료",IF(J851=0,"미입금","부분 입금")))))</x:f>
      </x:c>
      <x:c r="M851" s="9"/>
      <x:c r="N851" s="9"/>
    </x:row>
    <x:row r="852" ht="23" customHeight="1">
      <x:c r="A852" s="9"/>
      <x:c r="B852" s="10"/>
      <x:c r="C852" s="9"/>
      <x:c r="D852" s="9"/>
      <x:c r="E852" s="9"/>
      <x:c r="F852" s="11"/>
      <x:c r="G852" s="12" t="str">
        <x:f>IF(A852="","",SUMIFS('출고대장'!$D$7:$D$1006,'출고대장'!$A$7:$A$1006,A852))</x:f>
      </x:c>
      <x:c r="H852" s="12" t="str">
        <x:f>IF(A852="","",F852-G852)</x:f>
      </x:c>
      <x:c r="I852" s="12" t="str">
        <x:f>IF(A852="","",SUMIFS('출고대장'!$K$7:$K$1006,'출고대장'!$A$7:$A$1006,A852))</x:f>
      </x:c>
      <x:c r="J852" s="12" t="str">
        <x:f>IF(A852="","",SUMIFS('입금대장'!$C$7:$C$1006,'입금대장'!$A$7:$A$1006,A852,'입금대장'!$E$7:$E$1006,"정상"))</x:f>
      </x:c>
      <x:c r="K852" s="12" t="str">
        <x:f>IF(A852="","",I852-J852)</x:f>
      </x:c>
      <x:c r="L852" s="13" t="str">
        <x:f>IF(A852="","",IF(K852&lt;0,"선입금·초과입금",IF(I852=0,"청구 전",IF(K852=0,"정산 완료",IF(J852=0,"미입금","부분 입금")))))</x:f>
      </x:c>
      <x:c r="M852" s="9"/>
      <x:c r="N852" s="9"/>
    </x:row>
    <x:row r="853" ht="23" customHeight="1">
      <x:c r="A853" s="9"/>
      <x:c r="B853" s="10"/>
      <x:c r="C853" s="9"/>
      <x:c r="D853" s="9"/>
      <x:c r="E853" s="9"/>
      <x:c r="F853" s="11"/>
      <x:c r="G853" s="12" t="str">
        <x:f>IF(A853="","",SUMIFS('출고대장'!$D$7:$D$1006,'출고대장'!$A$7:$A$1006,A853))</x:f>
      </x:c>
      <x:c r="H853" s="12" t="str">
        <x:f>IF(A853="","",F853-G853)</x:f>
      </x:c>
      <x:c r="I853" s="12" t="str">
        <x:f>IF(A853="","",SUMIFS('출고대장'!$K$7:$K$1006,'출고대장'!$A$7:$A$1006,A853))</x:f>
      </x:c>
      <x:c r="J853" s="12" t="str">
        <x:f>IF(A853="","",SUMIFS('입금대장'!$C$7:$C$1006,'입금대장'!$A$7:$A$1006,A853,'입금대장'!$E$7:$E$1006,"정상"))</x:f>
      </x:c>
      <x:c r="K853" s="12" t="str">
        <x:f>IF(A853="","",I853-J853)</x:f>
      </x:c>
      <x:c r="L853" s="13" t="str">
        <x:f>IF(A853="","",IF(K853&lt;0,"선입금·초과입금",IF(I853=0,"청구 전",IF(K853=0,"정산 완료",IF(J853=0,"미입금","부분 입금")))))</x:f>
      </x:c>
      <x:c r="M853" s="9"/>
      <x:c r="N853" s="9"/>
    </x:row>
    <x:row r="854" ht="23" customHeight="1">
      <x:c r="A854" s="9"/>
      <x:c r="B854" s="10"/>
      <x:c r="C854" s="9"/>
      <x:c r="D854" s="9"/>
      <x:c r="E854" s="9"/>
      <x:c r="F854" s="11"/>
      <x:c r="G854" s="12" t="str">
        <x:f>IF(A854="","",SUMIFS('출고대장'!$D$7:$D$1006,'출고대장'!$A$7:$A$1006,A854))</x:f>
      </x:c>
      <x:c r="H854" s="12" t="str">
        <x:f>IF(A854="","",F854-G854)</x:f>
      </x:c>
      <x:c r="I854" s="12" t="str">
        <x:f>IF(A854="","",SUMIFS('출고대장'!$K$7:$K$1006,'출고대장'!$A$7:$A$1006,A854))</x:f>
      </x:c>
      <x:c r="J854" s="12" t="str">
        <x:f>IF(A854="","",SUMIFS('입금대장'!$C$7:$C$1006,'입금대장'!$A$7:$A$1006,A854,'입금대장'!$E$7:$E$1006,"정상"))</x:f>
      </x:c>
      <x:c r="K854" s="12" t="str">
        <x:f>IF(A854="","",I854-J854)</x:f>
      </x:c>
      <x:c r="L854" s="13" t="str">
        <x:f>IF(A854="","",IF(K854&lt;0,"선입금·초과입금",IF(I854=0,"청구 전",IF(K854=0,"정산 완료",IF(J854=0,"미입금","부분 입금")))))</x:f>
      </x:c>
      <x:c r="M854" s="9"/>
      <x:c r="N854" s="9"/>
    </x:row>
    <x:row r="855" ht="23" customHeight="1">
      <x:c r="A855" s="9"/>
      <x:c r="B855" s="10"/>
      <x:c r="C855" s="9"/>
      <x:c r="D855" s="9"/>
      <x:c r="E855" s="9"/>
      <x:c r="F855" s="11"/>
      <x:c r="G855" s="12" t="str">
        <x:f>IF(A855="","",SUMIFS('출고대장'!$D$7:$D$1006,'출고대장'!$A$7:$A$1006,A855))</x:f>
      </x:c>
      <x:c r="H855" s="12" t="str">
        <x:f>IF(A855="","",F855-G855)</x:f>
      </x:c>
      <x:c r="I855" s="12" t="str">
        <x:f>IF(A855="","",SUMIFS('출고대장'!$K$7:$K$1006,'출고대장'!$A$7:$A$1006,A855))</x:f>
      </x:c>
      <x:c r="J855" s="12" t="str">
        <x:f>IF(A855="","",SUMIFS('입금대장'!$C$7:$C$1006,'입금대장'!$A$7:$A$1006,A855,'입금대장'!$E$7:$E$1006,"정상"))</x:f>
      </x:c>
      <x:c r="K855" s="12" t="str">
        <x:f>IF(A855="","",I855-J855)</x:f>
      </x:c>
      <x:c r="L855" s="13" t="str">
        <x:f>IF(A855="","",IF(K855&lt;0,"선입금·초과입금",IF(I855=0,"청구 전",IF(K855=0,"정산 완료",IF(J855=0,"미입금","부분 입금")))))</x:f>
      </x:c>
      <x:c r="M855" s="9"/>
      <x:c r="N855" s="9"/>
    </x:row>
    <x:row r="856" ht="23" customHeight="1">
      <x:c r="A856" s="9"/>
      <x:c r="B856" s="10"/>
      <x:c r="C856" s="9"/>
      <x:c r="D856" s="9"/>
      <x:c r="E856" s="9"/>
      <x:c r="F856" s="11"/>
      <x:c r="G856" s="12" t="str">
        <x:f>IF(A856="","",SUMIFS('출고대장'!$D$7:$D$1006,'출고대장'!$A$7:$A$1006,A856))</x:f>
      </x:c>
      <x:c r="H856" s="12" t="str">
        <x:f>IF(A856="","",F856-G856)</x:f>
      </x:c>
      <x:c r="I856" s="12" t="str">
        <x:f>IF(A856="","",SUMIFS('출고대장'!$K$7:$K$1006,'출고대장'!$A$7:$A$1006,A856))</x:f>
      </x:c>
      <x:c r="J856" s="12" t="str">
        <x:f>IF(A856="","",SUMIFS('입금대장'!$C$7:$C$1006,'입금대장'!$A$7:$A$1006,A856,'입금대장'!$E$7:$E$1006,"정상"))</x:f>
      </x:c>
      <x:c r="K856" s="12" t="str">
        <x:f>IF(A856="","",I856-J856)</x:f>
      </x:c>
      <x:c r="L856" s="13" t="str">
        <x:f>IF(A856="","",IF(K856&lt;0,"선입금·초과입금",IF(I856=0,"청구 전",IF(K856=0,"정산 완료",IF(J856=0,"미입금","부분 입금")))))</x:f>
      </x:c>
      <x:c r="M856" s="9"/>
      <x:c r="N856" s="9"/>
    </x:row>
    <x:row r="857" ht="23" customHeight="1">
      <x:c r="A857" s="9"/>
      <x:c r="B857" s="10"/>
      <x:c r="C857" s="9"/>
      <x:c r="D857" s="9"/>
      <x:c r="E857" s="9"/>
      <x:c r="F857" s="11"/>
      <x:c r="G857" s="12" t="str">
        <x:f>IF(A857="","",SUMIFS('출고대장'!$D$7:$D$1006,'출고대장'!$A$7:$A$1006,A857))</x:f>
      </x:c>
      <x:c r="H857" s="12" t="str">
        <x:f>IF(A857="","",F857-G857)</x:f>
      </x:c>
      <x:c r="I857" s="12" t="str">
        <x:f>IF(A857="","",SUMIFS('출고대장'!$K$7:$K$1006,'출고대장'!$A$7:$A$1006,A857))</x:f>
      </x:c>
      <x:c r="J857" s="12" t="str">
        <x:f>IF(A857="","",SUMIFS('입금대장'!$C$7:$C$1006,'입금대장'!$A$7:$A$1006,A857,'입금대장'!$E$7:$E$1006,"정상"))</x:f>
      </x:c>
      <x:c r="K857" s="12" t="str">
        <x:f>IF(A857="","",I857-J857)</x:f>
      </x:c>
      <x:c r="L857" s="13" t="str">
        <x:f>IF(A857="","",IF(K857&lt;0,"선입금·초과입금",IF(I857=0,"청구 전",IF(K857=0,"정산 완료",IF(J857=0,"미입금","부분 입금")))))</x:f>
      </x:c>
      <x:c r="M857" s="9"/>
      <x:c r="N857" s="9"/>
    </x:row>
    <x:row r="858" ht="23" customHeight="1">
      <x:c r="A858" s="9"/>
      <x:c r="B858" s="10"/>
      <x:c r="C858" s="9"/>
      <x:c r="D858" s="9"/>
      <x:c r="E858" s="9"/>
      <x:c r="F858" s="11"/>
      <x:c r="G858" s="12" t="str">
        <x:f>IF(A858="","",SUMIFS('출고대장'!$D$7:$D$1006,'출고대장'!$A$7:$A$1006,A858))</x:f>
      </x:c>
      <x:c r="H858" s="12" t="str">
        <x:f>IF(A858="","",F858-G858)</x:f>
      </x:c>
      <x:c r="I858" s="12" t="str">
        <x:f>IF(A858="","",SUMIFS('출고대장'!$K$7:$K$1006,'출고대장'!$A$7:$A$1006,A858))</x:f>
      </x:c>
      <x:c r="J858" s="12" t="str">
        <x:f>IF(A858="","",SUMIFS('입금대장'!$C$7:$C$1006,'입금대장'!$A$7:$A$1006,A858,'입금대장'!$E$7:$E$1006,"정상"))</x:f>
      </x:c>
      <x:c r="K858" s="12" t="str">
        <x:f>IF(A858="","",I858-J858)</x:f>
      </x:c>
      <x:c r="L858" s="13" t="str">
        <x:f>IF(A858="","",IF(K858&lt;0,"선입금·초과입금",IF(I858=0,"청구 전",IF(K858=0,"정산 완료",IF(J858=0,"미입금","부분 입금")))))</x:f>
      </x:c>
      <x:c r="M858" s="9"/>
      <x:c r="N858" s="9"/>
    </x:row>
    <x:row r="859" ht="23" customHeight="1">
      <x:c r="A859" s="9"/>
      <x:c r="B859" s="10"/>
      <x:c r="C859" s="9"/>
      <x:c r="D859" s="9"/>
      <x:c r="E859" s="9"/>
      <x:c r="F859" s="11"/>
      <x:c r="G859" s="12" t="str">
        <x:f>IF(A859="","",SUMIFS('출고대장'!$D$7:$D$1006,'출고대장'!$A$7:$A$1006,A859))</x:f>
      </x:c>
      <x:c r="H859" s="12" t="str">
        <x:f>IF(A859="","",F859-G859)</x:f>
      </x:c>
      <x:c r="I859" s="12" t="str">
        <x:f>IF(A859="","",SUMIFS('출고대장'!$K$7:$K$1006,'출고대장'!$A$7:$A$1006,A859))</x:f>
      </x:c>
      <x:c r="J859" s="12" t="str">
        <x:f>IF(A859="","",SUMIFS('입금대장'!$C$7:$C$1006,'입금대장'!$A$7:$A$1006,A859,'입금대장'!$E$7:$E$1006,"정상"))</x:f>
      </x:c>
      <x:c r="K859" s="12" t="str">
        <x:f>IF(A859="","",I859-J859)</x:f>
      </x:c>
      <x:c r="L859" s="13" t="str">
        <x:f>IF(A859="","",IF(K859&lt;0,"선입금·초과입금",IF(I859=0,"청구 전",IF(K859=0,"정산 완료",IF(J859=0,"미입금","부분 입금")))))</x:f>
      </x:c>
      <x:c r="M859" s="9"/>
      <x:c r="N859" s="9"/>
    </x:row>
    <x:row r="860" ht="23" customHeight="1">
      <x:c r="A860" s="9"/>
      <x:c r="B860" s="10"/>
      <x:c r="C860" s="9"/>
      <x:c r="D860" s="9"/>
      <x:c r="E860" s="9"/>
      <x:c r="F860" s="11"/>
      <x:c r="G860" s="12" t="str">
        <x:f>IF(A860="","",SUMIFS('출고대장'!$D$7:$D$1006,'출고대장'!$A$7:$A$1006,A860))</x:f>
      </x:c>
      <x:c r="H860" s="12" t="str">
        <x:f>IF(A860="","",F860-G860)</x:f>
      </x:c>
      <x:c r="I860" s="12" t="str">
        <x:f>IF(A860="","",SUMIFS('출고대장'!$K$7:$K$1006,'출고대장'!$A$7:$A$1006,A860))</x:f>
      </x:c>
      <x:c r="J860" s="12" t="str">
        <x:f>IF(A860="","",SUMIFS('입금대장'!$C$7:$C$1006,'입금대장'!$A$7:$A$1006,A860,'입금대장'!$E$7:$E$1006,"정상"))</x:f>
      </x:c>
      <x:c r="K860" s="12" t="str">
        <x:f>IF(A860="","",I860-J860)</x:f>
      </x:c>
      <x:c r="L860" s="13" t="str">
        <x:f>IF(A860="","",IF(K860&lt;0,"선입금·초과입금",IF(I860=0,"청구 전",IF(K860=0,"정산 완료",IF(J860=0,"미입금","부분 입금")))))</x:f>
      </x:c>
      <x:c r="M860" s="9"/>
      <x:c r="N860" s="9"/>
    </x:row>
    <x:row r="861" ht="23" customHeight="1">
      <x:c r="A861" s="9"/>
      <x:c r="B861" s="10"/>
      <x:c r="C861" s="9"/>
      <x:c r="D861" s="9"/>
      <x:c r="E861" s="9"/>
      <x:c r="F861" s="11"/>
      <x:c r="G861" s="12" t="str">
        <x:f>IF(A861="","",SUMIFS('출고대장'!$D$7:$D$1006,'출고대장'!$A$7:$A$1006,A861))</x:f>
      </x:c>
      <x:c r="H861" s="12" t="str">
        <x:f>IF(A861="","",F861-G861)</x:f>
      </x:c>
      <x:c r="I861" s="12" t="str">
        <x:f>IF(A861="","",SUMIFS('출고대장'!$K$7:$K$1006,'출고대장'!$A$7:$A$1006,A861))</x:f>
      </x:c>
      <x:c r="J861" s="12" t="str">
        <x:f>IF(A861="","",SUMIFS('입금대장'!$C$7:$C$1006,'입금대장'!$A$7:$A$1006,A861,'입금대장'!$E$7:$E$1006,"정상"))</x:f>
      </x:c>
      <x:c r="K861" s="12" t="str">
        <x:f>IF(A861="","",I861-J861)</x:f>
      </x:c>
      <x:c r="L861" s="13" t="str">
        <x:f>IF(A861="","",IF(K861&lt;0,"선입금·초과입금",IF(I861=0,"청구 전",IF(K861=0,"정산 완료",IF(J861=0,"미입금","부분 입금")))))</x:f>
      </x:c>
      <x:c r="M861" s="9"/>
      <x:c r="N861" s="9"/>
    </x:row>
    <x:row r="862" ht="23" customHeight="1">
      <x:c r="A862" s="9"/>
      <x:c r="B862" s="10"/>
      <x:c r="C862" s="9"/>
      <x:c r="D862" s="9"/>
      <x:c r="E862" s="9"/>
      <x:c r="F862" s="11"/>
      <x:c r="G862" s="12" t="str">
        <x:f>IF(A862="","",SUMIFS('출고대장'!$D$7:$D$1006,'출고대장'!$A$7:$A$1006,A862))</x:f>
      </x:c>
      <x:c r="H862" s="12" t="str">
        <x:f>IF(A862="","",F862-G862)</x:f>
      </x:c>
      <x:c r="I862" s="12" t="str">
        <x:f>IF(A862="","",SUMIFS('출고대장'!$K$7:$K$1006,'출고대장'!$A$7:$A$1006,A862))</x:f>
      </x:c>
      <x:c r="J862" s="12" t="str">
        <x:f>IF(A862="","",SUMIFS('입금대장'!$C$7:$C$1006,'입금대장'!$A$7:$A$1006,A862,'입금대장'!$E$7:$E$1006,"정상"))</x:f>
      </x:c>
      <x:c r="K862" s="12" t="str">
        <x:f>IF(A862="","",I862-J862)</x:f>
      </x:c>
      <x:c r="L862" s="13" t="str">
        <x:f>IF(A862="","",IF(K862&lt;0,"선입금·초과입금",IF(I862=0,"청구 전",IF(K862=0,"정산 완료",IF(J862=0,"미입금","부분 입금")))))</x:f>
      </x:c>
      <x:c r="M862" s="9"/>
      <x:c r="N862" s="9"/>
    </x:row>
    <x:row r="863" ht="23" customHeight="1">
      <x:c r="A863" s="9"/>
      <x:c r="B863" s="10"/>
      <x:c r="C863" s="9"/>
      <x:c r="D863" s="9"/>
      <x:c r="E863" s="9"/>
      <x:c r="F863" s="11"/>
      <x:c r="G863" s="12" t="str">
        <x:f>IF(A863="","",SUMIFS('출고대장'!$D$7:$D$1006,'출고대장'!$A$7:$A$1006,A863))</x:f>
      </x:c>
      <x:c r="H863" s="12" t="str">
        <x:f>IF(A863="","",F863-G863)</x:f>
      </x:c>
      <x:c r="I863" s="12" t="str">
        <x:f>IF(A863="","",SUMIFS('출고대장'!$K$7:$K$1006,'출고대장'!$A$7:$A$1006,A863))</x:f>
      </x:c>
      <x:c r="J863" s="12" t="str">
        <x:f>IF(A863="","",SUMIFS('입금대장'!$C$7:$C$1006,'입금대장'!$A$7:$A$1006,A863,'입금대장'!$E$7:$E$1006,"정상"))</x:f>
      </x:c>
      <x:c r="K863" s="12" t="str">
        <x:f>IF(A863="","",I863-J863)</x:f>
      </x:c>
      <x:c r="L863" s="13" t="str">
        <x:f>IF(A863="","",IF(K863&lt;0,"선입금·초과입금",IF(I863=0,"청구 전",IF(K863=0,"정산 완료",IF(J863=0,"미입금","부분 입금")))))</x:f>
      </x:c>
      <x:c r="M863" s="9"/>
      <x:c r="N863" s="9"/>
    </x:row>
    <x:row r="864" ht="23" customHeight="1">
      <x:c r="A864" s="9"/>
      <x:c r="B864" s="10"/>
      <x:c r="C864" s="9"/>
      <x:c r="D864" s="9"/>
      <x:c r="E864" s="9"/>
      <x:c r="F864" s="11"/>
      <x:c r="G864" s="12" t="str">
        <x:f>IF(A864="","",SUMIFS('출고대장'!$D$7:$D$1006,'출고대장'!$A$7:$A$1006,A864))</x:f>
      </x:c>
      <x:c r="H864" s="12" t="str">
        <x:f>IF(A864="","",F864-G864)</x:f>
      </x:c>
      <x:c r="I864" s="12" t="str">
        <x:f>IF(A864="","",SUMIFS('출고대장'!$K$7:$K$1006,'출고대장'!$A$7:$A$1006,A864))</x:f>
      </x:c>
      <x:c r="J864" s="12" t="str">
        <x:f>IF(A864="","",SUMIFS('입금대장'!$C$7:$C$1006,'입금대장'!$A$7:$A$1006,A864,'입금대장'!$E$7:$E$1006,"정상"))</x:f>
      </x:c>
      <x:c r="K864" s="12" t="str">
        <x:f>IF(A864="","",I864-J864)</x:f>
      </x:c>
      <x:c r="L864" s="13" t="str">
        <x:f>IF(A864="","",IF(K864&lt;0,"선입금·초과입금",IF(I864=0,"청구 전",IF(K864=0,"정산 완료",IF(J864=0,"미입금","부분 입금")))))</x:f>
      </x:c>
      <x:c r="M864" s="9"/>
      <x:c r="N864" s="9"/>
    </x:row>
    <x:row r="865" ht="23" customHeight="1">
      <x:c r="A865" s="9"/>
      <x:c r="B865" s="10"/>
      <x:c r="C865" s="9"/>
      <x:c r="D865" s="9"/>
      <x:c r="E865" s="9"/>
      <x:c r="F865" s="11"/>
      <x:c r="G865" s="12" t="str">
        <x:f>IF(A865="","",SUMIFS('출고대장'!$D$7:$D$1006,'출고대장'!$A$7:$A$1006,A865))</x:f>
      </x:c>
      <x:c r="H865" s="12" t="str">
        <x:f>IF(A865="","",F865-G865)</x:f>
      </x:c>
      <x:c r="I865" s="12" t="str">
        <x:f>IF(A865="","",SUMIFS('출고대장'!$K$7:$K$1006,'출고대장'!$A$7:$A$1006,A865))</x:f>
      </x:c>
      <x:c r="J865" s="12" t="str">
        <x:f>IF(A865="","",SUMIFS('입금대장'!$C$7:$C$1006,'입금대장'!$A$7:$A$1006,A865,'입금대장'!$E$7:$E$1006,"정상"))</x:f>
      </x:c>
      <x:c r="K865" s="12" t="str">
        <x:f>IF(A865="","",I865-J865)</x:f>
      </x:c>
      <x:c r="L865" s="13" t="str">
        <x:f>IF(A865="","",IF(K865&lt;0,"선입금·초과입금",IF(I865=0,"청구 전",IF(K865=0,"정산 완료",IF(J865=0,"미입금","부분 입금")))))</x:f>
      </x:c>
      <x:c r="M865" s="9"/>
      <x:c r="N865" s="9"/>
    </x:row>
    <x:row r="866" ht="23" customHeight="1">
      <x:c r="A866" s="9"/>
      <x:c r="B866" s="10"/>
      <x:c r="C866" s="9"/>
      <x:c r="D866" s="9"/>
      <x:c r="E866" s="9"/>
      <x:c r="F866" s="11"/>
      <x:c r="G866" s="12" t="str">
        <x:f>IF(A866="","",SUMIFS('출고대장'!$D$7:$D$1006,'출고대장'!$A$7:$A$1006,A866))</x:f>
      </x:c>
      <x:c r="H866" s="12" t="str">
        <x:f>IF(A866="","",F866-G866)</x:f>
      </x:c>
      <x:c r="I866" s="12" t="str">
        <x:f>IF(A866="","",SUMIFS('출고대장'!$K$7:$K$1006,'출고대장'!$A$7:$A$1006,A866))</x:f>
      </x:c>
      <x:c r="J866" s="12" t="str">
        <x:f>IF(A866="","",SUMIFS('입금대장'!$C$7:$C$1006,'입금대장'!$A$7:$A$1006,A866,'입금대장'!$E$7:$E$1006,"정상"))</x:f>
      </x:c>
      <x:c r="K866" s="12" t="str">
        <x:f>IF(A866="","",I866-J866)</x:f>
      </x:c>
      <x:c r="L866" s="13" t="str">
        <x:f>IF(A866="","",IF(K866&lt;0,"선입금·초과입금",IF(I866=0,"청구 전",IF(K866=0,"정산 완료",IF(J866=0,"미입금","부분 입금")))))</x:f>
      </x:c>
      <x:c r="M866" s="9"/>
      <x:c r="N866" s="9"/>
    </x:row>
    <x:row r="867" ht="23" customHeight="1">
      <x:c r="A867" s="9"/>
      <x:c r="B867" s="10"/>
      <x:c r="C867" s="9"/>
      <x:c r="D867" s="9"/>
      <x:c r="E867" s="9"/>
      <x:c r="F867" s="11"/>
      <x:c r="G867" s="12" t="str">
        <x:f>IF(A867="","",SUMIFS('출고대장'!$D$7:$D$1006,'출고대장'!$A$7:$A$1006,A867))</x:f>
      </x:c>
      <x:c r="H867" s="12" t="str">
        <x:f>IF(A867="","",F867-G867)</x:f>
      </x:c>
      <x:c r="I867" s="12" t="str">
        <x:f>IF(A867="","",SUMIFS('출고대장'!$K$7:$K$1006,'출고대장'!$A$7:$A$1006,A867))</x:f>
      </x:c>
      <x:c r="J867" s="12" t="str">
        <x:f>IF(A867="","",SUMIFS('입금대장'!$C$7:$C$1006,'입금대장'!$A$7:$A$1006,A867,'입금대장'!$E$7:$E$1006,"정상"))</x:f>
      </x:c>
      <x:c r="K867" s="12" t="str">
        <x:f>IF(A867="","",I867-J867)</x:f>
      </x:c>
      <x:c r="L867" s="13" t="str">
        <x:f>IF(A867="","",IF(K867&lt;0,"선입금·초과입금",IF(I867=0,"청구 전",IF(K867=0,"정산 완료",IF(J867=0,"미입금","부분 입금")))))</x:f>
      </x:c>
      <x:c r="M867" s="9"/>
      <x:c r="N867" s="9"/>
    </x:row>
    <x:row r="868" ht="23" customHeight="1">
      <x:c r="A868" s="9"/>
      <x:c r="B868" s="10"/>
      <x:c r="C868" s="9"/>
      <x:c r="D868" s="9"/>
      <x:c r="E868" s="9"/>
      <x:c r="F868" s="11"/>
      <x:c r="G868" s="12" t="str">
        <x:f>IF(A868="","",SUMIFS('출고대장'!$D$7:$D$1006,'출고대장'!$A$7:$A$1006,A868))</x:f>
      </x:c>
      <x:c r="H868" s="12" t="str">
        <x:f>IF(A868="","",F868-G868)</x:f>
      </x:c>
      <x:c r="I868" s="12" t="str">
        <x:f>IF(A868="","",SUMIFS('출고대장'!$K$7:$K$1006,'출고대장'!$A$7:$A$1006,A868))</x:f>
      </x:c>
      <x:c r="J868" s="12" t="str">
        <x:f>IF(A868="","",SUMIFS('입금대장'!$C$7:$C$1006,'입금대장'!$A$7:$A$1006,A868,'입금대장'!$E$7:$E$1006,"정상"))</x:f>
      </x:c>
      <x:c r="K868" s="12" t="str">
        <x:f>IF(A868="","",I868-J868)</x:f>
      </x:c>
      <x:c r="L868" s="13" t="str">
        <x:f>IF(A868="","",IF(K868&lt;0,"선입금·초과입금",IF(I868=0,"청구 전",IF(K868=0,"정산 완료",IF(J868=0,"미입금","부분 입금")))))</x:f>
      </x:c>
      <x:c r="M868" s="9"/>
      <x:c r="N868" s="9"/>
    </x:row>
    <x:row r="869" ht="23" customHeight="1">
      <x:c r="A869" s="9"/>
      <x:c r="B869" s="10"/>
      <x:c r="C869" s="9"/>
      <x:c r="D869" s="9"/>
      <x:c r="E869" s="9"/>
      <x:c r="F869" s="11"/>
      <x:c r="G869" s="12" t="str">
        <x:f>IF(A869="","",SUMIFS('출고대장'!$D$7:$D$1006,'출고대장'!$A$7:$A$1006,A869))</x:f>
      </x:c>
      <x:c r="H869" s="12" t="str">
        <x:f>IF(A869="","",F869-G869)</x:f>
      </x:c>
      <x:c r="I869" s="12" t="str">
        <x:f>IF(A869="","",SUMIFS('출고대장'!$K$7:$K$1006,'출고대장'!$A$7:$A$1006,A869))</x:f>
      </x:c>
      <x:c r="J869" s="12" t="str">
        <x:f>IF(A869="","",SUMIFS('입금대장'!$C$7:$C$1006,'입금대장'!$A$7:$A$1006,A869,'입금대장'!$E$7:$E$1006,"정상"))</x:f>
      </x:c>
      <x:c r="K869" s="12" t="str">
        <x:f>IF(A869="","",I869-J869)</x:f>
      </x:c>
      <x:c r="L869" s="13" t="str">
        <x:f>IF(A869="","",IF(K869&lt;0,"선입금·초과입금",IF(I869=0,"청구 전",IF(K869=0,"정산 완료",IF(J869=0,"미입금","부분 입금")))))</x:f>
      </x:c>
      <x:c r="M869" s="9"/>
      <x:c r="N869" s="9"/>
    </x:row>
    <x:row r="870" ht="23" customHeight="1">
      <x:c r="A870" s="9"/>
      <x:c r="B870" s="10"/>
      <x:c r="C870" s="9"/>
      <x:c r="D870" s="9"/>
      <x:c r="E870" s="9"/>
      <x:c r="F870" s="11"/>
      <x:c r="G870" s="12" t="str">
        <x:f>IF(A870="","",SUMIFS('출고대장'!$D$7:$D$1006,'출고대장'!$A$7:$A$1006,A870))</x:f>
      </x:c>
      <x:c r="H870" s="12" t="str">
        <x:f>IF(A870="","",F870-G870)</x:f>
      </x:c>
      <x:c r="I870" s="12" t="str">
        <x:f>IF(A870="","",SUMIFS('출고대장'!$K$7:$K$1006,'출고대장'!$A$7:$A$1006,A870))</x:f>
      </x:c>
      <x:c r="J870" s="12" t="str">
        <x:f>IF(A870="","",SUMIFS('입금대장'!$C$7:$C$1006,'입금대장'!$A$7:$A$1006,A870,'입금대장'!$E$7:$E$1006,"정상"))</x:f>
      </x:c>
      <x:c r="K870" s="12" t="str">
        <x:f>IF(A870="","",I870-J870)</x:f>
      </x:c>
      <x:c r="L870" s="13" t="str">
        <x:f>IF(A870="","",IF(K870&lt;0,"선입금·초과입금",IF(I870=0,"청구 전",IF(K870=0,"정산 완료",IF(J870=0,"미입금","부분 입금")))))</x:f>
      </x:c>
      <x:c r="M870" s="9"/>
      <x:c r="N870" s="9"/>
    </x:row>
    <x:row r="871" ht="23" customHeight="1">
      <x:c r="A871" s="9"/>
      <x:c r="B871" s="10"/>
      <x:c r="C871" s="9"/>
      <x:c r="D871" s="9"/>
      <x:c r="E871" s="9"/>
      <x:c r="F871" s="11"/>
      <x:c r="G871" s="12" t="str">
        <x:f>IF(A871="","",SUMIFS('출고대장'!$D$7:$D$1006,'출고대장'!$A$7:$A$1006,A871))</x:f>
      </x:c>
      <x:c r="H871" s="12" t="str">
        <x:f>IF(A871="","",F871-G871)</x:f>
      </x:c>
      <x:c r="I871" s="12" t="str">
        <x:f>IF(A871="","",SUMIFS('출고대장'!$K$7:$K$1006,'출고대장'!$A$7:$A$1006,A871))</x:f>
      </x:c>
      <x:c r="J871" s="12" t="str">
        <x:f>IF(A871="","",SUMIFS('입금대장'!$C$7:$C$1006,'입금대장'!$A$7:$A$1006,A871,'입금대장'!$E$7:$E$1006,"정상"))</x:f>
      </x:c>
      <x:c r="K871" s="12" t="str">
        <x:f>IF(A871="","",I871-J871)</x:f>
      </x:c>
      <x:c r="L871" s="13" t="str">
        <x:f>IF(A871="","",IF(K871&lt;0,"선입금·초과입금",IF(I871=0,"청구 전",IF(K871=0,"정산 완료",IF(J871=0,"미입금","부분 입금")))))</x:f>
      </x:c>
      <x:c r="M871" s="9"/>
      <x:c r="N871" s="9"/>
    </x:row>
    <x:row r="872" ht="23" customHeight="1">
      <x:c r="A872" s="9"/>
      <x:c r="B872" s="10"/>
      <x:c r="C872" s="9"/>
      <x:c r="D872" s="9"/>
      <x:c r="E872" s="9"/>
      <x:c r="F872" s="11"/>
      <x:c r="G872" s="12" t="str">
        <x:f>IF(A872="","",SUMIFS('출고대장'!$D$7:$D$1006,'출고대장'!$A$7:$A$1006,A872))</x:f>
      </x:c>
      <x:c r="H872" s="12" t="str">
        <x:f>IF(A872="","",F872-G872)</x:f>
      </x:c>
      <x:c r="I872" s="12" t="str">
        <x:f>IF(A872="","",SUMIFS('출고대장'!$K$7:$K$1006,'출고대장'!$A$7:$A$1006,A872))</x:f>
      </x:c>
      <x:c r="J872" s="12" t="str">
        <x:f>IF(A872="","",SUMIFS('입금대장'!$C$7:$C$1006,'입금대장'!$A$7:$A$1006,A872,'입금대장'!$E$7:$E$1006,"정상"))</x:f>
      </x:c>
      <x:c r="K872" s="12" t="str">
        <x:f>IF(A872="","",I872-J872)</x:f>
      </x:c>
      <x:c r="L872" s="13" t="str">
        <x:f>IF(A872="","",IF(K872&lt;0,"선입금·초과입금",IF(I872=0,"청구 전",IF(K872=0,"정산 완료",IF(J872=0,"미입금","부분 입금")))))</x:f>
      </x:c>
      <x:c r="M872" s="9"/>
      <x:c r="N872" s="9"/>
    </x:row>
    <x:row r="873" ht="23" customHeight="1">
      <x:c r="A873" s="9"/>
      <x:c r="B873" s="10"/>
      <x:c r="C873" s="9"/>
      <x:c r="D873" s="9"/>
      <x:c r="E873" s="9"/>
      <x:c r="F873" s="11"/>
      <x:c r="G873" s="12" t="str">
        <x:f>IF(A873="","",SUMIFS('출고대장'!$D$7:$D$1006,'출고대장'!$A$7:$A$1006,A873))</x:f>
      </x:c>
      <x:c r="H873" s="12" t="str">
        <x:f>IF(A873="","",F873-G873)</x:f>
      </x:c>
      <x:c r="I873" s="12" t="str">
        <x:f>IF(A873="","",SUMIFS('출고대장'!$K$7:$K$1006,'출고대장'!$A$7:$A$1006,A873))</x:f>
      </x:c>
      <x:c r="J873" s="12" t="str">
        <x:f>IF(A873="","",SUMIFS('입금대장'!$C$7:$C$1006,'입금대장'!$A$7:$A$1006,A873,'입금대장'!$E$7:$E$1006,"정상"))</x:f>
      </x:c>
      <x:c r="K873" s="12" t="str">
        <x:f>IF(A873="","",I873-J873)</x:f>
      </x:c>
      <x:c r="L873" s="13" t="str">
        <x:f>IF(A873="","",IF(K873&lt;0,"선입금·초과입금",IF(I873=0,"청구 전",IF(K873=0,"정산 완료",IF(J873=0,"미입금","부분 입금")))))</x:f>
      </x:c>
      <x:c r="M873" s="9"/>
      <x:c r="N873" s="9"/>
    </x:row>
    <x:row r="874" ht="23" customHeight="1">
      <x:c r="A874" s="9"/>
      <x:c r="B874" s="10"/>
      <x:c r="C874" s="9"/>
      <x:c r="D874" s="9"/>
      <x:c r="E874" s="9"/>
      <x:c r="F874" s="11"/>
      <x:c r="G874" s="12" t="str">
        <x:f>IF(A874="","",SUMIFS('출고대장'!$D$7:$D$1006,'출고대장'!$A$7:$A$1006,A874))</x:f>
      </x:c>
      <x:c r="H874" s="12" t="str">
        <x:f>IF(A874="","",F874-G874)</x:f>
      </x:c>
      <x:c r="I874" s="12" t="str">
        <x:f>IF(A874="","",SUMIFS('출고대장'!$K$7:$K$1006,'출고대장'!$A$7:$A$1006,A874))</x:f>
      </x:c>
      <x:c r="J874" s="12" t="str">
        <x:f>IF(A874="","",SUMIFS('입금대장'!$C$7:$C$1006,'입금대장'!$A$7:$A$1006,A874,'입금대장'!$E$7:$E$1006,"정상"))</x:f>
      </x:c>
      <x:c r="K874" s="12" t="str">
        <x:f>IF(A874="","",I874-J874)</x:f>
      </x:c>
      <x:c r="L874" s="13" t="str">
        <x:f>IF(A874="","",IF(K874&lt;0,"선입금·초과입금",IF(I874=0,"청구 전",IF(K874=0,"정산 완료",IF(J874=0,"미입금","부분 입금")))))</x:f>
      </x:c>
      <x:c r="M874" s="9"/>
      <x:c r="N874" s="9"/>
    </x:row>
    <x:row r="875" ht="23" customHeight="1">
      <x:c r="A875" s="9"/>
      <x:c r="B875" s="10"/>
      <x:c r="C875" s="9"/>
      <x:c r="D875" s="9"/>
      <x:c r="E875" s="9"/>
      <x:c r="F875" s="11"/>
      <x:c r="G875" s="12" t="str">
        <x:f>IF(A875="","",SUMIFS('출고대장'!$D$7:$D$1006,'출고대장'!$A$7:$A$1006,A875))</x:f>
      </x:c>
      <x:c r="H875" s="12" t="str">
        <x:f>IF(A875="","",F875-G875)</x:f>
      </x:c>
      <x:c r="I875" s="12" t="str">
        <x:f>IF(A875="","",SUMIFS('출고대장'!$K$7:$K$1006,'출고대장'!$A$7:$A$1006,A875))</x:f>
      </x:c>
      <x:c r="J875" s="12" t="str">
        <x:f>IF(A875="","",SUMIFS('입금대장'!$C$7:$C$1006,'입금대장'!$A$7:$A$1006,A875,'입금대장'!$E$7:$E$1006,"정상"))</x:f>
      </x:c>
      <x:c r="K875" s="12" t="str">
        <x:f>IF(A875="","",I875-J875)</x:f>
      </x:c>
      <x:c r="L875" s="13" t="str">
        <x:f>IF(A875="","",IF(K875&lt;0,"선입금·초과입금",IF(I875=0,"청구 전",IF(K875=0,"정산 완료",IF(J875=0,"미입금","부분 입금")))))</x:f>
      </x:c>
      <x:c r="M875" s="9"/>
      <x:c r="N875" s="9"/>
    </x:row>
    <x:row r="876" ht="23" customHeight="1">
      <x:c r="A876" s="9"/>
      <x:c r="B876" s="10"/>
      <x:c r="C876" s="9"/>
      <x:c r="D876" s="9"/>
      <x:c r="E876" s="9"/>
      <x:c r="F876" s="11"/>
      <x:c r="G876" s="12" t="str">
        <x:f>IF(A876="","",SUMIFS('출고대장'!$D$7:$D$1006,'출고대장'!$A$7:$A$1006,A876))</x:f>
      </x:c>
      <x:c r="H876" s="12" t="str">
        <x:f>IF(A876="","",F876-G876)</x:f>
      </x:c>
      <x:c r="I876" s="12" t="str">
        <x:f>IF(A876="","",SUMIFS('출고대장'!$K$7:$K$1006,'출고대장'!$A$7:$A$1006,A876))</x:f>
      </x:c>
      <x:c r="J876" s="12" t="str">
        <x:f>IF(A876="","",SUMIFS('입금대장'!$C$7:$C$1006,'입금대장'!$A$7:$A$1006,A876,'입금대장'!$E$7:$E$1006,"정상"))</x:f>
      </x:c>
      <x:c r="K876" s="12" t="str">
        <x:f>IF(A876="","",I876-J876)</x:f>
      </x:c>
      <x:c r="L876" s="13" t="str">
        <x:f>IF(A876="","",IF(K876&lt;0,"선입금·초과입금",IF(I876=0,"청구 전",IF(K876=0,"정산 완료",IF(J876=0,"미입금","부분 입금")))))</x:f>
      </x:c>
      <x:c r="M876" s="9"/>
      <x:c r="N876" s="9"/>
    </x:row>
    <x:row r="877" ht="23" customHeight="1">
      <x:c r="A877" s="9"/>
      <x:c r="B877" s="10"/>
      <x:c r="C877" s="9"/>
      <x:c r="D877" s="9"/>
      <x:c r="E877" s="9"/>
      <x:c r="F877" s="11"/>
      <x:c r="G877" s="12" t="str">
        <x:f>IF(A877="","",SUMIFS('출고대장'!$D$7:$D$1006,'출고대장'!$A$7:$A$1006,A877))</x:f>
      </x:c>
      <x:c r="H877" s="12" t="str">
        <x:f>IF(A877="","",F877-G877)</x:f>
      </x:c>
      <x:c r="I877" s="12" t="str">
        <x:f>IF(A877="","",SUMIFS('출고대장'!$K$7:$K$1006,'출고대장'!$A$7:$A$1006,A877))</x:f>
      </x:c>
      <x:c r="J877" s="12" t="str">
        <x:f>IF(A877="","",SUMIFS('입금대장'!$C$7:$C$1006,'입금대장'!$A$7:$A$1006,A877,'입금대장'!$E$7:$E$1006,"정상"))</x:f>
      </x:c>
      <x:c r="K877" s="12" t="str">
        <x:f>IF(A877="","",I877-J877)</x:f>
      </x:c>
      <x:c r="L877" s="13" t="str">
        <x:f>IF(A877="","",IF(K877&lt;0,"선입금·초과입금",IF(I877=0,"청구 전",IF(K877=0,"정산 완료",IF(J877=0,"미입금","부분 입금")))))</x:f>
      </x:c>
      <x:c r="M877" s="9"/>
      <x:c r="N877" s="9"/>
    </x:row>
    <x:row r="878" ht="23" customHeight="1">
      <x:c r="A878" s="9"/>
      <x:c r="B878" s="10"/>
      <x:c r="C878" s="9"/>
      <x:c r="D878" s="9"/>
      <x:c r="E878" s="9"/>
      <x:c r="F878" s="11"/>
      <x:c r="G878" s="12" t="str">
        <x:f>IF(A878="","",SUMIFS('출고대장'!$D$7:$D$1006,'출고대장'!$A$7:$A$1006,A878))</x:f>
      </x:c>
      <x:c r="H878" s="12" t="str">
        <x:f>IF(A878="","",F878-G878)</x:f>
      </x:c>
      <x:c r="I878" s="12" t="str">
        <x:f>IF(A878="","",SUMIFS('출고대장'!$K$7:$K$1006,'출고대장'!$A$7:$A$1006,A878))</x:f>
      </x:c>
      <x:c r="J878" s="12" t="str">
        <x:f>IF(A878="","",SUMIFS('입금대장'!$C$7:$C$1006,'입금대장'!$A$7:$A$1006,A878,'입금대장'!$E$7:$E$1006,"정상"))</x:f>
      </x:c>
      <x:c r="K878" s="12" t="str">
        <x:f>IF(A878="","",I878-J878)</x:f>
      </x:c>
      <x:c r="L878" s="13" t="str">
        <x:f>IF(A878="","",IF(K878&lt;0,"선입금·초과입금",IF(I878=0,"청구 전",IF(K878=0,"정산 완료",IF(J878=0,"미입금","부분 입금")))))</x:f>
      </x:c>
      <x:c r="M878" s="9"/>
      <x:c r="N878" s="9"/>
    </x:row>
    <x:row r="879" ht="23" customHeight="1">
      <x:c r="A879" s="9"/>
      <x:c r="B879" s="10"/>
      <x:c r="C879" s="9"/>
      <x:c r="D879" s="9"/>
      <x:c r="E879" s="9"/>
      <x:c r="F879" s="11"/>
      <x:c r="G879" s="12" t="str">
        <x:f>IF(A879="","",SUMIFS('출고대장'!$D$7:$D$1006,'출고대장'!$A$7:$A$1006,A879))</x:f>
      </x:c>
      <x:c r="H879" s="12" t="str">
        <x:f>IF(A879="","",F879-G879)</x:f>
      </x:c>
      <x:c r="I879" s="12" t="str">
        <x:f>IF(A879="","",SUMIFS('출고대장'!$K$7:$K$1006,'출고대장'!$A$7:$A$1006,A879))</x:f>
      </x:c>
      <x:c r="J879" s="12" t="str">
        <x:f>IF(A879="","",SUMIFS('입금대장'!$C$7:$C$1006,'입금대장'!$A$7:$A$1006,A879,'입금대장'!$E$7:$E$1006,"정상"))</x:f>
      </x:c>
      <x:c r="K879" s="12" t="str">
        <x:f>IF(A879="","",I879-J879)</x:f>
      </x:c>
      <x:c r="L879" s="13" t="str">
        <x:f>IF(A879="","",IF(K879&lt;0,"선입금·초과입금",IF(I879=0,"청구 전",IF(K879=0,"정산 완료",IF(J879=0,"미입금","부분 입금")))))</x:f>
      </x:c>
      <x:c r="M879" s="9"/>
      <x:c r="N879" s="9"/>
    </x:row>
    <x:row r="880" ht="23" customHeight="1">
      <x:c r="A880" s="9"/>
      <x:c r="B880" s="10"/>
      <x:c r="C880" s="9"/>
      <x:c r="D880" s="9"/>
      <x:c r="E880" s="9"/>
      <x:c r="F880" s="11"/>
      <x:c r="G880" s="12" t="str">
        <x:f>IF(A880="","",SUMIFS('출고대장'!$D$7:$D$1006,'출고대장'!$A$7:$A$1006,A880))</x:f>
      </x:c>
      <x:c r="H880" s="12" t="str">
        <x:f>IF(A880="","",F880-G880)</x:f>
      </x:c>
      <x:c r="I880" s="12" t="str">
        <x:f>IF(A880="","",SUMIFS('출고대장'!$K$7:$K$1006,'출고대장'!$A$7:$A$1006,A880))</x:f>
      </x:c>
      <x:c r="J880" s="12" t="str">
        <x:f>IF(A880="","",SUMIFS('입금대장'!$C$7:$C$1006,'입금대장'!$A$7:$A$1006,A880,'입금대장'!$E$7:$E$1006,"정상"))</x:f>
      </x:c>
      <x:c r="K880" s="12" t="str">
        <x:f>IF(A880="","",I880-J880)</x:f>
      </x:c>
      <x:c r="L880" s="13" t="str">
        <x:f>IF(A880="","",IF(K880&lt;0,"선입금·초과입금",IF(I880=0,"청구 전",IF(K880=0,"정산 완료",IF(J880=0,"미입금","부분 입금")))))</x:f>
      </x:c>
      <x:c r="M880" s="9"/>
      <x:c r="N880" s="9"/>
    </x:row>
    <x:row r="881" ht="23" customHeight="1">
      <x:c r="A881" s="9"/>
      <x:c r="B881" s="10"/>
      <x:c r="C881" s="9"/>
      <x:c r="D881" s="9"/>
      <x:c r="E881" s="9"/>
      <x:c r="F881" s="11"/>
      <x:c r="G881" s="12" t="str">
        <x:f>IF(A881="","",SUMIFS('출고대장'!$D$7:$D$1006,'출고대장'!$A$7:$A$1006,A881))</x:f>
      </x:c>
      <x:c r="H881" s="12" t="str">
        <x:f>IF(A881="","",F881-G881)</x:f>
      </x:c>
      <x:c r="I881" s="12" t="str">
        <x:f>IF(A881="","",SUMIFS('출고대장'!$K$7:$K$1006,'출고대장'!$A$7:$A$1006,A881))</x:f>
      </x:c>
      <x:c r="J881" s="12" t="str">
        <x:f>IF(A881="","",SUMIFS('입금대장'!$C$7:$C$1006,'입금대장'!$A$7:$A$1006,A881,'입금대장'!$E$7:$E$1006,"정상"))</x:f>
      </x:c>
      <x:c r="K881" s="12" t="str">
        <x:f>IF(A881="","",I881-J881)</x:f>
      </x:c>
      <x:c r="L881" s="13" t="str">
        <x:f>IF(A881="","",IF(K881&lt;0,"선입금·초과입금",IF(I881=0,"청구 전",IF(K881=0,"정산 완료",IF(J881=0,"미입금","부분 입금")))))</x:f>
      </x:c>
      <x:c r="M881" s="9"/>
      <x:c r="N881" s="9"/>
    </x:row>
    <x:row r="882" ht="23" customHeight="1">
      <x:c r="A882" s="9"/>
      <x:c r="B882" s="10"/>
      <x:c r="C882" s="9"/>
      <x:c r="D882" s="9"/>
      <x:c r="E882" s="9"/>
      <x:c r="F882" s="11"/>
      <x:c r="G882" s="12" t="str">
        <x:f>IF(A882="","",SUMIFS('출고대장'!$D$7:$D$1006,'출고대장'!$A$7:$A$1006,A882))</x:f>
      </x:c>
      <x:c r="H882" s="12" t="str">
        <x:f>IF(A882="","",F882-G882)</x:f>
      </x:c>
      <x:c r="I882" s="12" t="str">
        <x:f>IF(A882="","",SUMIFS('출고대장'!$K$7:$K$1006,'출고대장'!$A$7:$A$1006,A882))</x:f>
      </x:c>
      <x:c r="J882" s="12" t="str">
        <x:f>IF(A882="","",SUMIFS('입금대장'!$C$7:$C$1006,'입금대장'!$A$7:$A$1006,A882,'입금대장'!$E$7:$E$1006,"정상"))</x:f>
      </x:c>
      <x:c r="K882" s="12" t="str">
        <x:f>IF(A882="","",I882-J882)</x:f>
      </x:c>
      <x:c r="L882" s="13" t="str">
        <x:f>IF(A882="","",IF(K882&lt;0,"선입금·초과입금",IF(I882=0,"청구 전",IF(K882=0,"정산 완료",IF(J882=0,"미입금","부분 입금")))))</x:f>
      </x:c>
      <x:c r="M882" s="9"/>
      <x:c r="N882" s="9"/>
    </x:row>
    <x:row r="883" ht="23" customHeight="1">
      <x:c r="A883" s="9"/>
      <x:c r="B883" s="10"/>
      <x:c r="C883" s="9"/>
      <x:c r="D883" s="9"/>
      <x:c r="E883" s="9"/>
      <x:c r="F883" s="11"/>
      <x:c r="G883" s="12" t="str">
        <x:f>IF(A883="","",SUMIFS('출고대장'!$D$7:$D$1006,'출고대장'!$A$7:$A$1006,A883))</x:f>
      </x:c>
      <x:c r="H883" s="12" t="str">
        <x:f>IF(A883="","",F883-G883)</x:f>
      </x:c>
      <x:c r="I883" s="12" t="str">
        <x:f>IF(A883="","",SUMIFS('출고대장'!$K$7:$K$1006,'출고대장'!$A$7:$A$1006,A883))</x:f>
      </x:c>
      <x:c r="J883" s="12" t="str">
        <x:f>IF(A883="","",SUMIFS('입금대장'!$C$7:$C$1006,'입금대장'!$A$7:$A$1006,A883,'입금대장'!$E$7:$E$1006,"정상"))</x:f>
      </x:c>
      <x:c r="K883" s="12" t="str">
        <x:f>IF(A883="","",I883-J883)</x:f>
      </x:c>
      <x:c r="L883" s="13" t="str">
        <x:f>IF(A883="","",IF(K883&lt;0,"선입금·초과입금",IF(I883=0,"청구 전",IF(K883=0,"정산 완료",IF(J883=0,"미입금","부분 입금")))))</x:f>
      </x:c>
      <x:c r="M883" s="9"/>
      <x:c r="N883" s="9"/>
    </x:row>
    <x:row r="884" ht="23" customHeight="1">
      <x:c r="A884" s="9"/>
      <x:c r="B884" s="10"/>
      <x:c r="C884" s="9"/>
      <x:c r="D884" s="9"/>
      <x:c r="E884" s="9"/>
      <x:c r="F884" s="11"/>
      <x:c r="G884" s="12" t="str">
        <x:f>IF(A884="","",SUMIFS('출고대장'!$D$7:$D$1006,'출고대장'!$A$7:$A$1006,A884))</x:f>
      </x:c>
      <x:c r="H884" s="12" t="str">
        <x:f>IF(A884="","",F884-G884)</x:f>
      </x:c>
      <x:c r="I884" s="12" t="str">
        <x:f>IF(A884="","",SUMIFS('출고대장'!$K$7:$K$1006,'출고대장'!$A$7:$A$1006,A884))</x:f>
      </x:c>
      <x:c r="J884" s="12" t="str">
        <x:f>IF(A884="","",SUMIFS('입금대장'!$C$7:$C$1006,'입금대장'!$A$7:$A$1006,A884,'입금대장'!$E$7:$E$1006,"정상"))</x:f>
      </x:c>
      <x:c r="K884" s="12" t="str">
        <x:f>IF(A884="","",I884-J884)</x:f>
      </x:c>
      <x:c r="L884" s="13" t="str">
        <x:f>IF(A884="","",IF(K884&lt;0,"선입금·초과입금",IF(I884=0,"청구 전",IF(K884=0,"정산 완료",IF(J884=0,"미입금","부분 입금")))))</x:f>
      </x:c>
      <x:c r="M884" s="9"/>
      <x:c r="N884" s="9"/>
    </x:row>
    <x:row r="885" ht="23" customHeight="1">
      <x:c r="A885" s="9"/>
      <x:c r="B885" s="10"/>
      <x:c r="C885" s="9"/>
      <x:c r="D885" s="9"/>
      <x:c r="E885" s="9"/>
      <x:c r="F885" s="11"/>
      <x:c r="G885" s="12" t="str">
        <x:f>IF(A885="","",SUMIFS('출고대장'!$D$7:$D$1006,'출고대장'!$A$7:$A$1006,A885))</x:f>
      </x:c>
      <x:c r="H885" s="12" t="str">
        <x:f>IF(A885="","",F885-G885)</x:f>
      </x:c>
      <x:c r="I885" s="12" t="str">
        <x:f>IF(A885="","",SUMIFS('출고대장'!$K$7:$K$1006,'출고대장'!$A$7:$A$1006,A885))</x:f>
      </x:c>
      <x:c r="J885" s="12" t="str">
        <x:f>IF(A885="","",SUMIFS('입금대장'!$C$7:$C$1006,'입금대장'!$A$7:$A$1006,A885,'입금대장'!$E$7:$E$1006,"정상"))</x:f>
      </x:c>
      <x:c r="K885" s="12" t="str">
        <x:f>IF(A885="","",I885-J885)</x:f>
      </x:c>
      <x:c r="L885" s="13" t="str">
        <x:f>IF(A885="","",IF(K885&lt;0,"선입금·초과입금",IF(I885=0,"청구 전",IF(K885=0,"정산 완료",IF(J885=0,"미입금","부분 입금")))))</x:f>
      </x:c>
      <x:c r="M885" s="9"/>
      <x:c r="N885" s="9"/>
    </x:row>
    <x:row r="886" ht="23" customHeight="1">
      <x:c r="A886" s="9"/>
      <x:c r="B886" s="10"/>
      <x:c r="C886" s="9"/>
      <x:c r="D886" s="9"/>
      <x:c r="E886" s="9"/>
      <x:c r="F886" s="11"/>
      <x:c r="G886" s="12" t="str">
        <x:f>IF(A886="","",SUMIFS('출고대장'!$D$7:$D$1006,'출고대장'!$A$7:$A$1006,A886))</x:f>
      </x:c>
      <x:c r="H886" s="12" t="str">
        <x:f>IF(A886="","",F886-G886)</x:f>
      </x:c>
      <x:c r="I886" s="12" t="str">
        <x:f>IF(A886="","",SUMIFS('출고대장'!$K$7:$K$1006,'출고대장'!$A$7:$A$1006,A886))</x:f>
      </x:c>
      <x:c r="J886" s="12" t="str">
        <x:f>IF(A886="","",SUMIFS('입금대장'!$C$7:$C$1006,'입금대장'!$A$7:$A$1006,A886,'입금대장'!$E$7:$E$1006,"정상"))</x:f>
      </x:c>
      <x:c r="K886" s="12" t="str">
        <x:f>IF(A886="","",I886-J886)</x:f>
      </x:c>
      <x:c r="L886" s="13" t="str">
        <x:f>IF(A886="","",IF(K886&lt;0,"선입금·초과입금",IF(I886=0,"청구 전",IF(K886=0,"정산 완료",IF(J886=0,"미입금","부분 입금")))))</x:f>
      </x:c>
      <x:c r="M886" s="9"/>
      <x:c r="N886" s="9"/>
    </x:row>
    <x:row r="887" ht="23" customHeight="1">
      <x:c r="A887" s="9"/>
      <x:c r="B887" s="10"/>
      <x:c r="C887" s="9"/>
      <x:c r="D887" s="9"/>
      <x:c r="E887" s="9"/>
      <x:c r="F887" s="11"/>
      <x:c r="G887" s="12" t="str">
        <x:f>IF(A887="","",SUMIFS('출고대장'!$D$7:$D$1006,'출고대장'!$A$7:$A$1006,A887))</x:f>
      </x:c>
      <x:c r="H887" s="12" t="str">
        <x:f>IF(A887="","",F887-G887)</x:f>
      </x:c>
      <x:c r="I887" s="12" t="str">
        <x:f>IF(A887="","",SUMIFS('출고대장'!$K$7:$K$1006,'출고대장'!$A$7:$A$1006,A887))</x:f>
      </x:c>
      <x:c r="J887" s="12" t="str">
        <x:f>IF(A887="","",SUMIFS('입금대장'!$C$7:$C$1006,'입금대장'!$A$7:$A$1006,A887,'입금대장'!$E$7:$E$1006,"정상"))</x:f>
      </x:c>
      <x:c r="K887" s="12" t="str">
        <x:f>IF(A887="","",I887-J887)</x:f>
      </x:c>
      <x:c r="L887" s="13" t="str">
        <x:f>IF(A887="","",IF(K887&lt;0,"선입금·초과입금",IF(I887=0,"청구 전",IF(K887=0,"정산 완료",IF(J887=0,"미입금","부분 입금")))))</x:f>
      </x:c>
      <x:c r="M887" s="9"/>
      <x:c r="N887" s="9"/>
    </x:row>
    <x:row r="888" ht="23" customHeight="1">
      <x:c r="A888" s="9"/>
      <x:c r="B888" s="10"/>
      <x:c r="C888" s="9"/>
      <x:c r="D888" s="9"/>
      <x:c r="E888" s="9"/>
      <x:c r="F888" s="11"/>
      <x:c r="G888" s="12" t="str">
        <x:f>IF(A888="","",SUMIFS('출고대장'!$D$7:$D$1006,'출고대장'!$A$7:$A$1006,A888))</x:f>
      </x:c>
      <x:c r="H888" s="12" t="str">
        <x:f>IF(A888="","",F888-G888)</x:f>
      </x:c>
      <x:c r="I888" s="12" t="str">
        <x:f>IF(A888="","",SUMIFS('출고대장'!$K$7:$K$1006,'출고대장'!$A$7:$A$1006,A888))</x:f>
      </x:c>
      <x:c r="J888" s="12" t="str">
        <x:f>IF(A888="","",SUMIFS('입금대장'!$C$7:$C$1006,'입금대장'!$A$7:$A$1006,A888,'입금대장'!$E$7:$E$1006,"정상"))</x:f>
      </x:c>
      <x:c r="K888" s="12" t="str">
        <x:f>IF(A888="","",I888-J888)</x:f>
      </x:c>
      <x:c r="L888" s="13" t="str">
        <x:f>IF(A888="","",IF(K888&lt;0,"선입금·초과입금",IF(I888=0,"청구 전",IF(K888=0,"정산 완료",IF(J888=0,"미입금","부분 입금")))))</x:f>
      </x:c>
      <x:c r="M888" s="9"/>
      <x:c r="N888" s="9"/>
    </x:row>
    <x:row r="889" ht="23" customHeight="1">
      <x:c r="A889" s="9"/>
      <x:c r="B889" s="10"/>
      <x:c r="C889" s="9"/>
      <x:c r="D889" s="9"/>
      <x:c r="E889" s="9"/>
      <x:c r="F889" s="11"/>
      <x:c r="G889" s="12" t="str">
        <x:f>IF(A889="","",SUMIFS('출고대장'!$D$7:$D$1006,'출고대장'!$A$7:$A$1006,A889))</x:f>
      </x:c>
      <x:c r="H889" s="12" t="str">
        <x:f>IF(A889="","",F889-G889)</x:f>
      </x:c>
      <x:c r="I889" s="12" t="str">
        <x:f>IF(A889="","",SUMIFS('출고대장'!$K$7:$K$1006,'출고대장'!$A$7:$A$1006,A889))</x:f>
      </x:c>
      <x:c r="J889" s="12" t="str">
        <x:f>IF(A889="","",SUMIFS('입금대장'!$C$7:$C$1006,'입금대장'!$A$7:$A$1006,A889,'입금대장'!$E$7:$E$1006,"정상"))</x:f>
      </x:c>
      <x:c r="K889" s="12" t="str">
        <x:f>IF(A889="","",I889-J889)</x:f>
      </x:c>
      <x:c r="L889" s="13" t="str">
        <x:f>IF(A889="","",IF(K889&lt;0,"선입금·초과입금",IF(I889=0,"청구 전",IF(K889=0,"정산 완료",IF(J889=0,"미입금","부분 입금")))))</x:f>
      </x:c>
      <x:c r="M889" s="9"/>
      <x:c r="N889" s="9"/>
    </x:row>
    <x:row r="890" ht="23" customHeight="1">
      <x:c r="A890" s="9"/>
      <x:c r="B890" s="10"/>
      <x:c r="C890" s="9"/>
      <x:c r="D890" s="9"/>
      <x:c r="E890" s="9"/>
      <x:c r="F890" s="11"/>
      <x:c r="G890" s="12" t="str">
        <x:f>IF(A890="","",SUMIFS('출고대장'!$D$7:$D$1006,'출고대장'!$A$7:$A$1006,A890))</x:f>
      </x:c>
      <x:c r="H890" s="12" t="str">
        <x:f>IF(A890="","",F890-G890)</x:f>
      </x:c>
      <x:c r="I890" s="12" t="str">
        <x:f>IF(A890="","",SUMIFS('출고대장'!$K$7:$K$1006,'출고대장'!$A$7:$A$1006,A890))</x:f>
      </x:c>
      <x:c r="J890" s="12" t="str">
        <x:f>IF(A890="","",SUMIFS('입금대장'!$C$7:$C$1006,'입금대장'!$A$7:$A$1006,A890,'입금대장'!$E$7:$E$1006,"정상"))</x:f>
      </x:c>
      <x:c r="K890" s="12" t="str">
        <x:f>IF(A890="","",I890-J890)</x:f>
      </x:c>
      <x:c r="L890" s="13" t="str">
        <x:f>IF(A890="","",IF(K890&lt;0,"선입금·초과입금",IF(I890=0,"청구 전",IF(K890=0,"정산 완료",IF(J890=0,"미입금","부분 입금")))))</x:f>
      </x:c>
      <x:c r="M890" s="9"/>
      <x:c r="N890" s="9"/>
    </x:row>
    <x:row r="891" ht="23" customHeight="1">
      <x:c r="A891" s="9"/>
      <x:c r="B891" s="10"/>
      <x:c r="C891" s="9"/>
      <x:c r="D891" s="9"/>
      <x:c r="E891" s="9"/>
      <x:c r="F891" s="11"/>
      <x:c r="G891" s="12" t="str">
        <x:f>IF(A891="","",SUMIFS('출고대장'!$D$7:$D$1006,'출고대장'!$A$7:$A$1006,A891))</x:f>
      </x:c>
      <x:c r="H891" s="12" t="str">
        <x:f>IF(A891="","",F891-G891)</x:f>
      </x:c>
      <x:c r="I891" s="12" t="str">
        <x:f>IF(A891="","",SUMIFS('출고대장'!$K$7:$K$1006,'출고대장'!$A$7:$A$1006,A891))</x:f>
      </x:c>
      <x:c r="J891" s="12" t="str">
        <x:f>IF(A891="","",SUMIFS('입금대장'!$C$7:$C$1006,'입금대장'!$A$7:$A$1006,A891,'입금대장'!$E$7:$E$1006,"정상"))</x:f>
      </x:c>
      <x:c r="K891" s="12" t="str">
        <x:f>IF(A891="","",I891-J891)</x:f>
      </x:c>
      <x:c r="L891" s="13" t="str">
        <x:f>IF(A891="","",IF(K891&lt;0,"선입금·초과입금",IF(I891=0,"청구 전",IF(K891=0,"정산 완료",IF(J891=0,"미입금","부분 입금")))))</x:f>
      </x:c>
      <x:c r="M891" s="9"/>
      <x:c r="N891" s="9"/>
    </x:row>
    <x:row r="892" ht="23" customHeight="1">
      <x:c r="A892" s="9"/>
      <x:c r="B892" s="10"/>
      <x:c r="C892" s="9"/>
      <x:c r="D892" s="9"/>
      <x:c r="E892" s="9"/>
      <x:c r="F892" s="11"/>
      <x:c r="G892" s="12" t="str">
        <x:f>IF(A892="","",SUMIFS('출고대장'!$D$7:$D$1006,'출고대장'!$A$7:$A$1006,A892))</x:f>
      </x:c>
      <x:c r="H892" s="12" t="str">
        <x:f>IF(A892="","",F892-G892)</x:f>
      </x:c>
      <x:c r="I892" s="12" t="str">
        <x:f>IF(A892="","",SUMIFS('출고대장'!$K$7:$K$1006,'출고대장'!$A$7:$A$1006,A892))</x:f>
      </x:c>
      <x:c r="J892" s="12" t="str">
        <x:f>IF(A892="","",SUMIFS('입금대장'!$C$7:$C$1006,'입금대장'!$A$7:$A$1006,A892,'입금대장'!$E$7:$E$1006,"정상"))</x:f>
      </x:c>
      <x:c r="K892" s="12" t="str">
        <x:f>IF(A892="","",I892-J892)</x:f>
      </x:c>
      <x:c r="L892" s="13" t="str">
        <x:f>IF(A892="","",IF(K892&lt;0,"선입금·초과입금",IF(I892=0,"청구 전",IF(K892=0,"정산 완료",IF(J892=0,"미입금","부분 입금")))))</x:f>
      </x:c>
      <x:c r="M892" s="9"/>
      <x:c r="N892" s="9"/>
    </x:row>
    <x:row r="893" ht="23" customHeight="1">
      <x:c r="A893" s="9"/>
      <x:c r="B893" s="10"/>
      <x:c r="C893" s="9"/>
      <x:c r="D893" s="9"/>
      <x:c r="E893" s="9"/>
      <x:c r="F893" s="11"/>
      <x:c r="G893" s="12" t="str">
        <x:f>IF(A893="","",SUMIFS('출고대장'!$D$7:$D$1006,'출고대장'!$A$7:$A$1006,A893))</x:f>
      </x:c>
      <x:c r="H893" s="12" t="str">
        <x:f>IF(A893="","",F893-G893)</x:f>
      </x:c>
      <x:c r="I893" s="12" t="str">
        <x:f>IF(A893="","",SUMIFS('출고대장'!$K$7:$K$1006,'출고대장'!$A$7:$A$1006,A893))</x:f>
      </x:c>
      <x:c r="J893" s="12" t="str">
        <x:f>IF(A893="","",SUMIFS('입금대장'!$C$7:$C$1006,'입금대장'!$A$7:$A$1006,A893,'입금대장'!$E$7:$E$1006,"정상"))</x:f>
      </x:c>
      <x:c r="K893" s="12" t="str">
        <x:f>IF(A893="","",I893-J893)</x:f>
      </x:c>
      <x:c r="L893" s="13" t="str">
        <x:f>IF(A893="","",IF(K893&lt;0,"선입금·초과입금",IF(I893=0,"청구 전",IF(K893=0,"정산 완료",IF(J893=0,"미입금","부분 입금")))))</x:f>
      </x:c>
      <x:c r="M893" s="9"/>
      <x:c r="N893" s="9"/>
    </x:row>
    <x:row r="894" ht="23" customHeight="1">
      <x:c r="A894" s="9"/>
      <x:c r="B894" s="10"/>
      <x:c r="C894" s="9"/>
      <x:c r="D894" s="9"/>
      <x:c r="E894" s="9"/>
      <x:c r="F894" s="11"/>
      <x:c r="G894" s="12" t="str">
        <x:f>IF(A894="","",SUMIFS('출고대장'!$D$7:$D$1006,'출고대장'!$A$7:$A$1006,A894))</x:f>
      </x:c>
      <x:c r="H894" s="12" t="str">
        <x:f>IF(A894="","",F894-G894)</x:f>
      </x:c>
      <x:c r="I894" s="12" t="str">
        <x:f>IF(A894="","",SUMIFS('출고대장'!$K$7:$K$1006,'출고대장'!$A$7:$A$1006,A894))</x:f>
      </x:c>
      <x:c r="J894" s="12" t="str">
        <x:f>IF(A894="","",SUMIFS('입금대장'!$C$7:$C$1006,'입금대장'!$A$7:$A$1006,A894,'입금대장'!$E$7:$E$1006,"정상"))</x:f>
      </x:c>
      <x:c r="K894" s="12" t="str">
        <x:f>IF(A894="","",I894-J894)</x:f>
      </x:c>
      <x:c r="L894" s="13" t="str">
        <x:f>IF(A894="","",IF(K894&lt;0,"선입금·초과입금",IF(I894=0,"청구 전",IF(K894=0,"정산 완료",IF(J894=0,"미입금","부분 입금")))))</x:f>
      </x:c>
      <x:c r="M894" s="9"/>
      <x:c r="N894" s="9"/>
    </x:row>
    <x:row r="895" ht="23" customHeight="1">
      <x:c r="A895" s="9"/>
      <x:c r="B895" s="10"/>
      <x:c r="C895" s="9"/>
      <x:c r="D895" s="9"/>
      <x:c r="E895" s="9"/>
      <x:c r="F895" s="11"/>
      <x:c r="G895" s="12" t="str">
        <x:f>IF(A895="","",SUMIFS('출고대장'!$D$7:$D$1006,'출고대장'!$A$7:$A$1006,A895))</x:f>
      </x:c>
      <x:c r="H895" s="12" t="str">
        <x:f>IF(A895="","",F895-G895)</x:f>
      </x:c>
      <x:c r="I895" s="12" t="str">
        <x:f>IF(A895="","",SUMIFS('출고대장'!$K$7:$K$1006,'출고대장'!$A$7:$A$1006,A895))</x:f>
      </x:c>
      <x:c r="J895" s="12" t="str">
        <x:f>IF(A895="","",SUMIFS('입금대장'!$C$7:$C$1006,'입금대장'!$A$7:$A$1006,A895,'입금대장'!$E$7:$E$1006,"정상"))</x:f>
      </x:c>
      <x:c r="K895" s="12" t="str">
        <x:f>IF(A895="","",I895-J895)</x:f>
      </x:c>
      <x:c r="L895" s="13" t="str">
        <x:f>IF(A895="","",IF(K895&lt;0,"선입금·초과입금",IF(I895=0,"청구 전",IF(K895=0,"정산 완료",IF(J895=0,"미입금","부분 입금")))))</x:f>
      </x:c>
      <x:c r="M895" s="9"/>
      <x:c r="N895" s="9"/>
    </x:row>
    <x:row r="896" ht="23" customHeight="1">
      <x:c r="A896" s="9"/>
      <x:c r="B896" s="10"/>
      <x:c r="C896" s="9"/>
      <x:c r="D896" s="9"/>
      <x:c r="E896" s="9"/>
      <x:c r="F896" s="11"/>
      <x:c r="G896" s="12" t="str">
        <x:f>IF(A896="","",SUMIFS('출고대장'!$D$7:$D$1006,'출고대장'!$A$7:$A$1006,A896))</x:f>
      </x:c>
      <x:c r="H896" s="12" t="str">
        <x:f>IF(A896="","",F896-G896)</x:f>
      </x:c>
      <x:c r="I896" s="12" t="str">
        <x:f>IF(A896="","",SUMIFS('출고대장'!$K$7:$K$1006,'출고대장'!$A$7:$A$1006,A896))</x:f>
      </x:c>
      <x:c r="J896" s="12" t="str">
        <x:f>IF(A896="","",SUMIFS('입금대장'!$C$7:$C$1006,'입금대장'!$A$7:$A$1006,A896,'입금대장'!$E$7:$E$1006,"정상"))</x:f>
      </x:c>
      <x:c r="K896" s="12" t="str">
        <x:f>IF(A896="","",I896-J896)</x:f>
      </x:c>
      <x:c r="L896" s="13" t="str">
        <x:f>IF(A896="","",IF(K896&lt;0,"선입금·초과입금",IF(I896=0,"청구 전",IF(K896=0,"정산 완료",IF(J896=0,"미입금","부분 입금")))))</x:f>
      </x:c>
      <x:c r="M896" s="9"/>
      <x:c r="N896" s="9"/>
    </x:row>
    <x:row r="897" ht="23" customHeight="1">
      <x:c r="A897" s="9"/>
      <x:c r="B897" s="10"/>
      <x:c r="C897" s="9"/>
      <x:c r="D897" s="9"/>
      <x:c r="E897" s="9"/>
      <x:c r="F897" s="11"/>
      <x:c r="G897" s="12" t="str">
        <x:f>IF(A897="","",SUMIFS('출고대장'!$D$7:$D$1006,'출고대장'!$A$7:$A$1006,A897))</x:f>
      </x:c>
      <x:c r="H897" s="12" t="str">
        <x:f>IF(A897="","",F897-G897)</x:f>
      </x:c>
      <x:c r="I897" s="12" t="str">
        <x:f>IF(A897="","",SUMIFS('출고대장'!$K$7:$K$1006,'출고대장'!$A$7:$A$1006,A897))</x:f>
      </x:c>
      <x:c r="J897" s="12" t="str">
        <x:f>IF(A897="","",SUMIFS('입금대장'!$C$7:$C$1006,'입금대장'!$A$7:$A$1006,A897,'입금대장'!$E$7:$E$1006,"정상"))</x:f>
      </x:c>
      <x:c r="K897" s="12" t="str">
        <x:f>IF(A897="","",I897-J897)</x:f>
      </x:c>
      <x:c r="L897" s="13" t="str">
        <x:f>IF(A897="","",IF(K897&lt;0,"선입금·초과입금",IF(I897=0,"청구 전",IF(K897=0,"정산 완료",IF(J897=0,"미입금","부분 입금")))))</x:f>
      </x:c>
      <x:c r="M897" s="9"/>
      <x:c r="N897" s="9"/>
    </x:row>
    <x:row r="898" ht="23" customHeight="1">
      <x:c r="A898" s="9"/>
      <x:c r="B898" s="10"/>
      <x:c r="C898" s="9"/>
      <x:c r="D898" s="9"/>
      <x:c r="E898" s="9"/>
      <x:c r="F898" s="11"/>
      <x:c r="G898" s="12" t="str">
        <x:f>IF(A898="","",SUMIFS('출고대장'!$D$7:$D$1006,'출고대장'!$A$7:$A$1006,A898))</x:f>
      </x:c>
      <x:c r="H898" s="12" t="str">
        <x:f>IF(A898="","",F898-G898)</x:f>
      </x:c>
      <x:c r="I898" s="12" t="str">
        <x:f>IF(A898="","",SUMIFS('출고대장'!$K$7:$K$1006,'출고대장'!$A$7:$A$1006,A898))</x:f>
      </x:c>
      <x:c r="J898" s="12" t="str">
        <x:f>IF(A898="","",SUMIFS('입금대장'!$C$7:$C$1006,'입금대장'!$A$7:$A$1006,A898,'입금대장'!$E$7:$E$1006,"정상"))</x:f>
      </x:c>
      <x:c r="K898" s="12" t="str">
        <x:f>IF(A898="","",I898-J898)</x:f>
      </x:c>
      <x:c r="L898" s="13" t="str">
        <x:f>IF(A898="","",IF(K898&lt;0,"선입금·초과입금",IF(I898=0,"청구 전",IF(K898=0,"정산 완료",IF(J898=0,"미입금","부분 입금")))))</x:f>
      </x:c>
      <x:c r="M898" s="9"/>
      <x:c r="N898" s="9"/>
    </x:row>
    <x:row r="899" ht="23" customHeight="1">
      <x:c r="A899" s="9"/>
      <x:c r="B899" s="10"/>
      <x:c r="C899" s="9"/>
      <x:c r="D899" s="9"/>
      <x:c r="E899" s="9"/>
      <x:c r="F899" s="11"/>
      <x:c r="G899" s="12" t="str">
        <x:f>IF(A899="","",SUMIFS('출고대장'!$D$7:$D$1006,'출고대장'!$A$7:$A$1006,A899))</x:f>
      </x:c>
      <x:c r="H899" s="12" t="str">
        <x:f>IF(A899="","",F899-G899)</x:f>
      </x:c>
      <x:c r="I899" s="12" t="str">
        <x:f>IF(A899="","",SUMIFS('출고대장'!$K$7:$K$1006,'출고대장'!$A$7:$A$1006,A899))</x:f>
      </x:c>
      <x:c r="J899" s="12" t="str">
        <x:f>IF(A899="","",SUMIFS('입금대장'!$C$7:$C$1006,'입금대장'!$A$7:$A$1006,A899,'입금대장'!$E$7:$E$1006,"정상"))</x:f>
      </x:c>
      <x:c r="K899" s="12" t="str">
        <x:f>IF(A899="","",I899-J899)</x:f>
      </x:c>
      <x:c r="L899" s="13" t="str">
        <x:f>IF(A899="","",IF(K899&lt;0,"선입금·초과입금",IF(I899=0,"청구 전",IF(K899=0,"정산 완료",IF(J899=0,"미입금","부분 입금")))))</x:f>
      </x:c>
      <x:c r="M899" s="9"/>
      <x:c r="N899" s="9"/>
    </x:row>
    <x:row r="900" ht="23" customHeight="1">
      <x:c r="A900" s="9"/>
      <x:c r="B900" s="10"/>
      <x:c r="C900" s="9"/>
      <x:c r="D900" s="9"/>
      <x:c r="E900" s="9"/>
      <x:c r="F900" s="11"/>
      <x:c r="G900" s="12" t="str">
        <x:f>IF(A900="","",SUMIFS('출고대장'!$D$7:$D$1006,'출고대장'!$A$7:$A$1006,A900))</x:f>
      </x:c>
      <x:c r="H900" s="12" t="str">
        <x:f>IF(A900="","",F900-G900)</x:f>
      </x:c>
      <x:c r="I900" s="12" t="str">
        <x:f>IF(A900="","",SUMIFS('출고대장'!$K$7:$K$1006,'출고대장'!$A$7:$A$1006,A900))</x:f>
      </x:c>
      <x:c r="J900" s="12" t="str">
        <x:f>IF(A900="","",SUMIFS('입금대장'!$C$7:$C$1006,'입금대장'!$A$7:$A$1006,A900,'입금대장'!$E$7:$E$1006,"정상"))</x:f>
      </x:c>
      <x:c r="K900" s="12" t="str">
        <x:f>IF(A900="","",I900-J900)</x:f>
      </x:c>
      <x:c r="L900" s="13" t="str">
        <x:f>IF(A900="","",IF(K900&lt;0,"선입금·초과입금",IF(I900=0,"청구 전",IF(K900=0,"정산 완료",IF(J900=0,"미입금","부분 입금")))))</x:f>
      </x:c>
      <x:c r="M900" s="9"/>
      <x:c r="N900" s="9"/>
    </x:row>
    <x:row r="901" ht="23" customHeight="1">
      <x:c r="A901" s="9"/>
      <x:c r="B901" s="10"/>
      <x:c r="C901" s="9"/>
      <x:c r="D901" s="9"/>
      <x:c r="E901" s="9"/>
      <x:c r="F901" s="11"/>
      <x:c r="G901" s="12" t="str">
        <x:f>IF(A901="","",SUMIFS('출고대장'!$D$7:$D$1006,'출고대장'!$A$7:$A$1006,A901))</x:f>
      </x:c>
      <x:c r="H901" s="12" t="str">
        <x:f>IF(A901="","",F901-G901)</x:f>
      </x:c>
      <x:c r="I901" s="12" t="str">
        <x:f>IF(A901="","",SUMIFS('출고대장'!$K$7:$K$1006,'출고대장'!$A$7:$A$1006,A901))</x:f>
      </x:c>
      <x:c r="J901" s="12" t="str">
        <x:f>IF(A901="","",SUMIFS('입금대장'!$C$7:$C$1006,'입금대장'!$A$7:$A$1006,A901,'입금대장'!$E$7:$E$1006,"정상"))</x:f>
      </x:c>
      <x:c r="K901" s="12" t="str">
        <x:f>IF(A901="","",I901-J901)</x:f>
      </x:c>
      <x:c r="L901" s="13" t="str">
        <x:f>IF(A901="","",IF(K901&lt;0,"선입금·초과입금",IF(I901=0,"청구 전",IF(K901=0,"정산 완료",IF(J901=0,"미입금","부분 입금")))))</x:f>
      </x:c>
      <x:c r="M901" s="9"/>
      <x:c r="N901" s="9"/>
    </x:row>
    <x:row r="902" ht="23" customHeight="1">
      <x:c r="A902" s="9"/>
      <x:c r="B902" s="10"/>
      <x:c r="C902" s="9"/>
      <x:c r="D902" s="9"/>
      <x:c r="E902" s="9"/>
      <x:c r="F902" s="11"/>
      <x:c r="G902" s="12" t="str">
        <x:f>IF(A902="","",SUMIFS('출고대장'!$D$7:$D$1006,'출고대장'!$A$7:$A$1006,A902))</x:f>
      </x:c>
      <x:c r="H902" s="12" t="str">
        <x:f>IF(A902="","",F902-G902)</x:f>
      </x:c>
      <x:c r="I902" s="12" t="str">
        <x:f>IF(A902="","",SUMIFS('출고대장'!$K$7:$K$1006,'출고대장'!$A$7:$A$1006,A902))</x:f>
      </x:c>
      <x:c r="J902" s="12" t="str">
        <x:f>IF(A902="","",SUMIFS('입금대장'!$C$7:$C$1006,'입금대장'!$A$7:$A$1006,A902,'입금대장'!$E$7:$E$1006,"정상"))</x:f>
      </x:c>
      <x:c r="K902" s="12" t="str">
        <x:f>IF(A902="","",I902-J902)</x:f>
      </x:c>
      <x:c r="L902" s="13" t="str">
        <x:f>IF(A902="","",IF(K902&lt;0,"선입금·초과입금",IF(I902=0,"청구 전",IF(K902=0,"정산 완료",IF(J902=0,"미입금","부분 입금")))))</x:f>
      </x:c>
      <x:c r="M902" s="9"/>
      <x:c r="N902" s="9"/>
    </x:row>
    <x:row r="903" ht="23" customHeight="1">
      <x:c r="A903" s="9"/>
      <x:c r="B903" s="10"/>
      <x:c r="C903" s="9"/>
      <x:c r="D903" s="9"/>
      <x:c r="E903" s="9"/>
      <x:c r="F903" s="11"/>
      <x:c r="G903" s="12" t="str">
        <x:f>IF(A903="","",SUMIFS('출고대장'!$D$7:$D$1006,'출고대장'!$A$7:$A$1006,A903))</x:f>
      </x:c>
      <x:c r="H903" s="12" t="str">
        <x:f>IF(A903="","",F903-G903)</x:f>
      </x:c>
      <x:c r="I903" s="12" t="str">
        <x:f>IF(A903="","",SUMIFS('출고대장'!$K$7:$K$1006,'출고대장'!$A$7:$A$1006,A903))</x:f>
      </x:c>
      <x:c r="J903" s="12" t="str">
        <x:f>IF(A903="","",SUMIFS('입금대장'!$C$7:$C$1006,'입금대장'!$A$7:$A$1006,A903,'입금대장'!$E$7:$E$1006,"정상"))</x:f>
      </x:c>
      <x:c r="K903" s="12" t="str">
        <x:f>IF(A903="","",I903-J903)</x:f>
      </x:c>
      <x:c r="L903" s="13" t="str">
        <x:f>IF(A903="","",IF(K903&lt;0,"선입금·초과입금",IF(I903=0,"청구 전",IF(K903=0,"정산 완료",IF(J903=0,"미입금","부분 입금")))))</x:f>
      </x:c>
      <x:c r="M903" s="9"/>
      <x:c r="N903" s="9"/>
    </x:row>
    <x:row r="904" ht="23" customHeight="1">
      <x:c r="A904" s="9"/>
      <x:c r="B904" s="10"/>
      <x:c r="C904" s="9"/>
      <x:c r="D904" s="9"/>
      <x:c r="E904" s="9"/>
      <x:c r="F904" s="11"/>
      <x:c r="G904" s="12" t="str">
        <x:f>IF(A904="","",SUMIFS('출고대장'!$D$7:$D$1006,'출고대장'!$A$7:$A$1006,A904))</x:f>
      </x:c>
      <x:c r="H904" s="12" t="str">
        <x:f>IF(A904="","",F904-G904)</x:f>
      </x:c>
      <x:c r="I904" s="12" t="str">
        <x:f>IF(A904="","",SUMIFS('출고대장'!$K$7:$K$1006,'출고대장'!$A$7:$A$1006,A904))</x:f>
      </x:c>
      <x:c r="J904" s="12" t="str">
        <x:f>IF(A904="","",SUMIFS('입금대장'!$C$7:$C$1006,'입금대장'!$A$7:$A$1006,A904,'입금대장'!$E$7:$E$1006,"정상"))</x:f>
      </x:c>
      <x:c r="K904" s="12" t="str">
        <x:f>IF(A904="","",I904-J904)</x:f>
      </x:c>
      <x:c r="L904" s="13" t="str">
        <x:f>IF(A904="","",IF(K904&lt;0,"선입금·초과입금",IF(I904=0,"청구 전",IF(K904=0,"정산 완료",IF(J904=0,"미입금","부분 입금")))))</x:f>
      </x:c>
      <x:c r="M904" s="9"/>
      <x:c r="N904" s="9"/>
    </x:row>
    <x:row r="905" ht="23" customHeight="1">
      <x:c r="A905" s="9"/>
      <x:c r="B905" s="10"/>
      <x:c r="C905" s="9"/>
      <x:c r="D905" s="9"/>
      <x:c r="E905" s="9"/>
      <x:c r="F905" s="11"/>
      <x:c r="G905" s="12" t="str">
        <x:f>IF(A905="","",SUMIFS('출고대장'!$D$7:$D$1006,'출고대장'!$A$7:$A$1006,A905))</x:f>
      </x:c>
      <x:c r="H905" s="12" t="str">
        <x:f>IF(A905="","",F905-G905)</x:f>
      </x:c>
      <x:c r="I905" s="12" t="str">
        <x:f>IF(A905="","",SUMIFS('출고대장'!$K$7:$K$1006,'출고대장'!$A$7:$A$1006,A905))</x:f>
      </x:c>
      <x:c r="J905" s="12" t="str">
        <x:f>IF(A905="","",SUMIFS('입금대장'!$C$7:$C$1006,'입금대장'!$A$7:$A$1006,A905,'입금대장'!$E$7:$E$1006,"정상"))</x:f>
      </x:c>
      <x:c r="K905" s="12" t="str">
        <x:f>IF(A905="","",I905-J905)</x:f>
      </x:c>
      <x:c r="L905" s="13" t="str">
        <x:f>IF(A905="","",IF(K905&lt;0,"선입금·초과입금",IF(I905=0,"청구 전",IF(K905=0,"정산 완료",IF(J905=0,"미입금","부분 입금")))))</x:f>
      </x:c>
      <x:c r="M905" s="9"/>
      <x:c r="N905" s="9"/>
    </x:row>
    <x:row r="906" ht="23" customHeight="1">
      <x:c r="A906" s="9"/>
      <x:c r="B906" s="10"/>
      <x:c r="C906" s="9"/>
      <x:c r="D906" s="9"/>
      <x:c r="E906" s="9"/>
      <x:c r="F906" s="11"/>
      <x:c r="G906" s="12" t="str">
        <x:f>IF(A906="","",SUMIFS('출고대장'!$D$7:$D$1006,'출고대장'!$A$7:$A$1006,A906))</x:f>
      </x:c>
      <x:c r="H906" s="12" t="str">
        <x:f>IF(A906="","",F906-G906)</x:f>
      </x:c>
      <x:c r="I906" s="12" t="str">
        <x:f>IF(A906="","",SUMIFS('출고대장'!$K$7:$K$1006,'출고대장'!$A$7:$A$1006,A906))</x:f>
      </x:c>
      <x:c r="J906" s="12" t="str">
        <x:f>IF(A906="","",SUMIFS('입금대장'!$C$7:$C$1006,'입금대장'!$A$7:$A$1006,A906,'입금대장'!$E$7:$E$1006,"정상"))</x:f>
      </x:c>
      <x:c r="K906" s="12" t="str">
        <x:f>IF(A906="","",I906-J906)</x:f>
      </x:c>
      <x:c r="L906" s="13" t="str">
        <x:f>IF(A906="","",IF(K906&lt;0,"선입금·초과입금",IF(I906=0,"청구 전",IF(K906=0,"정산 완료",IF(J906=0,"미입금","부분 입금")))))</x:f>
      </x:c>
      <x:c r="M906" s="9"/>
      <x:c r="N906" s="9"/>
    </x:row>
    <x:row r="907" ht="23" customHeight="1">
      <x:c r="A907" s="9"/>
      <x:c r="B907" s="10"/>
      <x:c r="C907" s="9"/>
      <x:c r="D907" s="9"/>
      <x:c r="E907" s="9"/>
      <x:c r="F907" s="11"/>
      <x:c r="G907" s="12" t="str">
        <x:f>IF(A907="","",SUMIFS('출고대장'!$D$7:$D$1006,'출고대장'!$A$7:$A$1006,A907))</x:f>
      </x:c>
      <x:c r="H907" s="12" t="str">
        <x:f>IF(A907="","",F907-G907)</x:f>
      </x:c>
      <x:c r="I907" s="12" t="str">
        <x:f>IF(A907="","",SUMIFS('출고대장'!$K$7:$K$1006,'출고대장'!$A$7:$A$1006,A907))</x:f>
      </x:c>
      <x:c r="J907" s="12" t="str">
        <x:f>IF(A907="","",SUMIFS('입금대장'!$C$7:$C$1006,'입금대장'!$A$7:$A$1006,A907,'입금대장'!$E$7:$E$1006,"정상"))</x:f>
      </x:c>
      <x:c r="K907" s="12" t="str">
        <x:f>IF(A907="","",I907-J907)</x:f>
      </x:c>
      <x:c r="L907" s="13" t="str">
        <x:f>IF(A907="","",IF(K907&lt;0,"선입금·초과입금",IF(I907=0,"청구 전",IF(K907=0,"정산 완료",IF(J907=0,"미입금","부분 입금")))))</x:f>
      </x:c>
      <x:c r="M907" s="9"/>
      <x:c r="N907" s="9"/>
    </x:row>
    <x:row r="908" ht="23" customHeight="1">
      <x:c r="A908" s="9"/>
      <x:c r="B908" s="10"/>
      <x:c r="C908" s="9"/>
      <x:c r="D908" s="9"/>
      <x:c r="E908" s="9"/>
      <x:c r="F908" s="11"/>
      <x:c r="G908" s="12" t="str">
        <x:f>IF(A908="","",SUMIFS('출고대장'!$D$7:$D$1006,'출고대장'!$A$7:$A$1006,A908))</x:f>
      </x:c>
      <x:c r="H908" s="12" t="str">
        <x:f>IF(A908="","",F908-G908)</x:f>
      </x:c>
      <x:c r="I908" s="12" t="str">
        <x:f>IF(A908="","",SUMIFS('출고대장'!$K$7:$K$1006,'출고대장'!$A$7:$A$1006,A908))</x:f>
      </x:c>
      <x:c r="J908" s="12" t="str">
        <x:f>IF(A908="","",SUMIFS('입금대장'!$C$7:$C$1006,'입금대장'!$A$7:$A$1006,A908,'입금대장'!$E$7:$E$1006,"정상"))</x:f>
      </x:c>
      <x:c r="K908" s="12" t="str">
        <x:f>IF(A908="","",I908-J908)</x:f>
      </x:c>
      <x:c r="L908" s="13" t="str">
        <x:f>IF(A908="","",IF(K908&lt;0,"선입금·초과입금",IF(I908=0,"청구 전",IF(K908=0,"정산 완료",IF(J908=0,"미입금","부분 입금")))))</x:f>
      </x:c>
      <x:c r="M908" s="9"/>
      <x:c r="N908" s="9"/>
    </x:row>
    <x:row r="909" ht="23" customHeight="1">
      <x:c r="A909" s="9"/>
      <x:c r="B909" s="10"/>
      <x:c r="C909" s="9"/>
      <x:c r="D909" s="9"/>
      <x:c r="E909" s="9"/>
      <x:c r="F909" s="11"/>
      <x:c r="G909" s="12" t="str">
        <x:f>IF(A909="","",SUMIFS('출고대장'!$D$7:$D$1006,'출고대장'!$A$7:$A$1006,A909))</x:f>
      </x:c>
      <x:c r="H909" s="12" t="str">
        <x:f>IF(A909="","",F909-G909)</x:f>
      </x:c>
      <x:c r="I909" s="12" t="str">
        <x:f>IF(A909="","",SUMIFS('출고대장'!$K$7:$K$1006,'출고대장'!$A$7:$A$1006,A909))</x:f>
      </x:c>
      <x:c r="J909" s="12" t="str">
        <x:f>IF(A909="","",SUMIFS('입금대장'!$C$7:$C$1006,'입금대장'!$A$7:$A$1006,A909,'입금대장'!$E$7:$E$1006,"정상"))</x:f>
      </x:c>
      <x:c r="K909" s="12" t="str">
        <x:f>IF(A909="","",I909-J909)</x:f>
      </x:c>
      <x:c r="L909" s="13" t="str">
        <x:f>IF(A909="","",IF(K909&lt;0,"선입금·초과입금",IF(I909=0,"청구 전",IF(K909=0,"정산 완료",IF(J909=0,"미입금","부분 입금")))))</x:f>
      </x:c>
      <x:c r="M909" s="9"/>
      <x:c r="N909" s="9"/>
    </x:row>
    <x:row r="910" ht="23" customHeight="1">
      <x:c r="A910" s="9"/>
      <x:c r="B910" s="10"/>
      <x:c r="C910" s="9"/>
      <x:c r="D910" s="9"/>
      <x:c r="E910" s="9"/>
      <x:c r="F910" s="11"/>
      <x:c r="G910" s="12" t="str">
        <x:f>IF(A910="","",SUMIFS('출고대장'!$D$7:$D$1006,'출고대장'!$A$7:$A$1006,A910))</x:f>
      </x:c>
      <x:c r="H910" s="12" t="str">
        <x:f>IF(A910="","",F910-G910)</x:f>
      </x:c>
      <x:c r="I910" s="12" t="str">
        <x:f>IF(A910="","",SUMIFS('출고대장'!$K$7:$K$1006,'출고대장'!$A$7:$A$1006,A910))</x:f>
      </x:c>
      <x:c r="J910" s="12" t="str">
        <x:f>IF(A910="","",SUMIFS('입금대장'!$C$7:$C$1006,'입금대장'!$A$7:$A$1006,A910,'입금대장'!$E$7:$E$1006,"정상"))</x:f>
      </x:c>
      <x:c r="K910" s="12" t="str">
        <x:f>IF(A910="","",I910-J910)</x:f>
      </x:c>
      <x:c r="L910" s="13" t="str">
        <x:f>IF(A910="","",IF(K910&lt;0,"선입금·초과입금",IF(I910=0,"청구 전",IF(K910=0,"정산 완료",IF(J910=0,"미입금","부분 입금")))))</x:f>
      </x:c>
      <x:c r="M910" s="9"/>
      <x:c r="N910" s="9"/>
    </x:row>
    <x:row r="911" ht="23" customHeight="1">
      <x:c r="A911" s="9"/>
      <x:c r="B911" s="10"/>
      <x:c r="C911" s="9"/>
      <x:c r="D911" s="9"/>
      <x:c r="E911" s="9"/>
      <x:c r="F911" s="11"/>
      <x:c r="G911" s="12" t="str">
        <x:f>IF(A911="","",SUMIFS('출고대장'!$D$7:$D$1006,'출고대장'!$A$7:$A$1006,A911))</x:f>
      </x:c>
      <x:c r="H911" s="12" t="str">
        <x:f>IF(A911="","",F911-G911)</x:f>
      </x:c>
      <x:c r="I911" s="12" t="str">
        <x:f>IF(A911="","",SUMIFS('출고대장'!$K$7:$K$1006,'출고대장'!$A$7:$A$1006,A911))</x:f>
      </x:c>
      <x:c r="J911" s="12" t="str">
        <x:f>IF(A911="","",SUMIFS('입금대장'!$C$7:$C$1006,'입금대장'!$A$7:$A$1006,A911,'입금대장'!$E$7:$E$1006,"정상"))</x:f>
      </x:c>
      <x:c r="K911" s="12" t="str">
        <x:f>IF(A911="","",I911-J911)</x:f>
      </x:c>
      <x:c r="L911" s="13" t="str">
        <x:f>IF(A911="","",IF(K911&lt;0,"선입금·초과입금",IF(I911=0,"청구 전",IF(K911=0,"정산 완료",IF(J911=0,"미입금","부분 입금")))))</x:f>
      </x:c>
      <x:c r="M911" s="9"/>
      <x:c r="N911" s="9"/>
    </x:row>
    <x:row r="912" ht="23" customHeight="1">
      <x:c r="A912" s="9"/>
      <x:c r="B912" s="10"/>
      <x:c r="C912" s="9"/>
      <x:c r="D912" s="9"/>
      <x:c r="E912" s="9"/>
      <x:c r="F912" s="11"/>
      <x:c r="G912" s="12" t="str">
        <x:f>IF(A912="","",SUMIFS('출고대장'!$D$7:$D$1006,'출고대장'!$A$7:$A$1006,A912))</x:f>
      </x:c>
      <x:c r="H912" s="12" t="str">
        <x:f>IF(A912="","",F912-G912)</x:f>
      </x:c>
      <x:c r="I912" s="12" t="str">
        <x:f>IF(A912="","",SUMIFS('출고대장'!$K$7:$K$1006,'출고대장'!$A$7:$A$1006,A912))</x:f>
      </x:c>
      <x:c r="J912" s="12" t="str">
        <x:f>IF(A912="","",SUMIFS('입금대장'!$C$7:$C$1006,'입금대장'!$A$7:$A$1006,A912,'입금대장'!$E$7:$E$1006,"정상"))</x:f>
      </x:c>
      <x:c r="K912" s="12" t="str">
        <x:f>IF(A912="","",I912-J912)</x:f>
      </x:c>
      <x:c r="L912" s="13" t="str">
        <x:f>IF(A912="","",IF(K912&lt;0,"선입금·초과입금",IF(I912=0,"청구 전",IF(K912=0,"정산 완료",IF(J912=0,"미입금","부분 입금")))))</x:f>
      </x:c>
      <x:c r="M912" s="9"/>
      <x:c r="N912" s="9"/>
    </x:row>
    <x:row r="913" ht="23" customHeight="1">
      <x:c r="A913" s="9"/>
      <x:c r="B913" s="10"/>
      <x:c r="C913" s="9"/>
      <x:c r="D913" s="9"/>
      <x:c r="E913" s="9"/>
      <x:c r="F913" s="11"/>
      <x:c r="G913" s="12" t="str">
        <x:f>IF(A913="","",SUMIFS('출고대장'!$D$7:$D$1006,'출고대장'!$A$7:$A$1006,A913))</x:f>
      </x:c>
      <x:c r="H913" s="12" t="str">
        <x:f>IF(A913="","",F913-G913)</x:f>
      </x:c>
      <x:c r="I913" s="12" t="str">
        <x:f>IF(A913="","",SUMIFS('출고대장'!$K$7:$K$1006,'출고대장'!$A$7:$A$1006,A913))</x:f>
      </x:c>
      <x:c r="J913" s="12" t="str">
        <x:f>IF(A913="","",SUMIFS('입금대장'!$C$7:$C$1006,'입금대장'!$A$7:$A$1006,A913,'입금대장'!$E$7:$E$1006,"정상"))</x:f>
      </x:c>
      <x:c r="K913" s="12" t="str">
        <x:f>IF(A913="","",I913-J913)</x:f>
      </x:c>
      <x:c r="L913" s="13" t="str">
        <x:f>IF(A913="","",IF(K913&lt;0,"선입금·초과입금",IF(I913=0,"청구 전",IF(K913=0,"정산 완료",IF(J913=0,"미입금","부분 입금")))))</x:f>
      </x:c>
      <x:c r="M913" s="9"/>
      <x:c r="N913" s="9"/>
    </x:row>
    <x:row r="914" ht="23" customHeight="1">
      <x:c r="A914" s="9"/>
      <x:c r="B914" s="10"/>
      <x:c r="C914" s="9"/>
      <x:c r="D914" s="9"/>
      <x:c r="E914" s="9"/>
      <x:c r="F914" s="11"/>
      <x:c r="G914" s="12" t="str">
        <x:f>IF(A914="","",SUMIFS('출고대장'!$D$7:$D$1006,'출고대장'!$A$7:$A$1006,A914))</x:f>
      </x:c>
      <x:c r="H914" s="12" t="str">
        <x:f>IF(A914="","",F914-G914)</x:f>
      </x:c>
      <x:c r="I914" s="12" t="str">
        <x:f>IF(A914="","",SUMIFS('출고대장'!$K$7:$K$1006,'출고대장'!$A$7:$A$1006,A914))</x:f>
      </x:c>
      <x:c r="J914" s="12" t="str">
        <x:f>IF(A914="","",SUMIFS('입금대장'!$C$7:$C$1006,'입금대장'!$A$7:$A$1006,A914,'입금대장'!$E$7:$E$1006,"정상"))</x:f>
      </x:c>
      <x:c r="K914" s="12" t="str">
        <x:f>IF(A914="","",I914-J914)</x:f>
      </x:c>
      <x:c r="L914" s="13" t="str">
        <x:f>IF(A914="","",IF(K914&lt;0,"선입금·초과입금",IF(I914=0,"청구 전",IF(K914=0,"정산 완료",IF(J914=0,"미입금","부분 입금")))))</x:f>
      </x:c>
      <x:c r="M914" s="9"/>
      <x:c r="N914" s="9"/>
    </x:row>
    <x:row r="915" ht="23" customHeight="1">
      <x:c r="A915" s="9"/>
      <x:c r="B915" s="10"/>
      <x:c r="C915" s="9"/>
      <x:c r="D915" s="9"/>
      <x:c r="E915" s="9"/>
      <x:c r="F915" s="11"/>
      <x:c r="G915" s="12" t="str">
        <x:f>IF(A915="","",SUMIFS('출고대장'!$D$7:$D$1006,'출고대장'!$A$7:$A$1006,A915))</x:f>
      </x:c>
      <x:c r="H915" s="12" t="str">
        <x:f>IF(A915="","",F915-G915)</x:f>
      </x:c>
      <x:c r="I915" s="12" t="str">
        <x:f>IF(A915="","",SUMIFS('출고대장'!$K$7:$K$1006,'출고대장'!$A$7:$A$1006,A915))</x:f>
      </x:c>
      <x:c r="J915" s="12" t="str">
        <x:f>IF(A915="","",SUMIFS('입금대장'!$C$7:$C$1006,'입금대장'!$A$7:$A$1006,A915,'입금대장'!$E$7:$E$1006,"정상"))</x:f>
      </x:c>
      <x:c r="K915" s="12" t="str">
        <x:f>IF(A915="","",I915-J915)</x:f>
      </x:c>
      <x:c r="L915" s="13" t="str">
        <x:f>IF(A915="","",IF(K915&lt;0,"선입금·초과입금",IF(I915=0,"청구 전",IF(K915=0,"정산 완료",IF(J915=0,"미입금","부분 입금")))))</x:f>
      </x:c>
      <x:c r="M915" s="9"/>
      <x:c r="N915" s="9"/>
    </x:row>
    <x:row r="916" ht="23" customHeight="1">
      <x:c r="A916" s="9"/>
      <x:c r="B916" s="10"/>
      <x:c r="C916" s="9"/>
      <x:c r="D916" s="9"/>
      <x:c r="E916" s="9"/>
      <x:c r="F916" s="11"/>
      <x:c r="G916" s="12" t="str">
        <x:f>IF(A916="","",SUMIFS('출고대장'!$D$7:$D$1006,'출고대장'!$A$7:$A$1006,A916))</x:f>
      </x:c>
      <x:c r="H916" s="12" t="str">
        <x:f>IF(A916="","",F916-G916)</x:f>
      </x:c>
      <x:c r="I916" s="12" t="str">
        <x:f>IF(A916="","",SUMIFS('출고대장'!$K$7:$K$1006,'출고대장'!$A$7:$A$1006,A916))</x:f>
      </x:c>
      <x:c r="J916" s="12" t="str">
        <x:f>IF(A916="","",SUMIFS('입금대장'!$C$7:$C$1006,'입금대장'!$A$7:$A$1006,A916,'입금대장'!$E$7:$E$1006,"정상"))</x:f>
      </x:c>
      <x:c r="K916" s="12" t="str">
        <x:f>IF(A916="","",I916-J916)</x:f>
      </x:c>
      <x:c r="L916" s="13" t="str">
        <x:f>IF(A916="","",IF(K916&lt;0,"선입금·초과입금",IF(I916=0,"청구 전",IF(K916=0,"정산 완료",IF(J916=0,"미입금","부분 입금")))))</x:f>
      </x:c>
      <x:c r="M916" s="9"/>
      <x:c r="N916" s="9"/>
    </x:row>
    <x:row r="917" ht="23" customHeight="1">
      <x:c r="A917" s="9"/>
      <x:c r="B917" s="10"/>
      <x:c r="C917" s="9"/>
      <x:c r="D917" s="9"/>
      <x:c r="E917" s="9"/>
      <x:c r="F917" s="11"/>
      <x:c r="G917" s="12" t="str">
        <x:f>IF(A917="","",SUMIFS('출고대장'!$D$7:$D$1006,'출고대장'!$A$7:$A$1006,A917))</x:f>
      </x:c>
      <x:c r="H917" s="12" t="str">
        <x:f>IF(A917="","",F917-G917)</x:f>
      </x:c>
      <x:c r="I917" s="12" t="str">
        <x:f>IF(A917="","",SUMIFS('출고대장'!$K$7:$K$1006,'출고대장'!$A$7:$A$1006,A917))</x:f>
      </x:c>
      <x:c r="J917" s="12" t="str">
        <x:f>IF(A917="","",SUMIFS('입금대장'!$C$7:$C$1006,'입금대장'!$A$7:$A$1006,A917,'입금대장'!$E$7:$E$1006,"정상"))</x:f>
      </x:c>
      <x:c r="K917" s="12" t="str">
        <x:f>IF(A917="","",I917-J917)</x:f>
      </x:c>
      <x:c r="L917" s="13" t="str">
        <x:f>IF(A917="","",IF(K917&lt;0,"선입금·초과입금",IF(I917=0,"청구 전",IF(K917=0,"정산 완료",IF(J917=0,"미입금","부분 입금")))))</x:f>
      </x:c>
      <x:c r="M917" s="9"/>
      <x:c r="N917" s="9"/>
    </x:row>
    <x:row r="918" ht="23" customHeight="1">
      <x:c r="A918" s="9"/>
      <x:c r="B918" s="10"/>
      <x:c r="C918" s="9"/>
      <x:c r="D918" s="9"/>
      <x:c r="E918" s="9"/>
      <x:c r="F918" s="11"/>
      <x:c r="G918" s="12" t="str">
        <x:f>IF(A918="","",SUMIFS('출고대장'!$D$7:$D$1006,'출고대장'!$A$7:$A$1006,A918))</x:f>
      </x:c>
      <x:c r="H918" s="12" t="str">
        <x:f>IF(A918="","",F918-G918)</x:f>
      </x:c>
      <x:c r="I918" s="12" t="str">
        <x:f>IF(A918="","",SUMIFS('출고대장'!$K$7:$K$1006,'출고대장'!$A$7:$A$1006,A918))</x:f>
      </x:c>
      <x:c r="J918" s="12" t="str">
        <x:f>IF(A918="","",SUMIFS('입금대장'!$C$7:$C$1006,'입금대장'!$A$7:$A$1006,A918,'입금대장'!$E$7:$E$1006,"정상"))</x:f>
      </x:c>
      <x:c r="K918" s="12" t="str">
        <x:f>IF(A918="","",I918-J918)</x:f>
      </x:c>
      <x:c r="L918" s="13" t="str">
        <x:f>IF(A918="","",IF(K918&lt;0,"선입금·초과입금",IF(I918=0,"청구 전",IF(K918=0,"정산 완료",IF(J918=0,"미입금","부분 입금")))))</x:f>
      </x:c>
      <x:c r="M918" s="9"/>
      <x:c r="N918" s="9"/>
    </x:row>
    <x:row r="919" ht="23" customHeight="1">
      <x:c r="A919" s="9"/>
      <x:c r="B919" s="10"/>
      <x:c r="C919" s="9"/>
      <x:c r="D919" s="9"/>
      <x:c r="E919" s="9"/>
      <x:c r="F919" s="11"/>
      <x:c r="G919" s="12" t="str">
        <x:f>IF(A919="","",SUMIFS('출고대장'!$D$7:$D$1006,'출고대장'!$A$7:$A$1006,A919))</x:f>
      </x:c>
      <x:c r="H919" s="12" t="str">
        <x:f>IF(A919="","",F919-G919)</x:f>
      </x:c>
      <x:c r="I919" s="12" t="str">
        <x:f>IF(A919="","",SUMIFS('출고대장'!$K$7:$K$1006,'출고대장'!$A$7:$A$1006,A919))</x:f>
      </x:c>
      <x:c r="J919" s="12" t="str">
        <x:f>IF(A919="","",SUMIFS('입금대장'!$C$7:$C$1006,'입금대장'!$A$7:$A$1006,A919,'입금대장'!$E$7:$E$1006,"정상"))</x:f>
      </x:c>
      <x:c r="K919" s="12" t="str">
        <x:f>IF(A919="","",I919-J919)</x:f>
      </x:c>
      <x:c r="L919" s="13" t="str">
        <x:f>IF(A919="","",IF(K919&lt;0,"선입금·초과입금",IF(I919=0,"청구 전",IF(K919=0,"정산 완료",IF(J919=0,"미입금","부분 입금")))))</x:f>
      </x:c>
      <x:c r="M919" s="9"/>
      <x:c r="N919" s="9"/>
    </x:row>
    <x:row r="920" ht="23" customHeight="1">
      <x:c r="A920" s="9"/>
      <x:c r="B920" s="10"/>
      <x:c r="C920" s="9"/>
      <x:c r="D920" s="9"/>
      <x:c r="E920" s="9"/>
      <x:c r="F920" s="11"/>
      <x:c r="G920" s="12" t="str">
        <x:f>IF(A920="","",SUMIFS('출고대장'!$D$7:$D$1006,'출고대장'!$A$7:$A$1006,A920))</x:f>
      </x:c>
      <x:c r="H920" s="12" t="str">
        <x:f>IF(A920="","",F920-G920)</x:f>
      </x:c>
      <x:c r="I920" s="12" t="str">
        <x:f>IF(A920="","",SUMIFS('출고대장'!$K$7:$K$1006,'출고대장'!$A$7:$A$1006,A920))</x:f>
      </x:c>
      <x:c r="J920" s="12" t="str">
        <x:f>IF(A920="","",SUMIFS('입금대장'!$C$7:$C$1006,'입금대장'!$A$7:$A$1006,A920,'입금대장'!$E$7:$E$1006,"정상"))</x:f>
      </x:c>
      <x:c r="K920" s="12" t="str">
        <x:f>IF(A920="","",I920-J920)</x:f>
      </x:c>
      <x:c r="L920" s="13" t="str">
        <x:f>IF(A920="","",IF(K920&lt;0,"선입금·초과입금",IF(I920=0,"청구 전",IF(K920=0,"정산 완료",IF(J920=0,"미입금","부분 입금")))))</x:f>
      </x:c>
      <x:c r="M920" s="9"/>
      <x:c r="N920" s="9"/>
    </x:row>
    <x:row r="921" ht="23" customHeight="1">
      <x:c r="A921" s="9"/>
      <x:c r="B921" s="10"/>
      <x:c r="C921" s="9"/>
      <x:c r="D921" s="9"/>
      <x:c r="E921" s="9"/>
      <x:c r="F921" s="11"/>
      <x:c r="G921" s="12" t="str">
        <x:f>IF(A921="","",SUMIFS('출고대장'!$D$7:$D$1006,'출고대장'!$A$7:$A$1006,A921))</x:f>
      </x:c>
      <x:c r="H921" s="12" t="str">
        <x:f>IF(A921="","",F921-G921)</x:f>
      </x:c>
      <x:c r="I921" s="12" t="str">
        <x:f>IF(A921="","",SUMIFS('출고대장'!$K$7:$K$1006,'출고대장'!$A$7:$A$1006,A921))</x:f>
      </x:c>
      <x:c r="J921" s="12" t="str">
        <x:f>IF(A921="","",SUMIFS('입금대장'!$C$7:$C$1006,'입금대장'!$A$7:$A$1006,A921,'입금대장'!$E$7:$E$1006,"정상"))</x:f>
      </x:c>
      <x:c r="K921" s="12" t="str">
        <x:f>IF(A921="","",I921-J921)</x:f>
      </x:c>
      <x:c r="L921" s="13" t="str">
        <x:f>IF(A921="","",IF(K921&lt;0,"선입금·초과입금",IF(I921=0,"청구 전",IF(K921=0,"정산 완료",IF(J921=0,"미입금","부분 입금")))))</x:f>
      </x:c>
      <x:c r="M921" s="9"/>
      <x:c r="N921" s="9"/>
    </x:row>
    <x:row r="922" ht="23" customHeight="1">
      <x:c r="A922" s="9"/>
      <x:c r="B922" s="10"/>
      <x:c r="C922" s="9"/>
      <x:c r="D922" s="9"/>
      <x:c r="E922" s="9"/>
      <x:c r="F922" s="11"/>
      <x:c r="G922" s="12" t="str">
        <x:f>IF(A922="","",SUMIFS('출고대장'!$D$7:$D$1006,'출고대장'!$A$7:$A$1006,A922))</x:f>
      </x:c>
      <x:c r="H922" s="12" t="str">
        <x:f>IF(A922="","",F922-G922)</x:f>
      </x:c>
      <x:c r="I922" s="12" t="str">
        <x:f>IF(A922="","",SUMIFS('출고대장'!$K$7:$K$1006,'출고대장'!$A$7:$A$1006,A922))</x:f>
      </x:c>
      <x:c r="J922" s="12" t="str">
        <x:f>IF(A922="","",SUMIFS('입금대장'!$C$7:$C$1006,'입금대장'!$A$7:$A$1006,A922,'입금대장'!$E$7:$E$1006,"정상"))</x:f>
      </x:c>
      <x:c r="K922" s="12" t="str">
        <x:f>IF(A922="","",I922-J922)</x:f>
      </x:c>
      <x:c r="L922" s="13" t="str">
        <x:f>IF(A922="","",IF(K922&lt;0,"선입금·초과입금",IF(I922=0,"청구 전",IF(K922=0,"정산 완료",IF(J922=0,"미입금","부분 입금")))))</x:f>
      </x:c>
      <x:c r="M922" s="9"/>
      <x:c r="N922" s="9"/>
    </x:row>
    <x:row r="923" ht="23" customHeight="1">
      <x:c r="A923" s="9"/>
      <x:c r="B923" s="10"/>
      <x:c r="C923" s="9"/>
      <x:c r="D923" s="9"/>
      <x:c r="E923" s="9"/>
      <x:c r="F923" s="11"/>
      <x:c r="G923" s="12" t="str">
        <x:f>IF(A923="","",SUMIFS('출고대장'!$D$7:$D$1006,'출고대장'!$A$7:$A$1006,A923))</x:f>
      </x:c>
      <x:c r="H923" s="12" t="str">
        <x:f>IF(A923="","",F923-G923)</x:f>
      </x:c>
      <x:c r="I923" s="12" t="str">
        <x:f>IF(A923="","",SUMIFS('출고대장'!$K$7:$K$1006,'출고대장'!$A$7:$A$1006,A923))</x:f>
      </x:c>
      <x:c r="J923" s="12" t="str">
        <x:f>IF(A923="","",SUMIFS('입금대장'!$C$7:$C$1006,'입금대장'!$A$7:$A$1006,A923,'입금대장'!$E$7:$E$1006,"정상"))</x:f>
      </x:c>
      <x:c r="K923" s="12" t="str">
        <x:f>IF(A923="","",I923-J923)</x:f>
      </x:c>
      <x:c r="L923" s="13" t="str">
        <x:f>IF(A923="","",IF(K923&lt;0,"선입금·초과입금",IF(I923=0,"청구 전",IF(K923=0,"정산 완료",IF(J923=0,"미입금","부분 입금")))))</x:f>
      </x:c>
      <x:c r="M923" s="9"/>
      <x:c r="N923" s="9"/>
    </x:row>
    <x:row r="924" ht="23" customHeight="1">
      <x:c r="A924" s="9"/>
      <x:c r="B924" s="10"/>
      <x:c r="C924" s="9"/>
      <x:c r="D924" s="9"/>
      <x:c r="E924" s="9"/>
      <x:c r="F924" s="11"/>
      <x:c r="G924" s="12" t="str">
        <x:f>IF(A924="","",SUMIFS('출고대장'!$D$7:$D$1006,'출고대장'!$A$7:$A$1006,A924))</x:f>
      </x:c>
      <x:c r="H924" s="12" t="str">
        <x:f>IF(A924="","",F924-G924)</x:f>
      </x:c>
      <x:c r="I924" s="12" t="str">
        <x:f>IF(A924="","",SUMIFS('출고대장'!$K$7:$K$1006,'출고대장'!$A$7:$A$1006,A924))</x:f>
      </x:c>
      <x:c r="J924" s="12" t="str">
        <x:f>IF(A924="","",SUMIFS('입금대장'!$C$7:$C$1006,'입금대장'!$A$7:$A$1006,A924,'입금대장'!$E$7:$E$1006,"정상"))</x:f>
      </x:c>
      <x:c r="K924" s="12" t="str">
        <x:f>IF(A924="","",I924-J924)</x:f>
      </x:c>
      <x:c r="L924" s="13" t="str">
        <x:f>IF(A924="","",IF(K924&lt;0,"선입금·초과입금",IF(I924=0,"청구 전",IF(K924=0,"정산 완료",IF(J924=0,"미입금","부분 입금")))))</x:f>
      </x:c>
      <x:c r="M924" s="9"/>
      <x:c r="N924" s="9"/>
    </x:row>
    <x:row r="925" ht="23" customHeight="1">
      <x:c r="A925" s="9"/>
      <x:c r="B925" s="10"/>
      <x:c r="C925" s="9"/>
      <x:c r="D925" s="9"/>
      <x:c r="E925" s="9"/>
      <x:c r="F925" s="11"/>
      <x:c r="G925" s="12" t="str">
        <x:f>IF(A925="","",SUMIFS('출고대장'!$D$7:$D$1006,'출고대장'!$A$7:$A$1006,A925))</x:f>
      </x:c>
      <x:c r="H925" s="12" t="str">
        <x:f>IF(A925="","",F925-G925)</x:f>
      </x:c>
      <x:c r="I925" s="12" t="str">
        <x:f>IF(A925="","",SUMIFS('출고대장'!$K$7:$K$1006,'출고대장'!$A$7:$A$1006,A925))</x:f>
      </x:c>
      <x:c r="J925" s="12" t="str">
        <x:f>IF(A925="","",SUMIFS('입금대장'!$C$7:$C$1006,'입금대장'!$A$7:$A$1006,A925,'입금대장'!$E$7:$E$1006,"정상"))</x:f>
      </x:c>
      <x:c r="K925" s="12" t="str">
        <x:f>IF(A925="","",I925-J925)</x:f>
      </x:c>
      <x:c r="L925" s="13" t="str">
        <x:f>IF(A925="","",IF(K925&lt;0,"선입금·초과입금",IF(I925=0,"청구 전",IF(K925=0,"정산 완료",IF(J925=0,"미입금","부분 입금")))))</x:f>
      </x:c>
      <x:c r="M925" s="9"/>
      <x:c r="N925" s="9"/>
    </x:row>
    <x:row r="926" ht="23" customHeight="1">
      <x:c r="A926" s="9"/>
      <x:c r="B926" s="10"/>
      <x:c r="C926" s="9"/>
      <x:c r="D926" s="9"/>
      <x:c r="E926" s="9"/>
      <x:c r="F926" s="11"/>
      <x:c r="G926" s="12" t="str">
        <x:f>IF(A926="","",SUMIFS('출고대장'!$D$7:$D$1006,'출고대장'!$A$7:$A$1006,A926))</x:f>
      </x:c>
      <x:c r="H926" s="12" t="str">
        <x:f>IF(A926="","",F926-G926)</x:f>
      </x:c>
      <x:c r="I926" s="12" t="str">
        <x:f>IF(A926="","",SUMIFS('출고대장'!$K$7:$K$1006,'출고대장'!$A$7:$A$1006,A926))</x:f>
      </x:c>
      <x:c r="J926" s="12" t="str">
        <x:f>IF(A926="","",SUMIFS('입금대장'!$C$7:$C$1006,'입금대장'!$A$7:$A$1006,A926,'입금대장'!$E$7:$E$1006,"정상"))</x:f>
      </x:c>
      <x:c r="K926" s="12" t="str">
        <x:f>IF(A926="","",I926-J926)</x:f>
      </x:c>
      <x:c r="L926" s="13" t="str">
        <x:f>IF(A926="","",IF(K926&lt;0,"선입금·초과입금",IF(I926=0,"청구 전",IF(K926=0,"정산 완료",IF(J926=0,"미입금","부분 입금")))))</x:f>
      </x:c>
      <x:c r="M926" s="9"/>
      <x:c r="N926" s="9"/>
    </x:row>
    <x:row r="927" ht="23" customHeight="1">
      <x:c r="A927" s="9"/>
      <x:c r="B927" s="10"/>
      <x:c r="C927" s="9"/>
      <x:c r="D927" s="9"/>
      <x:c r="E927" s="9"/>
      <x:c r="F927" s="11"/>
      <x:c r="G927" s="12" t="str">
        <x:f>IF(A927="","",SUMIFS('출고대장'!$D$7:$D$1006,'출고대장'!$A$7:$A$1006,A927))</x:f>
      </x:c>
      <x:c r="H927" s="12" t="str">
        <x:f>IF(A927="","",F927-G927)</x:f>
      </x:c>
      <x:c r="I927" s="12" t="str">
        <x:f>IF(A927="","",SUMIFS('출고대장'!$K$7:$K$1006,'출고대장'!$A$7:$A$1006,A927))</x:f>
      </x:c>
      <x:c r="J927" s="12" t="str">
        <x:f>IF(A927="","",SUMIFS('입금대장'!$C$7:$C$1006,'입금대장'!$A$7:$A$1006,A927,'입금대장'!$E$7:$E$1006,"정상"))</x:f>
      </x:c>
      <x:c r="K927" s="12" t="str">
        <x:f>IF(A927="","",I927-J927)</x:f>
      </x:c>
      <x:c r="L927" s="13" t="str">
        <x:f>IF(A927="","",IF(K927&lt;0,"선입금·초과입금",IF(I927=0,"청구 전",IF(K927=0,"정산 완료",IF(J927=0,"미입금","부분 입금")))))</x:f>
      </x:c>
      <x:c r="M927" s="9"/>
      <x:c r="N927" s="9"/>
    </x:row>
    <x:row r="928" ht="23" customHeight="1">
      <x:c r="A928" s="9"/>
      <x:c r="B928" s="10"/>
      <x:c r="C928" s="9"/>
      <x:c r="D928" s="9"/>
      <x:c r="E928" s="9"/>
      <x:c r="F928" s="11"/>
      <x:c r="G928" s="12" t="str">
        <x:f>IF(A928="","",SUMIFS('출고대장'!$D$7:$D$1006,'출고대장'!$A$7:$A$1006,A928))</x:f>
      </x:c>
      <x:c r="H928" s="12" t="str">
        <x:f>IF(A928="","",F928-G928)</x:f>
      </x:c>
      <x:c r="I928" s="12" t="str">
        <x:f>IF(A928="","",SUMIFS('출고대장'!$K$7:$K$1006,'출고대장'!$A$7:$A$1006,A928))</x:f>
      </x:c>
      <x:c r="J928" s="12" t="str">
        <x:f>IF(A928="","",SUMIFS('입금대장'!$C$7:$C$1006,'입금대장'!$A$7:$A$1006,A928,'입금대장'!$E$7:$E$1006,"정상"))</x:f>
      </x:c>
      <x:c r="K928" s="12" t="str">
        <x:f>IF(A928="","",I928-J928)</x:f>
      </x:c>
      <x:c r="L928" s="13" t="str">
        <x:f>IF(A928="","",IF(K928&lt;0,"선입금·초과입금",IF(I928=0,"청구 전",IF(K928=0,"정산 완료",IF(J928=0,"미입금","부분 입금")))))</x:f>
      </x:c>
      <x:c r="M928" s="9"/>
      <x:c r="N928" s="9"/>
    </x:row>
    <x:row r="929" ht="23" customHeight="1">
      <x:c r="A929" s="9"/>
      <x:c r="B929" s="10"/>
      <x:c r="C929" s="9"/>
      <x:c r="D929" s="9"/>
      <x:c r="E929" s="9"/>
      <x:c r="F929" s="11"/>
      <x:c r="G929" s="12" t="str">
        <x:f>IF(A929="","",SUMIFS('출고대장'!$D$7:$D$1006,'출고대장'!$A$7:$A$1006,A929))</x:f>
      </x:c>
      <x:c r="H929" s="12" t="str">
        <x:f>IF(A929="","",F929-G929)</x:f>
      </x:c>
      <x:c r="I929" s="12" t="str">
        <x:f>IF(A929="","",SUMIFS('출고대장'!$K$7:$K$1006,'출고대장'!$A$7:$A$1006,A929))</x:f>
      </x:c>
      <x:c r="J929" s="12" t="str">
        <x:f>IF(A929="","",SUMIFS('입금대장'!$C$7:$C$1006,'입금대장'!$A$7:$A$1006,A929,'입금대장'!$E$7:$E$1006,"정상"))</x:f>
      </x:c>
      <x:c r="K929" s="12" t="str">
        <x:f>IF(A929="","",I929-J929)</x:f>
      </x:c>
      <x:c r="L929" s="13" t="str">
        <x:f>IF(A929="","",IF(K929&lt;0,"선입금·초과입금",IF(I929=0,"청구 전",IF(K929=0,"정산 완료",IF(J929=0,"미입금","부분 입금")))))</x:f>
      </x:c>
      <x:c r="M929" s="9"/>
      <x:c r="N929" s="9"/>
    </x:row>
    <x:row r="930" ht="23" customHeight="1">
      <x:c r="A930" s="9"/>
      <x:c r="B930" s="10"/>
      <x:c r="C930" s="9"/>
      <x:c r="D930" s="9"/>
      <x:c r="E930" s="9"/>
      <x:c r="F930" s="11"/>
      <x:c r="G930" s="12" t="str">
        <x:f>IF(A930="","",SUMIFS('출고대장'!$D$7:$D$1006,'출고대장'!$A$7:$A$1006,A930))</x:f>
      </x:c>
      <x:c r="H930" s="12" t="str">
        <x:f>IF(A930="","",F930-G930)</x:f>
      </x:c>
      <x:c r="I930" s="12" t="str">
        <x:f>IF(A930="","",SUMIFS('출고대장'!$K$7:$K$1006,'출고대장'!$A$7:$A$1006,A930))</x:f>
      </x:c>
      <x:c r="J930" s="12" t="str">
        <x:f>IF(A930="","",SUMIFS('입금대장'!$C$7:$C$1006,'입금대장'!$A$7:$A$1006,A930,'입금대장'!$E$7:$E$1006,"정상"))</x:f>
      </x:c>
      <x:c r="K930" s="12" t="str">
        <x:f>IF(A930="","",I930-J930)</x:f>
      </x:c>
      <x:c r="L930" s="13" t="str">
        <x:f>IF(A930="","",IF(K930&lt;0,"선입금·초과입금",IF(I930=0,"청구 전",IF(K930=0,"정산 완료",IF(J930=0,"미입금","부분 입금")))))</x:f>
      </x:c>
      <x:c r="M930" s="9"/>
      <x:c r="N930" s="9"/>
    </x:row>
    <x:row r="931" ht="23" customHeight="1">
      <x:c r="A931" s="9"/>
      <x:c r="B931" s="10"/>
      <x:c r="C931" s="9"/>
      <x:c r="D931" s="9"/>
      <x:c r="E931" s="9"/>
      <x:c r="F931" s="11"/>
      <x:c r="G931" s="12" t="str">
        <x:f>IF(A931="","",SUMIFS('출고대장'!$D$7:$D$1006,'출고대장'!$A$7:$A$1006,A931))</x:f>
      </x:c>
      <x:c r="H931" s="12" t="str">
        <x:f>IF(A931="","",F931-G931)</x:f>
      </x:c>
      <x:c r="I931" s="12" t="str">
        <x:f>IF(A931="","",SUMIFS('출고대장'!$K$7:$K$1006,'출고대장'!$A$7:$A$1006,A931))</x:f>
      </x:c>
      <x:c r="J931" s="12" t="str">
        <x:f>IF(A931="","",SUMIFS('입금대장'!$C$7:$C$1006,'입금대장'!$A$7:$A$1006,A931,'입금대장'!$E$7:$E$1006,"정상"))</x:f>
      </x:c>
      <x:c r="K931" s="12" t="str">
        <x:f>IF(A931="","",I931-J931)</x:f>
      </x:c>
      <x:c r="L931" s="13" t="str">
        <x:f>IF(A931="","",IF(K931&lt;0,"선입금·초과입금",IF(I931=0,"청구 전",IF(K931=0,"정산 완료",IF(J931=0,"미입금","부분 입금")))))</x:f>
      </x:c>
      <x:c r="M931" s="9"/>
      <x:c r="N931" s="9"/>
    </x:row>
    <x:row r="932" ht="23" customHeight="1">
      <x:c r="A932" s="9"/>
      <x:c r="B932" s="10"/>
      <x:c r="C932" s="9"/>
      <x:c r="D932" s="9"/>
      <x:c r="E932" s="9"/>
      <x:c r="F932" s="11"/>
      <x:c r="G932" s="12" t="str">
        <x:f>IF(A932="","",SUMIFS('출고대장'!$D$7:$D$1006,'출고대장'!$A$7:$A$1006,A932))</x:f>
      </x:c>
      <x:c r="H932" s="12" t="str">
        <x:f>IF(A932="","",F932-G932)</x:f>
      </x:c>
      <x:c r="I932" s="12" t="str">
        <x:f>IF(A932="","",SUMIFS('출고대장'!$K$7:$K$1006,'출고대장'!$A$7:$A$1006,A932))</x:f>
      </x:c>
      <x:c r="J932" s="12" t="str">
        <x:f>IF(A932="","",SUMIFS('입금대장'!$C$7:$C$1006,'입금대장'!$A$7:$A$1006,A932,'입금대장'!$E$7:$E$1006,"정상"))</x:f>
      </x:c>
      <x:c r="K932" s="12" t="str">
        <x:f>IF(A932="","",I932-J932)</x:f>
      </x:c>
      <x:c r="L932" s="13" t="str">
        <x:f>IF(A932="","",IF(K932&lt;0,"선입금·초과입금",IF(I932=0,"청구 전",IF(K932=0,"정산 완료",IF(J932=0,"미입금","부분 입금")))))</x:f>
      </x:c>
      <x:c r="M932" s="9"/>
      <x:c r="N932" s="9"/>
    </x:row>
    <x:row r="933" ht="23" customHeight="1">
      <x:c r="A933" s="9"/>
      <x:c r="B933" s="10"/>
      <x:c r="C933" s="9"/>
      <x:c r="D933" s="9"/>
      <x:c r="E933" s="9"/>
      <x:c r="F933" s="11"/>
      <x:c r="G933" s="12" t="str">
        <x:f>IF(A933="","",SUMIFS('출고대장'!$D$7:$D$1006,'출고대장'!$A$7:$A$1006,A933))</x:f>
      </x:c>
      <x:c r="H933" s="12" t="str">
        <x:f>IF(A933="","",F933-G933)</x:f>
      </x:c>
      <x:c r="I933" s="12" t="str">
        <x:f>IF(A933="","",SUMIFS('출고대장'!$K$7:$K$1006,'출고대장'!$A$7:$A$1006,A933))</x:f>
      </x:c>
      <x:c r="J933" s="12" t="str">
        <x:f>IF(A933="","",SUMIFS('입금대장'!$C$7:$C$1006,'입금대장'!$A$7:$A$1006,A933,'입금대장'!$E$7:$E$1006,"정상"))</x:f>
      </x:c>
      <x:c r="K933" s="12" t="str">
        <x:f>IF(A933="","",I933-J933)</x:f>
      </x:c>
      <x:c r="L933" s="13" t="str">
        <x:f>IF(A933="","",IF(K933&lt;0,"선입금·초과입금",IF(I933=0,"청구 전",IF(K933=0,"정산 완료",IF(J933=0,"미입금","부분 입금")))))</x:f>
      </x:c>
      <x:c r="M933" s="9"/>
      <x:c r="N933" s="9"/>
    </x:row>
    <x:row r="934" ht="23" customHeight="1">
      <x:c r="A934" s="9"/>
      <x:c r="B934" s="10"/>
      <x:c r="C934" s="9"/>
      <x:c r="D934" s="9"/>
      <x:c r="E934" s="9"/>
      <x:c r="F934" s="11"/>
      <x:c r="G934" s="12" t="str">
        <x:f>IF(A934="","",SUMIFS('출고대장'!$D$7:$D$1006,'출고대장'!$A$7:$A$1006,A934))</x:f>
      </x:c>
      <x:c r="H934" s="12" t="str">
        <x:f>IF(A934="","",F934-G934)</x:f>
      </x:c>
      <x:c r="I934" s="12" t="str">
        <x:f>IF(A934="","",SUMIFS('출고대장'!$K$7:$K$1006,'출고대장'!$A$7:$A$1006,A934))</x:f>
      </x:c>
      <x:c r="J934" s="12" t="str">
        <x:f>IF(A934="","",SUMIFS('입금대장'!$C$7:$C$1006,'입금대장'!$A$7:$A$1006,A934,'입금대장'!$E$7:$E$1006,"정상"))</x:f>
      </x:c>
      <x:c r="K934" s="12" t="str">
        <x:f>IF(A934="","",I934-J934)</x:f>
      </x:c>
      <x:c r="L934" s="13" t="str">
        <x:f>IF(A934="","",IF(K934&lt;0,"선입금·초과입금",IF(I934=0,"청구 전",IF(K934=0,"정산 완료",IF(J934=0,"미입금","부분 입금")))))</x:f>
      </x:c>
      <x:c r="M934" s="9"/>
      <x:c r="N934" s="9"/>
    </x:row>
    <x:row r="935" ht="23" customHeight="1">
      <x:c r="A935" s="9"/>
      <x:c r="B935" s="10"/>
      <x:c r="C935" s="9"/>
      <x:c r="D935" s="9"/>
      <x:c r="E935" s="9"/>
      <x:c r="F935" s="11"/>
      <x:c r="G935" s="12" t="str">
        <x:f>IF(A935="","",SUMIFS('출고대장'!$D$7:$D$1006,'출고대장'!$A$7:$A$1006,A935))</x:f>
      </x:c>
      <x:c r="H935" s="12" t="str">
        <x:f>IF(A935="","",F935-G935)</x:f>
      </x:c>
      <x:c r="I935" s="12" t="str">
        <x:f>IF(A935="","",SUMIFS('출고대장'!$K$7:$K$1006,'출고대장'!$A$7:$A$1006,A935))</x:f>
      </x:c>
      <x:c r="J935" s="12" t="str">
        <x:f>IF(A935="","",SUMIFS('입금대장'!$C$7:$C$1006,'입금대장'!$A$7:$A$1006,A935,'입금대장'!$E$7:$E$1006,"정상"))</x:f>
      </x:c>
      <x:c r="K935" s="12" t="str">
        <x:f>IF(A935="","",I935-J935)</x:f>
      </x:c>
      <x:c r="L935" s="13" t="str">
        <x:f>IF(A935="","",IF(K935&lt;0,"선입금·초과입금",IF(I935=0,"청구 전",IF(K935=0,"정산 완료",IF(J935=0,"미입금","부분 입금")))))</x:f>
      </x:c>
      <x:c r="M935" s="9"/>
      <x:c r="N935" s="9"/>
    </x:row>
    <x:row r="936" ht="23" customHeight="1">
      <x:c r="A936" s="9"/>
      <x:c r="B936" s="10"/>
      <x:c r="C936" s="9"/>
      <x:c r="D936" s="9"/>
      <x:c r="E936" s="9"/>
      <x:c r="F936" s="11"/>
      <x:c r="G936" s="12" t="str">
        <x:f>IF(A936="","",SUMIFS('출고대장'!$D$7:$D$1006,'출고대장'!$A$7:$A$1006,A936))</x:f>
      </x:c>
      <x:c r="H936" s="12" t="str">
        <x:f>IF(A936="","",F936-G936)</x:f>
      </x:c>
      <x:c r="I936" s="12" t="str">
        <x:f>IF(A936="","",SUMIFS('출고대장'!$K$7:$K$1006,'출고대장'!$A$7:$A$1006,A936))</x:f>
      </x:c>
      <x:c r="J936" s="12" t="str">
        <x:f>IF(A936="","",SUMIFS('입금대장'!$C$7:$C$1006,'입금대장'!$A$7:$A$1006,A936,'입금대장'!$E$7:$E$1006,"정상"))</x:f>
      </x:c>
      <x:c r="K936" s="12" t="str">
        <x:f>IF(A936="","",I936-J936)</x:f>
      </x:c>
      <x:c r="L936" s="13" t="str">
        <x:f>IF(A936="","",IF(K936&lt;0,"선입금·초과입금",IF(I936=0,"청구 전",IF(K936=0,"정산 완료",IF(J936=0,"미입금","부분 입금")))))</x:f>
      </x:c>
      <x:c r="M936" s="9"/>
      <x:c r="N936" s="9"/>
    </x:row>
    <x:row r="937" ht="23" customHeight="1">
      <x:c r="A937" s="9"/>
      <x:c r="B937" s="10"/>
      <x:c r="C937" s="9"/>
      <x:c r="D937" s="9"/>
      <x:c r="E937" s="9"/>
      <x:c r="F937" s="11"/>
      <x:c r="G937" s="12" t="str">
        <x:f>IF(A937="","",SUMIFS('출고대장'!$D$7:$D$1006,'출고대장'!$A$7:$A$1006,A937))</x:f>
      </x:c>
      <x:c r="H937" s="12" t="str">
        <x:f>IF(A937="","",F937-G937)</x:f>
      </x:c>
      <x:c r="I937" s="12" t="str">
        <x:f>IF(A937="","",SUMIFS('출고대장'!$K$7:$K$1006,'출고대장'!$A$7:$A$1006,A937))</x:f>
      </x:c>
      <x:c r="J937" s="12" t="str">
        <x:f>IF(A937="","",SUMIFS('입금대장'!$C$7:$C$1006,'입금대장'!$A$7:$A$1006,A937,'입금대장'!$E$7:$E$1006,"정상"))</x:f>
      </x:c>
      <x:c r="K937" s="12" t="str">
        <x:f>IF(A937="","",I937-J937)</x:f>
      </x:c>
      <x:c r="L937" s="13" t="str">
        <x:f>IF(A937="","",IF(K937&lt;0,"선입금·초과입금",IF(I937=0,"청구 전",IF(K937=0,"정산 완료",IF(J937=0,"미입금","부분 입금")))))</x:f>
      </x:c>
      <x:c r="M937" s="9"/>
      <x:c r="N937" s="9"/>
    </x:row>
    <x:row r="938" ht="23" customHeight="1">
      <x:c r="A938" s="9"/>
      <x:c r="B938" s="10"/>
      <x:c r="C938" s="9"/>
      <x:c r="D938" s="9"/>
      <x:c r="E938" s="9"/>
      <x:c r="F938" s="11"/>
      <x:c r="G938" s="12" t="str">
        <x:f>IF(A938="","",SUMIFS('출고대장'!$D$7:$D$1006,'출고대장'!$A$7:$A$1006,A938))</x:f>
      </x:c>
      <x:c r="H938" s="12" t="str">
        <x:f>IF(A938="","",F938-G938)</x:f>
      </x:c>
      <x:c r="I938" s="12" t="str">
        <x:f>IF(A938="","",SUMIFS('출고대장'!$K$7:$K$1006,'출고대장'!$A$7:$A$1006,A938))</x:f>
      </x:c>
      <x:c r="J938" s="12" t="str">
        <x:f>IF(A938="","",SUMIFS('입금대장'!$C$7:$C$1006,'입금대장'!$A$7:$A$1006,A938,'입금대장'!$E$7:$E$1006,"정상"))</x:f>
      </x:c>
      <x:c r="K938" s="12" t="str">
        <x:f>IF(A938="","",I938-J938)</x:f>
      </x:c>
      <x:c r="L938" s="13" t="str">
        <x:f>IF(A938="","",IF(K938&lt;0,"선입금·초과입금",IF(I938=0,"청구 전",IF(K938=0,"정산 완료",IF(J938=0,"미입금","부분 입금")))))</x:f>
      </x:c>
      <x:c r="M938" s="9"/>
      <x:c r="N938" s="9"/>
    </x:row>
    <x:row r="939" ht="23" customHeight="1">
      <x:c r="A939" s="9"/>
      <x:c r="B939" s="10"/>
      <x:c r="C939" s="9"/>
      <x:c r="D939" s="9"/>
      <x:c r="E939" s="9"/>
      <x:c r="F939" s="11"/>
      <x:c r="G939" s="12" t="str">
        <x:f>IF(A939="","",SUMIFS('출고대장'!$D$7:$D$1006,'출고대장'!$A$7:$A$1006,A939))</x:f>
      </x:c>
      <x:c r="H939" s="12" t="str">
        <x:f>IF(A939="","",F939-G939)</x:f>
      </x:c>
      <x:c r="I939" s="12" t="str">
        <x:f>IF(A939="","",SUMIFS('출고대장'!$K$7:$K$1006,'출고대장'!$A$7:$A$1006,A939))</x:f>
      </x:c>
      <x:c r="J939" s="12" t="str">
        <x:f>IF(A939="","",SUMIFS('입금대장'!$C$7:$C$1006,'입금대장'!$A$7:$A$1006,A939,'입금대장'!$E$7:$E$1006,"정상"))</x:f>
      </x:c>
      <x:c r="K939" s="12" t="str">
        <x:f>IF(A939="","",I939-J939)</x:f>
      </x:c>
      <x:c r="L939" s="13" t="str">
        <x:f>IF(A939="","",IF(K939&lt;0,"선입금·초과입금",IF(I939=0,"청구 전",IF(K939=0,"정산 완료",IF(J939=0,"미입금","부분 입금")))))</x:f>
      </x:c>
      <x:c r="M939" s="9"/>
      <x:c r="N939" s="9"/>
    </x:row>
    <x:row r="940" ht="23" customHeight="1">
      <x:c r="A940" s="9"/>
      <x:c r="B940" s="10"/>
      <x:c r="C940" s="9"/>
      <x:c r="D940" s="9"/>
      <x:c r="E940" s="9"/>
      <x:c r="F940" s="11"/>
      <x:c r="G940" s="12" t="str">
        <x:f>IF(A940="","",SUMIFS('출고대장'!$D$7:$D$1006,'출고대장'!$A$7:$A$1006,A940))</x:f>
      </x:c>
      <x:c r="H940" s="12" t="str">
        <x:f>IF(A940="","",F940-G940)</x:f>
      </x:c>
      <x:c r="I940" s="12" t="str">
        <x:f>IF(A940="","",SUMIFS('출고대장'!$K$7:$K$1006,'출고대장'!$A$7:$A$1006,A940))</x:f>
      </x:c>
      <x:c r="J940" s="12" t="str">
        <x:f>IF(A940="","",SUMIFS('입금대장'!$C$7:$C$1006,'입금대장'!$A$7:$A$1006,A940,'입금대장'!$E$7:$E$1006,"정상"))</x:f>
      </x:c>
      <x:c r="K940" s="12" t="str">
        <x:f>IF(A940="","",I940-J940)</x:f>
      </x:c>
      <x:c r="L940" s="13" t="str">
        <x:f>IF(A940="","",IF(K940&lt;0,"선입금·초과입금",IF(I940=0,"청구 전",IF(K940=0,"정산 완료",IF(J940=0,"미입금","부분 입금")))))</x:f>
      </x:c>
      <x:c r="M940" s="9"/>
      <x:c r="N940" s="9"/>
    </x:row>
    <x:row r="941" ht="23" customHeight="1">
      <x:c r="A941" s="9"/>
      <x:c r="B941" s="10"/>
      <x:c r="C941" s="9"/>
      <x:c r="D941" s="9"/>
      <x:c r="E941" s="9"/>
      <x:c r="F941" s="11"/>
      <x:c r="G941" s="12" t="str">
        <x:f>IF(A941="","",SUMIFS('출고대장'!$D$7:$D$1006,'출고대장'!$A$7:$A$1006,A941))</x:f>
      </x:c>
      <x:c r="H941" s="12" t="str">
        <x:f>IF(A941="","",F941-G941)</x:f>
      </x:c>
      <x:c r="I941" s="12" t="str">
        <x:f>IF(A941="","",SUMIFS('출고대장'!$K$7:$K$1006,'출고대장'!$A$7:$A$1006,A941))</x:f>
      </x:c>
      <x:c r="J941" s="12" t="str">
        <x:f>IF(A941="","",SUMIFS('입금대장'!$C$7:$C$1006,'입금대장'!$A$7:$A$1006,A941,'입금대장'!$E$7:$E$1006,"정상"))</x:f>
      </x:c>
      <x:c r="K941" s="12" t="str">
        <x:f>IF(A941="","",I941-J941)</x:f>
      </x:c>
      <x:c r="L941" s="13" t="str">
        <x:f>IF(A941="","",IF(K941&lt;0,"선입금·초과입금",IF(I941=0,"청구 전",IF(K941=0,"정산 완료",IF(J941=0,"미입금","부분 입금")))))</x:f>
      </x:c>
      <x:c r="M941" s="9"/>
      <x:c r="N941" s="9"/>
    </x:row>
    <x:row r="942" ht="23" customHeight="1">
      <x:c r="A942" s="9"/>
      <x:c r="B942" s="10"/>
      <x:c r="C942" s="9"/>
      <x:c r="D942" s="9"/>
      <x:c r="E942" s="9"/>
      <x:c r="F942" s="11"/>
      <x:c r="G942" s="12" t="str">
        <x:f>IF(A942="","",SUMIFS('출고대장'!$D$7:$D$1006,'출고대장'!$A$7:$A$1006,A942))</x:f>
      </x:c>
      <x:c r="H942" s="12" t="str">
        <x:f>IF(A942="","",F942-G942)</x:f>
      </x:c>
      <x:c r="I942" s="12" t="str">
        <x:f>IF(A942="","",SUMIFS('출고대장'!$K$7:$K$1006,'출고대장'!$A$7:$A$1006,A942))</x:f>
      </x:c>
      <x:c r="J942" s="12" t="str">
        <x:f>IF(A942="","",SUMIFS('입금대장'!$C$7:$C$1006,'입금대장'!$A$7:$A$1006,A942,'입금대장'!$E$7:$E$1006,"정상"))</x:f>
      </x:c>
      <x:c r="K942" s="12" t="str">
        <x:f>IF(A942="","",I942-J942)</x:f>
      </x:c>
      <x:c r="L942" s="13" t="str">
        <x:f>IF(A942="","",IF(K942&lt;0,"선입금·초과입금",IF(I942=0,"청구 전",IF(K942=0,"정산 완료",IF(J942=0,"미입금","부분 입금")))))</x:f>
      </x:c>
      <x:c r="M942" s="9"/>
      <x:c r="N942" s="9"/>
    </x:row>
    <x:row r="943" ht="23" customHeight="1">
      <x:c r="A943" s="9"/>
      <x:c r="B943" s="10"/>
      <x:c r="C943" s="9"/>
      <x:c r="D943" s="9"/>
      <x:c r="E943" s="9"/>
      <x:c r="F943" s="11"/>
      <x:c r="G943" s="12" t="str">
        <x:f>IF(A943="","",SUMIFS('출고대장'!$D$7:$D$1006,'출고대장'!$A$7:$A$1006,A943))</x:f>
      </x:c>
      <x:c r="H943" s="12" t="str">
        <x:f>IF(A943="","",F943-G943)</x:f>
      </x:c>
      <x:c r="I943" s="12" t="str">
        <x:f>IF(A943="","",SUMIFS('출고대장'!$K$7:$K$1006,'출고대장'!$A$7:$A$1006,A943))</x:f>
      </x:c>
      <x:c r="J943" s="12" t="str">
        <x:f>IF(A943="","",SUMIFS('입금대장'!$C$7:$C$1006,'입금대장'!$A$7:$A$1006,A943,'입금대장'!$E$7:$E$1006,"정상"))</x:f>
      </x:c>
      <x:c r="K943" s="12" t="str">
        <x:f>IF(A943="","",I943-J943)</x:f>
      </x:c>
      <x:c r="L943" s="13" t="str">
        <x:f>IF(A943="","",IF(K943&lt;0,"선입금·초과입금",IF(I943=0,"청구 전",IF(K943=0,"정산 완료",IF(J943=0,"미입금","부분 입금")))))</x:f>
      </x:c>
      <x:c r="M943" s="9"/>
      <x:c r="N943" s="9"/>
    </x:row>
    <x:row r="944" ht="23" customHeight="1">
      <x:c r="A944" s="9"/>
      <x:c r="B944" s="10"/>
      <x:c r="C944" s="9"/>
      <x:c r="D944" s="9"/>
      <x:c r="E944" s="9"/>
      <x:c r="F944" s="11"/>
      <x:c r="G944" s="12" t="str">
        <x:f>IF(A944="","",SUMIFS('출고대장'!$D$7:$D$1006,'출고대장'!$A$7:$A$1006,A944))</x:f>
      </x:c>
      <x:c r="H944" s="12" t="str">
        <x:f>IF(A944="","",F944-G944)</x:f>
      </x:c>
      <x:c r="I944" s="12" t="str">
        <x:f>IF(A944="","",SUMIFS('출고대장'!$K$7:$K$1006,'출고대장'!$A$7:$A$1006,A944))</x:f>
      </x:c>
      <x:c r="J944" s="12" t="str">
        <x:f>IF(A944="","",SUMIFS('입금대장'!$C$7:$C$1006,'입금대장'!$A$7:$A$1006,A944,'입금대장'!$E$7:$E$1006,"정상"))</x:f>
      </x:c>
      <x:c r="K944" s="12" t="str">
        <x:f>IF(A944="","",I944-J944)</x:f>
      </x:c>
      <x:c r="L944" s="13" t="str">
        <x:f>IF(A944="","",IF(K944&lt;0,"선입금·초과입금",IF(I944=0,"청구 전",IF(K944=0,"정산 완료",IF(J944=0,"미입금","부분 입금")))))</x:f>
      </x:c>
      <x:c r="M944" s="9"/>
      <x:c r="N944" s="9"/>
    </x:row>
    <x:row r="945" ht="23" customHeight="1">
      <x:c r="A945" s="9"/>
      <x:c r="B945" s="10"/>
      <x:c r="C945" s="9"/>
      <x:c r="D945" s="9"/>
      <x:c r="E945" s="9"/>
      <x:c r="F945" s="11"/>
      <x:c r="G945" s="12" t="str">
        <x:f>IF(A945="","",SUMIFS('출고대장'!$D$7:$D$1006,'출고대장'!$A$7:$A$1006,A945))</x:f>
      </x:c>
      <x:c r="H945" s="12" t="str">
        <x:f>IF(A945="","",F945-G945)</x:f>
      </x:c>
      <x:c r="I945" s="12" t="str">
        <x:f>IF(A945="","",SUMIFS('출고대장'!$K$7:$K$1006,'출고대장'!$A$7:$A$1006,A945))</x:f>
      </x:c>
      <x:c r="J945" s="12" t="str">
        <x:f>IF(A945="","",SUMIFS('입금대장'!$C$7:$C$1006,'입금대장'!$A$7:$A$1006,A945,'입금대장'!$E$7:$E$1006,"정상"))</x:f>
      </x:c>
      <x:c r="K945" s="12" t="str">
        <x:f>IF(A945="","",I945-J945)</x:f>
      </x:c>
      <x:c r="L945" s="13" t="str">
        <x:f>IF(A945="","",IF(K945&lt;0,"선입금·초과입금",IF(I945=0,"청구 전",IF(K945=0,"정산 완료",IF(J945=0,"미입금","부분 입금")))))</x:f>
      </x:c>
      <x:c r="M945" s="9"/>
      <x:c r="N945" s="9"/>
    </x:row>
    <x:row r="946" ht="23" customHeight="1">
      <x:c r="A946" s="9"/>
      <x:c r="B946" s="10"/>
      <x:c r="C946" s="9"/>
      <x:c r="D946" s="9"/>
      <x:c r="E946" s="9"/>
      <x:c r="F946" s="11"/>
      <x:c r="G946" s="12" t="str">
        <x:f>IF(A946="","",SUMIFS('출고대장'!$D$7:$D$1006,'출고대장'!$A$7:$A$1006,A946))</x:f>
      </x:c>
      <x:c r="H946" s="12" t="str">
        <x:f>IF(A946="","",F946-G946)</x:f>
      </x:c>
      <x:c r="I946" s="12" t="str">
        <x:f>IF(A946="","",SUMIFS('출고대장'!$K$7:$K$1006,'출고대장'!$A$7:$A$1006,A946))</x:f>
      </x:c>
      <x:c r="J946" s="12" t="str">
        <x:f>IF(A946="","",SUMIFS('입금대장'!$C$7:$C$1006,'입금대장'!$A$7:$A$1006,A946,'입금대장'!$E$7:$E$1006,"정상"))</x:f>
      </x:c>
      <x:c r="K946" s="12" t="str">
        <x:f>IF(A946="","",I946-J946)</x:f>
      </x:c>
      <x:c r="L946" s="13" t="str">
        <x:f>IF(A946="","",IF(K946&lt;0,"선입금·초과입금",IF(I946=0,"청구 전",IF(K946=0,"정산 완료",IF(J946=0,"미입금","부분 입금")))))</x:f>
      </x:c>
      <x:c r="M946" s="9"/>
      <x:c r="N946" s="9"/>
    </x:row>
    <x:row r="947" ht="23" customHeight="1">
      <x:c r="A947" s="9"/>
      <x:c r="B947" s="10"/>
      <x:c r="C947" s="9"/>
      <x:c r="D947" s="9"/>
      <x:c r="E947" s="9"/>
      <x:c r="F947" s="11"/>
      <x:c r="G947" s="12" t="str">
        <x:f>IF(A947="","",SUMIFS('출고대장'!$D$7:$D$1006,'출고대장'!$A$7:$A$1006,A947))</x:f>
      </x:c>
      <x:c r="H947" s="12" t="str">
        <x:f>IF(A947="","",F947-G947)</x:f>
      </x:c>
      <x:c r="I947" s="12" t="str">
        <x:f>IF(A947="","",SUMIFS('출고대장'!$K$7:$K$1006,'출고대장'!$A$7:$A$1006,A947))</x:f>
      </x:c>
      <x:c r="J947" s="12" t="str">
        <x:f>IF(A947="","",SUMIFS('입금대장'!$C$7:$C$1006,'입금대장'!$A$7:$A$1006,A947,'입금대장'!$E$7:$E$1006,"정상"))</x:f>
      </x:c>
      <x:c r="K947" s="12" t="str">
        <x:f>IF(A947="","",I947-J947)</x:f>
      </x:c>
      <x:c r="L947" s="13" t="str">
        <x:f>IF(A947="","",IF(K947&lt;0,"선입금·초과입금",IF(I947=0,"청구 전",IF(K947=0,"정산 완료",IF(J947=0,"미입금","부분 입금")))))</x:f>
      </x:c>
      <x:c r="M947" s="9"/>
      <x:c r="N947" s="9"/>
    </x:row>
    <x:row r="948" ht="23" customHeight="1">
      <x:c r="A948" s="9"/>
      <x:c r="B948" s="10"/>
      <x:c r="C948" s="9"/>
      <x:c r="D948" s="9"/>
      <x:c r="E948" s="9"/>
      <x:c r="F948" s="11"/>
      <x:c r="G948" s="12" t="str">
        <x:f>IF(A948="","",SUMIFS('출고대장'!$D$7:$D$1006,'출고대장'!$A$7:$A$1006,A948))</x:f>
      </x:c>
      <x:c r="H948" s="12" t="str">
        <x:f>IF(A948="","",F948-G948)</x:f>
      </x:c>
      <x:c r="I948" s="12" t="str">
        <x:f>IF(A948="","",SUMIFS('출고대장'!$K$7:$K$1006,'출고대장'!$A$7:$A$1006,A948))</x:f>
      </x:c>
      <x:c r="J948" s="12" t="str">
        <x:f>IF(A948="","",SUMIFS('입금대장'!$C$7:$C$1006,'입금대장'!$A$7:$A$1006,A948,'입금대장'!$E$7:$E$1006,"정상"))</x:f>
      </x:c>
      <x:c r="K948" s="12" t="str">
        <x:f>IF(A948="","",I948-J948)</x:f>
      </x:c>
      <x:c r="L948" s="13" t="str">
        <x:f>IF(A948="","",IF(K948&lt;0,"선입금·초과입금",IF(I948=0,"청구 전",IF(K948=0,"정산 완료",IF(J948=0,"미입금","부분 입금")))))</x:f>
      </x:c>
      <x:c r="M948" s="9"/>
      <x:c r="N948" s="9"/>
    </x:row>
    <x:row r="949" ht="23" customHeight="1">
      <x:c r="A949" s="9"/>
      <x:c r="B949" s="10"/>
      <x:c r="C949" s="9"/>
      <x:c r="D949" s="9"/>
      <x:c r="E949" s="9"/>
      <x:c r="F949" s="11"/>
      <x:c r="G949" s="12" t="str">
        <x:f>IF(A949="","",SUMIFS('출고대장'!$D$7:$D$1006,'출고대장'!$A$7:$A$1006,A949))</x:f>
      </x:c>
      <x:c r="H949" s="12" t="str">
        <x:f>IF(A949="","",F949-G949)</x:f>
      </x:c>
      <x:c r="I949" s="12" t="str">
        <x:f>IF(A949="","",SUMIFS('출고대장'!$K$7:$K$1006,'출고대장'!$A$7:$A$1006,A949))</x:f>
      </x:c>
      <x:c r="J949" s="12" t="str">
        <x:f>IF(A949="","",SUMIFS('입금대장'!$C$7:$C$1006,'입금대장'!$A$7:$A$1006,A949,'입금대장'!$E$7:$E$1006,"정상"))</x:f>
      </x:c>
      <x:c r="K949" s="12" t="str">
        <x:f>IF(A949="","",I949-J949)</x:f>
      </x:c>
      <x:c r="L949" s="13" t="str">
        <x:f>IF(A949="","",IF(K949&lt;0,"선입금·초과입금",IF(I949=0,"청구 전",IF(K949=0,"정산 완료",IF(J949=0,"미입금","부분 입금")))))</x:f>
      </x:c>
      <x:c r="M949" s="9"/>
      <x:c r="N949" s="9"/>
    </x:row>
    <x:row r="950" ht="23" customHeight="1">
      <x:c r="A950" s="9"/>
      <x:c r="B950" s="10"/>
      <x:c r="C950" s="9"/>
      <x:c r="D950" s="9"/>
      <x:c r="E950" s="9"/>
      <x:c r="F950" s="11"/>
      <x:c r="G950" s="12" t="str">
        <x:f>IF(A950="","",SUMIFS('출고대장'!$D$7:$D$1006,'출고대장'!$A$7:$A$1006,A950))</x:f>
      </x:c>
      <x:c r="H950" s="12" t="str">
        <x:f>IF(A950="","",F950-G950)</x:f>
      </x:c>
      <x:c r="I950" s="12" t="str">
        <x:f>IF(A950="","",SUMIFS('출고대장'!$K$7:$K$1006,'출고대장'!$A$7:$A$1006,A950))</x:f>
      </x:c>
      <x:c r="J950" s="12" t="str">
        <x:f>IF(A950="","",SUMIFS('입금대장'!$C$7:$C$1006,'입금대장'!$A$7:$A$1006,A950,'입금대장'!$E$7:$E$1006,"정상"))</x:f>
      </x:c>
      <x:c r="K950" s="12" t="str">
        <x:f>IF(A950="","",I950-J950)</x:f>
      </x:c>
      <x:c r="L950" s="13" t="str">
        <x:f>IF(A950="","",IF(K950&lt;0,"선입금·초과입금",IF(I950=0,"청구 전",IF(K950=0,"정산 완료",IF(J950=0,"미입금","부분 입금")))))</x:f>
      </x:c>
      <x:c r="M950" s="9"/>
      <x:c r="N950" s="9"/>
    </x:row>
    <x:row r="951" ht="23" customHeight="1">
      <x:c r="A951" s="9"/>
      <x:c r="B951" s="10"/>
      <x:c r="C951" s="9"/>
      <x:c r="D951" s="9"/>
      <x:c r="E951" s="9"/>
      <x:c r="F951" s="11"/>
      <x:c r="G951" s="12" t="str">
        <x:f>IF(A951="","",SUMIFS('출고대장'!$D$7:$D$1006,'출고대장'!$A$7:$A$1006,A951))</x:f>
      </x:c>
      <x:c r="H951" s="12" t="str">
        <x:f>IF(A951="","",F951-G951)</x:f>
      </x:c>
      <x:c r="I951" s="12" t="str">
        <x:f>IF(A951="","",SUMIFS('출고대장'!$K$7:$K$1006,'출고대장'!$A$7:$A$1006,A951))</x:f>
      </x:c>
      <x:c r="J951" s="12" t="str">
        <x:f>IF(A951="","",SUMIFS('입금대장'!$C$7:$C$1006,'입금대장'!$A$7:$A$1006,A951,'입금대장'!$E$7:$E$1006,"정상"))</x:f>
      </x:c>
      <x:c r="K951" s="12" t="str">
        <x:f>IF(A951="","",I951-J951)</x:f>
      </x:c>
      <x:c r="L951" s="13" t="str">
        <x:f>IF(A951="","",IF(K951&lt;0,"선입금·초과입금",IF(I951=0,"청구 전",IF(K951=0,"정산 완료",IF(J951=0,"미입금","부분 입금")))))</x:f>
      </x:c>
      <x:c r="M951" s="9"/>
      <x:c r="N951" s="9"/>
    </x:row>
    <x:row r="952" ht="23" customHeight="1">
      <x:c r="A952" s="9"/>
      <x:c r="B952" s="10"/>
      <x:c r="C952" s="9"/>
      <x:c r="D952" s="9"/>
      <x:c r="E952" s="9"/>
      <x:c r="F952" s="11"/>
      <x:c r="G952" s="12" t="str">
        <x:f>IF(A952="","",SUMIFS('출고대장'!$D$7:$D$1006,'출고대장'!$A$7:$A$1006,A952))</x:f>
      </x:c>
      <x:c r="H952" s="12" t="str">
        <x:f>IF(A952="","",F952-G952)</x:f>
      </x:c>
      <x:c r="I952" s="12" t="str">
        <x:f>IF(A952="","",SUMIFS('출고대장'!$K$7:$K$1006,'출고대장'!$A$7:$A$1006,A952))</x:f>
      </x:c>
      <x:c r="J952" s="12" t="str">
        <x:f>IF(A952="","",SUMIFS('입금대장'!$C$7:$C$1006,'입금대장'!$A$7:$A$1006,A952,'입금대장'!$E$7:$E$1006,"정상"))</x:f>
      </x:c>
      <x:c r="K952" s="12" t="str">
        <x:f>IF(A952="","",I952-J952)</x:f>
      </x:c>
      <x:c r="L952" s="13" t="str">
        <x:f>IF(A952="","",IF(K952&lt;0,"선입금·초과입금",IF(I952=0,"청구 전",IF(K952=0,"정산 완료",IF(J952=0,"미입금","부분 입금")))))</x:f>
      </x:c>
      <x:c r="M952" s="9"/>
      <x:c r="N952" s="9"/>
    </x:row>
    <x:row r="953" ht="23" customHeight="1">
      <x:c r="A953" s="9"/>
      <x:c r="B953" s="10"/>
      <x:c r="C953" s="9"/>
      <x:c r="D953" s="9"/>
      <x:c r="E953" s="9"/>
      <x:c r="F953" s="11"/>
      <x:c r="G953" s="12" t="str">
        <x:f>IF(A953="","",SUMIFS('출고대장'!$D$7:$D$1006,'출고대장'!$A$7:$A$1006,A953))</x:f>
      </x:c>
      <x:c r="H953" s="12" t="str">
        <x:f>IF(A953="","",F953-G953)</x:f>
      </x:c>
      <x:c r="I953" s="12" t="str">
        <x:f>IF(A953="","",SUMIFS('출고대장'!$K$7:$K$1006,'출고대장'!$A$7:$A$1006,A953))</x:f>
      </x:c>
      <x:c r="J953" s="12" t="str">
        <x:f>IF(A953="","",SUMIFS('입금대장'!$C$7:$C$1006,'입금대장'!$A$7:$A$1006,A953,'입금대장'!$E$7:$E$1006,"정상"))</x:f>
      </x:c>
      <x:c r="K953" s="12" t="str">
        <x:f>IF(A953="","",I953-J953)</x:f>
      </x:c>
      <x:c r="L953" s="13" t="str">
        <x:f>IF(A953="","",IF(K953&lt;0,"선입금·초과입금",IF(I953=0,"청구 전",IF(K953=0,"정산 완료",IF(J953=0,"미입금","부분 입금")))))</x:f>
      </x:c>
      <x:c r="M953" s="9"/>
      <x:c r="N953" s="9"/>
    </x:row>
    <x:row r="954" ht="23" customHeight="1">
      <x:c r="A954" s="9"/>
      <x:c r="B954" s="10"/>
      <x:c r="C954" s="9"/>
      <x:c r="D954" s="9"/>
      <x:c r="E954" s="9"/>
      <x:c r="F954" s="11"/>
      <x:c r="G954" s="12" t="str">
        <x:f>IF(A954="","",SUMIFS('출고대장'!$D$7:$D$1006,'출고대장'!$A$7:$A$1006,A954))</x:f>
      </x:c>
      <x:c r="H954" s="12" t="str">
        <x:f>IF(A954="","",F954-G954)</x:f>
      </x:c>
      <x:c r="I954" s="12" t="str">
        <x:f>IF(A954="","",SUMIFS('출고대장'!$K$7:$K$1006,'출고대장'!$A$7:$A$1006,A954))</x:f>
      </x:c>
      <x:c r="J954" s="12" t="str">
        <x:f>IF(A954="","",SUMIFS('입금대장'!$C$7:$C$1006,'입금대장'!$A$7:$A$1006,A954,'입금대장'!$E$7:$E$1006,"정상"))</x:f>
      </x:c>
      <x:c r="K954" s="12" t="str">
        <x:f>IF(A954="","",I954-J954)</x:f>
      </x:c>
      <x:c r="L954" s="13" t="str">
        <x:f>IF(A954="","",IF(K954&lt;0,"선입금·초과입금",IF(I954=0,"청구 전",IF(K954=0,"정산 완료",IF(J954=0,"미입금","부분 입금")))))</x:f>
      </x:c>
      <x:c r="M954" s="9"/>
      <x:c r="N954" s="9"/>
    </x:row>
    <x:row r="955" ht="23" customHeight="1">
      <x:c r="A955" s="9"/>
      <x:c r="B955" s="10"/>
      <x:c r="C955" s="9"/>
      <x:c r="D955" s="9"/>
      <x:c r="E955" s="9"/>
      <x:c r="F955" s="11"/>
      <x:c r="G955" s="12" t="str">
        <x:f>IF(A955="","",SUMIFS('출고대장'!$D$7:$D$1006,'출고대장'!$A$7:$A$1006,A955))</x:f>
      </x:c>
      <x:c r="H955" s="12" t="str">
        <x:f>IF(A955="","",F955-G955)</x:f>
      </x:c>
      <x:c r="I955" s="12" t="str">
        <x:f>IF(A955="","",SUMIFS('출고대장'!$K$7:$K$1006,'출고대장'!$A$7:$A$1006,A955))</x:f>
      </x:c>
      <x:c r="J955" s="12" t="str">
        <x:f>IF(A955="","",SUMIFS('입금대장'!$C$7:$C$1006,'입금대장'!$A$7:$A$1006,A955,'입금대장'!$E$7:$E$1006,"정상"))</x:f>
      </x:c>
      <x:c r="K955" s="12" t="str">
        <x:f>IF(A955="","",I955-J955)</x:f>
      </x:c>
      <x:c r="L955" s="13" t="str">
        <x:f>IF(A955="","",IF(K955&lt;0,"선입금·초과입금",IF(I955=0,"청구 전",IF(K955=0,"정산 완료",IF(J955=0,"미입금","부분 입금")))))</x:f>
      </x:c>
      <x:c r="M955" s="9"/>
      <x:c r="N955" s="9"/>
    </x:row>
    <x:row r="956" ht="23" customHeight="1">
      <x:c r="A956" s="9"/>
      <x:c r="B956" s="10"/>
      <x:c r="C956" s="9"/>
      <x:c r="D956" s="9"/>
      <x:c r="E956" s="9"/>
      <x:c r="F956" s="11"/>
      <x:c r="G956" s="12" t="str">
        <x:f>IF(A956="","",SUMIFS('출고대장'!$D$7:$D$1006,'출고대장'!$A$7:$A$1006,A956))</x:f>
      </x:c>
      <x:c r="H956" s="12" t="str">
        <x:f>IF(A956="","",F956-G956)</x:f>
      </x:c>
      <x:c r="I956" s="12" t="str">
        <x:f>IF(A956="","",SUMIFS('출고대장'!$K$7:$K$1006,'출고대장'!$A$7:$A$1006,A956))</x:f>
      </x:c>
      <x:c r="J956" s="12" t="str">
        <x:f>IF(A956="","",SUMIFS('입금대장'!$C$7:$C$1006,'입금대장'!$A$7:$A$1006,A956,'입금대장'!$E$7:$E$1006,"정상"))</x:f>
      </x:c>
      <x:c r="K956" s="12" t="str">
        <x:f>IF(A956="","",I956-J956)</x:f>
      </x:c>
      <x:c r="L956" s="13" t="str">
        <x:f>IF(A956="","",IF(K956&lt;0,"선입금·초과입금",IF(I956=0,"청구 전",IF(K956=0,"정산 완료",IF(J956=0,"미입금","부분 입금")))))</x:f>
      </x:c>
      <x:c r="M956" s="9"/>
      <x:c r="N956" s="9"/>
    </x:row>
    <x:row r="957" ht="23" customHeight="1">
      <x:c r="A957" s="9"/>
      <x:c r="B957" s="10"/>
      <x:c r="C957" s="9"/>
      <x:c r="D957" s="9"/>
      <x:c r="E957" s="9"/>
      <x:c r="F957" s="11"/>
      <x:c r="G957" s="12" t="str">
        <x:f>IF(A957="","",SUMIFS('출고대장'!$D$7:$D$1006,'출고대장'!$A$7:$A$1006,A957))</x:f>
      </x:c>
      <x:c r="H957" s="12" t="str">
        <x:f>IF(A957="","",F957-G957)</x:f>
      </x:c>
      <x:c r="I957" s="12" t="str">
        <x:f>IF(A957="","",SUMIFS('출고대장'!$K$7:$K$1006,'출고대장'!$A$7:$A$1006,A957))</x:f>
      </x:c>
      <x:c r="J957" s="12" t="str">
        <x:f>IF(A957="","",SUMIFS('입금대장'!$C$7:$C$1006,'입금대장'!$A$7:$A$1006,A957,'입금대장'!$E$7:$E$1006,"정상"))</x:f>
      </x:c>
      <x:c r="K957" s="12" t="str">
        <x:f>IF(A957="","",I957-J957)</x:f>
      </x:c>
      <x:c r="L957" s="13" t="str">
        <x:f>IF(A957="","",IF(K957&lt;0,"선입금·초과입금",IF(I957=0,"청구 전",IF(K957=0,"정산 완료",IF(J957=0,"미입금","부분 입금")))))</x:f>
      </x:c>
      <x:c r="M957" s="9"/>
      <x:c r="N957" s="9"/>
    </x:row>
    <x:row r="958" ht="23" customHeight="1">
      <x:c r="A958" s="9"/>
      <x:c r="B958" s="10"/>
      <x:c r="C958" s="9"/>
      <x:c r="D958" s="9"/>
      <x:c r="E958" s="9"/>
      <x:c r="F958" s="11"/>
      <x:c r="G958" s="12" t="str">
        <x:f>IF(A958="","",SUMIFS('출고대장'!$D$7:$D$1006,'출고대장'!$A$7:$A$1006,A958))</x:f>
      </x:c>
      <x:c r="H958" s="12" t="str">
        <x:f>IF(A958="","",F958-G958)</x:f>
      </x:c>
      <x:c r="I958" s="12" t="str">
        <x:f>IF(A958="","",SUMIFS('출고대장'!$K$7:$K$1006,'출고대장'!$A$7:$A$1006,A958))</x:f>
      </x:c>
      <x:c r="J958" s="12" t="str">
        <x:f>IF(A958="","",SUMIFS('입금대장'!$C$7:$C$1006,'입금대장'!$A$7:$A$1006,A958,'입금대장'!$E$7:$E$1006,"정상"))</x:f>
      </x:c>
      <x:c r="K958" s="12" t="str">
        <x:f>IF(A958="","",I958-J958)</x:f>
      </x:c>
      <x:c r="L958" s="13" t="str">
        <x:f>IF(A958="","",IF(K958&lt;0,"선입금·초과입금",IF(I958=0,"청구 전",IF(K958=0,"정산 완료",IF(J958=0,"미입금","부분 입금")))))</x:f>
      </x:c>
      <x:c r="M958" s="9"/>
      <x:c r="N958" s="9"/>
    </x:row>
    <x:row r="959" ht="23" customHeight="1">
      <x:c r="A959" s="9"/>
      <x:c r="B959" s="10"/>
      <x:c r="C959" s="9"/>
      <x:c r="D959" s="9"/>
      <x:c r="E959" s="9"/>
      <x:c r="F959" s="11"/>
      <x:c r="G959" s="12" t="str">
        <x:f>IF(A959="","",SUMIFS('출고대장'!$D$7:$D$1006,'출고대장'!$A$7:$A$1006,A959))</x:f>
      </x:c>
      <x:c r="H959" s="12" t="str">
        <x:f>IF(A959="","",F959-G959)</x:f>
      </x:c>
      <x:c r="I959" s="12" t="str">
        <x:f>IF(A959="","",SUMIFS('출고대장'!$K$7:$K$1006,'출고대장'!$A$7:$A$1006,A959))</x:f>
      </x:c>
      <x:c r="J959" s="12" t="str">
        <x:f>IF(A959="","",SUMIFS('입금대장'!$C$7:$C$1006,'입금대장'!$A$7:$A$1006,A959,'입금대장'!$E$7:$E$1006,"정상"))</x:f>
      </x:c>
      <x:c r="K959" s="12" t="str">
        <x:f>IF(A959="","",I959-J959)</x:f>
      </x:c>
      <x:c r="L959" s="13" t="str">
        <x:f>IF(A959="","",IF(K959&lt;0,"선입금·초과입금",IF(I959=0,"청구 전",IF(K959=0,"정산 완료",IF(J959=0,"미입금","부분 입금")))))</x:f>
      </x:c>
      <x:c r="M959" s="9"/>
      <x:c r="N959" s="9"/>
    </x:row>
    <x:row r="960" ht="23" customHeight="1">
      <x:c r="A960" s="9"/>
      <x:c r="B960" s="10"/>
      <x:c r="C960" s="9"/>
      <x:c r="D960" s="9"/>
      <x:c r="E960" s="9"/>
      <x:c r="F960" s="11"/>
      <x:c r="G960" s="12" t="str">
        <x:f>IF(A960="","",SUMIFS('출고대장'!$D$7:$D$1006,'출고대장'!$A$7:$A$1006,A960))</x:f>
      </x:c>
      <x:c r="H960" s="12" t="str">
        <x:f>IF(A960="","",F960-G960)</x:f>
      </x:c>
      <x:c r="I960" s="12" t="str">
        <x:f>IF(A960="","",SUMIFS('출고대장'!$K$7:$K$1006,'출고대장'!$A$7:$A$1006,A960))</x:f>
      </x:c>
      <x:c r="J960" s="12" t="str">
        <x:f>IF(A960="","",SUMIFS('입금대장'!$C$7:$C$1006,'입금대장'!$A$7:$A$1006,A960,'입금대장'!$E$7:$E$1006,"정상"))</x:f>
      </x:c>
      <x:c r="K960" s="12" t="str">
        <x:f>IF(A960="","",I960-J960)</x:f>
      </x:c>
      <x:c r="L960" s="13" t="str">
        <x:f>IF(A960="","",IF(K960&lt;0,"선입금·초과입금",IF(I960=0,"청구 전",IF(K960=0,"정산 완료",IF(J960=0,"미입금","부분 입금")))))</x:f>
      </x:c>
      <x:c r="M960" s="9"/>
      <x:c r="N960" s="9"/>
    </x:row>
    <x:row r="961" ht="23" customHeight="1">
      <x:c r="A961" s="9"/>
      <x:c r="B961" s="10"/>
      <x:c r="C961" s="9"/>
      <x:c r="D961" s="9"/>
      <x:c r="E961" s="9"/>
      <x:c r="F961" s="11"/>
      <x:c r="G961" s="12" t="str">
        <x:f>IF(A961="","",SUMIFS('출고대장'!$D$7:$D$1006,'출고대장'!$A$7:$A$1006,A961))</x:f>
      </x:c>
      <x:c r="H961" s="12" t="str">
        <x:f>IF(A961="","",F961-G961)</x:f>
      </x:c>
      <x:c r="I961" s="12" t="str">
        <x:f>IF(A961="","",SUMIFS('출고대장'!$K$7:$K$1006,'출고대장'!$A$7:$A$1006,A961))</x:f>
      </x:c>
      <x:c r="J961" s="12" t="str">
        <x:f>IF(A961="","",SUMIFS('입금대장'!$C$7:$C$1006,'입금대장'!$A$7:$A$1006,A961,'입금대장'!$E$7:$E$1006,"정상"))</x:f>
      </x:c>
      <x:c r="K961" s="12" t="str">
        <x:f>IF(A961="","",I961-J961)</x:f>
      </x:c>
      <x:c r="L961" s="13" t="str">
        <x:f>IF(A961="","",IF(K961&lt;0,"선입금·초과입금",IF(I961=0,"청구 전",IF(K961=0,"정산 완료",IF(J961=0,"미입금","부분 입금")))))</x:f>
      </x:c>
      <x:c r="M961" s="9"/>
      <x:c r="N961" s="9"/>
    </x:row>
    <x:row r="962" ht="23" customHeight="1">
      <x:c r="A962" s="9"/>
      <x:c r="B962" s="10"/>
      <x:c r="C962" s="9"/>
      <x:c r="D962" s="9"/>
      <x:c r="E962" s="9"/>
      <x:c r="F962" s="11"/>
      <x:c r="G962" s="12" t="str">
        <x:f>IF(A962="","",SUMIFS('출고대장'!$D$7:$D$1006,'출고대장'!$A$7:$A$1006,A962))</x:f>
      </x:c>
      <x:c r="H962" s="12" t="str">
        <x:f>IF(A962="","",F962-G962)</x:f>
      </x:c>
      <x:c r="I962" s="12" t="str">
        <x:f>IF(A962="","",SUMIFS('출고대장'!$K$7:$K$1006,'출고대장'!$A$7:$A$1006,A962))</x:f>
      </x:c>
      <x:c r="J962" s="12" t="str">
        <x:f>IF(A962="","",SUMIFS('입금대장'!$C$7:$C$1006,'입금대장'!$A$7:$A$1006,A962,'입금대장'!$E$7:$E$1006,"정상"))</x:f>
      </x:c>
      <x:c r="K962" s="12" t="str">
        <x:f>IF(A962="","",I962-J962)</x:f>
      </x:c>
      <x:c r="L962" s="13" t="str">
        <x:f>IF(A962="","",IF(K962&lt;0,"선입금·초과입금",IF(I962=0,"청구 전",IF(K962=0,"정산 완료",IF(J962=0,"미입금","부분 입금")))))</x:f>
      </x:c>
      <x:c r="M962" s="9"/>
      <x:c r="N962" s="9"/>
    </x:row>
    <x:row r="963" ht="23" customHeight="1">
      <x:c r="A963" s="9"/>
      <x:c r="B963" s="10"/>
      <x:c r="C963" s="9"/>
      <x:c r="D963" s="9"/>
      <x:c r="E963" s="9"/>
      <x:c r="F963" s="11"/>
      <x:c r="G963" s="12" t="str">
        <x:f>IF(A963="","",SUMIFS('출고대장'!$D$7:$D$1006,'출고대장'!$A$7:$A$1006,A963))</x:f>
      </x:c>
      <x:c r="H963" s="12" t="str">
        <x:f>IF(A963="","",F963-G963)</x:f>
      </x:c>
      <x:c r="I963" s="12" t="str">
        <x:f>IF(A963="","",SUMIFS('출고대장'!$K$7:$K$1006,'출고대장'!$A$7:$A$1006,A963))</x:f>
      </x:c>
      <x:c r="J963" s="12" t="str">
        <x:f>IF(A963="","",SUMIFS('입금대장'!$C$7:$C$1006,'입금대장'!$A$7:$A$1006,A963,'입금대장'!$E$7:$E$1006,"정상"))</x:f>
      </x:c>
      <x:c r="K963" s="12" t="str">
        <x:f>IF(A963="","",I963-J963)</x:f>
      </x:c>
      <x:c r="L963" s="13" t="str">
        <x:f>IF(A963="","",IF(K963&lt;0,"선입금·초과입금",IF(I963=0,"청구 전",IF(K963=0,"정산 완료",IF(J963=0,"미입금","부분 입금")))))</x:f>
      </x:c>
      <x:c r="M963" s="9"/>
      <x:c r="N963" s="9"/>
    </x:row>
    <x:row r="964" ht="23" customHeight="1">
      <x:c r="A964" s="9"/>
      <x:c r="B964" s="10"/>
      <x:c r="C964" s="9"/>
      <x:c r="D964" s="9"/>
      <x:c r="E964" s="9"/>
      <x:c r="F964" s="11"/>
      <x:c r="G964" s="12" t="str">
        <x:f>IF(A964="","",SUMIFS('출고대장'!$D$7:$D$1006,'출고대장'!$A$7:$A$1006,A964))</x:f>
      </x:c>
      <x:c r="H964" s="12" t="str">
        <x:f>IF(A964="","",F964-G964)</x:f>
      </x:c>
      <x:c r="I964" s="12" t="str">
        <x:f>IF(A964="","",SUMIFS('출고대장'!$K$7:$K$1006,'출고대장'!$A$7:$A$1006,A964))</x:f>
      </x:c>
      <x:c r="J964" s="12" t="str">
        <x:f>IF(A964="","",SUMIFS('입금대장'!$C$7:$C$1006,'입금대장'!$A$7:$A$1006,A964,'입금대장'!$E$7:$E$1006,"정상"))</x:f>
      </x:c>
      <x:c r="K964" s="12" t="str">
        <x:f>IF(A964="","",I964-J964)</x:f>
      </x:c>
      <x:c r="L964" s="13" t="str">
        <x:f>IF(A964="","",IF(K964&lt;0,"선입금·초과입금",IF(I964=0,"청구 전",IF(K964=0,"정산 완료",IF(J964=0,"미입금","부분 입금")))))</x:f>
      </x:c>
      <x:c r="M964" s="9"/>
      <x:c r="N964" s="9"/>
    </x:row>
    <x:row r="965" ht="23" customHeight="1">
      <x:c r="A965" s="9"/>
      <x:c r="B965" s="10"/>
      <x:c r="C965" s="9"/>
      <x:c r="D965" s="9"/>
      <x:c r="E965" s="9"/>
      <x:c r="F965" s="11"/>
      <x:c r="G965" s="12" t="str">
        <x:f>IF(A965="","",SUMIFS('출고대장'!$D$7:$D$1006,'출고대장'!$A$7:$A$1006,A965))</x:f>
      </x:c>
      <x:c r="H965" s="12" t="str">
        <x:f>IF(A965="","",F965-G965)</x:f>
      </x:c>
      <x:c r="I965" s="12" t="str">
        <x:f>IF(A965="","",SUMIFS('출고대장'!$K$7:$K$1006,'출고대장'!$A$7:$A$1006,A965))</x:f>
      </x:c>
      <x:c r="J965" s="12" t="str">
        <x:f>IF(A965="","",SUMIFS('입금대장'!$C$7:$C$1006,'입금대장'!$A$7:$A$1006,A965,'입금대장'!$E$7:$E$1006,"정상"))</x:f>
      </x:c>
      <x:c r="K965" s="12" t="str">
        <x:f>IF(A965="","",I965-J965)</x:f>
      </x:c>
      <x:c r="L965" s="13" t="str">
        <x:f>IF(A965="","",IF(K965&lt;0,"선입금·초과입금",IF(I965=0,"청구 전",IF(K965=0,"정산 완료",IF(J965=0,"미입금","부분 입금")))))</x:f>
      </x:c>
      <x:c r="M965" s="9"/>
      <x:c r="N965" s="9"/>
    </x:row>
    <x:row r="966" ht="23" customHeight="1">
      <x:c r="A966" s="9"/>
      <x:c r="B966" s="10"/>
      <x:c r="C966" s="9"/>
      <x:c r="D966" s="9"/>
      <x:c r="E966" s="9"/>
      <x:c r="F966" s="11"/>
      <x:c r="G966" s="12" t="str">
        <x:f>IF(A966="","",SUMIFS('출고대장'!$D$7:$D$1006,'출고대장'!$A$7:$A$1006,A966))</x:f>
      </x:c>
      <x:c r="H966" s="12" t="str">
        <x:f>IF(A966="","",F966-G966)</x:f>
      </x:c>
      <x:c r="I966" s="12" t="str">
        <x:f>IF(A966="","",SUMIFS('출고대장'!$K$7:$K$1006,'출고대장'!$A$7:$A$1006,A966))</x:f>
      </x:c>
      <x:c r="J966" s="12" t="str">
        <x:f>IF(A966="","",SUMIFS('입금대장'!$C$7:$C$1006,'입금대장'!$A$7:$A$1006,A966,'입금대장'!$E$7:$E$1006,"정상"))</x:f>
      </x:c>
      <x:c r="K966" s="12" t="str">
        <x:f>IF(A966="","",I966-J966)</x:f>
      </x:c>
      <x:c r="L966" s="13" t="str">
        <x:f>IF(A966="","",IF(K966&lt;0,"선입금·초과입금",IF(I966=0,"청구 전",IF(K966=0,"정산 완료",IF(J966=0,"미입금","부분 입금")))))</x:f>
      </x:c>
      <x:c r="M966" s="9"/>
      <x:c r="N966" s="9"/>
    </x:row>
    <x:row r="967" ht="23" customHeight="1">
      <x:c r="A967" s="9"/>
      <x:c r="B967" s="10"/>
      <x:c r="C967" s="9"/>
      <x:c r="D967" s="9"/>
      <x:c r="E967" s="9"/>
      <x:c r="F967" s="11"/>
      <x:c r="G967" s="12" t="str">
        <x:f>IF(A967="","",SUMIFS('출고대장'!$D$7:$D$1006,'출고대장'!$A$7:$A$1006,A967))</x:f>
      </x:c>
      <x:c r="H967" s="12" t="str">
        <x:f>IF(A967="","",F967-G967)</x:f>
      </x:c>
      <x:c r="I967" s="12" t="str">
        <x:f>IF(A967="","",SUMIFS('출고대장'!$K$7:$K$1006,'출고대장'!$A$7:$A$1006,A967))</x:f>
      </x:c>
      <x:c r="J967" s="12" t="str">
        <x:f>IF(A967="","",SUMIFS('입금대장'!$C$7:$C$1006,'입금대장'!$A$7:$A$1006,A967,'입금대장'!$E$7:$E$1006,"정상"))</x:f>
      </x:c>
      <x:c r="K967" s="12" t="str">
        <x:f>IF(A967="","",I967-J967)</x:f>
      </x:c>
      <x:c r="L967" s="13" t="str">
        <x:f>IF(A967="","",IF(K967&lt;0,"선입금·초과입금",IF(I967=0,"청구 전",IF(K967=0,"정산 완료",IF(J967=0,"미입금","부분 입금")))))</x:f>
      </x:c>
      <x:c r="M967" s="9"/>
      <x:c r="N967" s="9"/>
    </x:row>
    <x:row r="968" ht="23" customHeight="1">
      <x:c r="A968" s="9"/>
      <x:c r="B968" s="10"/>
      <x:c r="C968" s="9"/>
      <x:c r="D968" s="9"/>
      <x:c r="E968" s="9"/>
      <x:c r="F968" s="11"/>
      <x:c r="G968" s="12" t="str">
        <x:f>IF(A968="","",SUMIFS('출고대장'!$D$7:$D$1006,'출고대장'!$A$7:$A$1006,A968))</x:f>
      </x:c>
      <x:c r="H968" s="12" t="str">
        <x:f>IF(A968="","",F968-G968)</x:f>
      </x:c>
      <x:c r="I968" s="12" t="str">
        <x:f>IF(A968="","",SUMIFS('출고대장'!$K$7:$K$1006,'출고대장'!$A$7:$A$1006,A968))</x:f>
      </x:c>
      <x:c r="J968" s="12" t="str">
        <x:f>IF(A968="","",SUMIFS('입금대장'!$C$7:$C$1006,'입금대장'!$A$7:$A$1006,A968,'입금대장'!$E$7:$E$1006,"정상"))</x:f>
      </x:c>
      <x:c r="K968" s="12" t="str">
        <x:f>IF(A968="","",I968-J968)</x:f>
      </x:c>
      <x:c r="L968" s="13" t="str">
        <x:f>IF(A968="","",IF(K968&lt;0,"선입금·초과입금",IF(I968=0,"청구 전",IF(K968=0,"정산 완료",IF(J968=0,"미입금","부분 입금")))))</x:f>
      </x:c>
      <x:c r="M968" s="9"/>
      <x:c r="N968" s="9"/>
    </x:row>
    <x:row r="969" ht="23" customHeight="1">
      <x:c r="A969" s="9"/>
      <x:c r="B969" s="10"/>
      <x:c r="C969" s="9"/>
      <x:c r="D969" s="9"/>
      <x:c r="E969" s="9"/>
      <x:c r="F969" s="11"/>
      <x:c r="G969" s="12" t="str">
        <x:f>IF(A969="","",SUMIFS('출고대장'!$D$7:$D$1006,'출고대장'!$A$7:$A$1006,A969))</x:f>
      </x:c>
      <x:c r="H969" s="12" t="str">
        <x:f>IF(A969="","",F969-G969)</x:f>
      </x:c>
      <x:c r="I969" s="12" t="str">
        <x:f>IF(A969="","",SUMIFS('출고대장'!$K$7:$K$1006,'출고대장'!$A$7:$A$1006,A969))</x:f>
      </x:c>
      <x:c r="J969" s="12" t="str">
        <x:f>IF(A969="","",SUMIFS('입금대장'!$C$7:$C$1006,'입금대장'!$A$7:$A$1006,A969,'입금대장'!$E$7:$E$1006,"정상"))</x:f>
      </x:c>
      <x:c r="K969" s="12" t="str">
        <x:f>IF(A969="","",I969-J969)</x:f>
      </x:c>
      <x:c r="L969" s="13" t="str">
        <x:f>IF(A969="","",IF(K969&lt;0,"선입금·초과입금",IF(I969=0,"청구 전",IF(K969=0,"정산 완료",IF(J969=0,"미입금","부분 입금")))))</x:f>
      </x:c>
      <x:c r="M969" s="9"/>
      <x:c r="N969" s="9"/>
    </x:row>
    <x:row r="970" ht="23" customHeight="1">
      <x:c r="A970" s="9"/>
      <x:c r="B970" s="10"/>
      <x:c r="C970" s="9"/>
      <x:c r="D970" s="9"/>
      <x:c r="E970" s="9"/>
      <x:c r="F970" s="11"/>
      <x:c r="G970" s="12" t="str">
        <x:f>IF(A970="","",SUMIFS('출고대장'!$D$7:$D$1006,'출고대장'!$A$7:$A$1006,A970))</x:f>
      </x:c>
      <x:c r="H970" s="12" t="str">
        <x:f>IF(A970="","",F970-G970)</x:f>
      </x:c>
      <x:c r="I970" s="12" t="str">
        <x:f>IF(A970="","",SUMIFS('출고대장'!$K$7:$K$1006,'출고대장'!$A$7:$A$1006,A970))</x:f>
      </x:c>
      <x:c r="J970" s="12" t="str">
        <x:f>IF(A970="","",SUMIFS('입금대장'!$C$7:$C$1006,'입금대장'!$A$7:$A$1006,A970,'입금대장'!$E$7:$E$1006,"정상"))</x:f>
      </x:c>
      <x:c r="K970" s="12" t="str">
        <x:f>IF(A970="","",I970-J970)</x:f>
      </x:c>
      <x:c r="L970" s="13" t="str">
        <x:f>IF(A970="","",IF(K970&lt;0,"선입금·초과입금",IF(I970=0,"청구 전",IF(K970=0,"정산 완료",IF(J970=0,"미입금","부분 입금")))))</x:f>
      </x:c>
      <x:c r="M970" s="9"/>
      <x:c r="N970" s="9"/>
    </x:row>
    <x:row r="971" ht="23" customHeight="1">
      <x:c r="A971" s="9"/>
      <x:c r="B971" s="10"/>
      <x:c r="C971" s="9"/>
      <x:c r="D971" s="9"/>
      <x:c r="E971" s="9"/>
      <x:c r="F971" s="11"/>
      <x:c r="G971" s="12" t="str">
        <x:f>IF(A971="","",SUMIFS('출고대장'!$D$7:$D$1006,'출고대장'!$A$7:$A$1006,A971))</x:f>
      </x:c>
      <x:c r="H971" s="12" t="str">
        <x:f>IF(A971="","",F971-G971)</x:f>
      </x:c>
      <x:c r="I971" s="12" t="str">
        <x:f>IF(A971="","",SUMIFS('출고대장'!$K$7:$K$1006,'출고대장'!$A$7:$A$1006,A971))</x:f>
      </x:c>
      <x:c r="J971" s="12" t="str">
        <x:f>IF(A971="","",SUMIFS('입금대장'!$C$7:$C$1006,'입금대장'!$A$7:$A$1006,A971,'입금대장'!$E$7:$E$1006,"정상"))</x:f>
      </x:c>
      <x:c r="K971" s="12" t="str">
        <x:f>IF(A971="","",I971-J971)</x:f>
      </x:c>
      <x:c r="L971" s="13" t="str">
        <x:f>IF(A971="","",IF(K971&lt;0,"선입금·초과입금",IF(I971=0,"청구 전",IF(K971=0,"정산 완료",IF(J971=0,"미입금","부분 입금")))))</x:f>
      </x:c>
      <x:c r="M971" s="9"/>
      <x:c r="N971" s="9"/>
    </x:row>
    <x:row r="972" ht="23" customHeight="1">
      <x:c r="A972" s="9"/>
      <x:c r="B972" s="10"/>
      <x:c r="C972" s="9"/>
      <x:c r="D972" s="9"/>
      <x:c r="E972" s="9"/>
      <x:c r="F972" s="11"/>
      <x:c r="G972" s="12" t="str">
        <x:f>IF(A972="","",SUMIFS('출고대장'!$D$7:$D$1006,'출고대장'!$A$7:$A$1006,A972))</x:f>
      </x:c>
      <x:c r="H972" s="12" t="str">
        <x:f>IF(A972="","",F972-G972)</x:f>
      </x:c>
      <x:c r="I972" s="12" t="str">
        <x:f>IF(A972="","",SUMIFS('출고대장'!$K$7:$K$1006,'출고대장'!$A$7:$A$1006,A972))</x:f>
      </x:c>
      <x:c r="J972" s="12" t="str">
        <x:f>IF(A972="","",SUMIFS('입금대장'!$C$7:$C$1006,'입금대장'!$A$7:$A$1006,A972,'입금대장'!$E$7:$E$1006,"정상"))</x:f>
      </x:c>
      <x:c r="K972" s="12" t="str">
        <x:f>IF(A972="","",I972-J972)</x:f>
      </x:c>
      <x:c r="L972" s="13" t="str">
        <x:f>IF(A972="","",IF(K972&lt;0,"선입금·초과입금",IF(I972=0,"청구 전",IF(K972=0,"정산 완료",IF(J972=0,"미입금","부분 입금")))))</x:f>
      </x:c>
      <x:c r="M972" s="9"/>
      <x:c r="N972" s="9"/>
    </x:row>
    <x:row r="973" ht="23" customHeight="1">
      <x:c r="A973" s="9"/>
      <x:c r="B973" s="10"/>
      <x:c r="C973" s="9"/>
      <x:c r="D973" s="9"/>
      <x:c r="E973" s="9"/>
      <x:c r="F973" s="11"/>
      <x:c r="G973" s="12" t="str">
        <x:f>IF(A973="","",SUMIFS('출고대장'!$D$7:$D$1006,'출고대장'!$A$7:$A$1006,A973))</x:f>
      </x:c>
      <x:c r="H973" s="12" t="str">
        <x:f>IF(A973="","",F973-G973)</x:f>
      </x:c>
      <x:c r="I973" s="12" t="str">
        <x:f>IF(A973="","",SUMIFS('출고대장'!$K$7:$K$1006,'출고대장'!$A$7:$A$1006,A973))</x:f>
      </x:c>
      <x:c r="J973" s="12" t="str">
        <x:f>IF(A973="","",SUMIFS('입금대장'!$C$7:$C$1006,'입금대장'!$A$7:$A$1006,A973,'입금대장'!$E$7:$E$1006,"정상"))</x:f>
      </x:c>
      <x:c r="K973" s="12" t="str">
        <x:f>IF(A973="","",I973-J973)</x:f>
      </x:c>
      <x:c r="L973" s="13" t="str">
        <x:f>IF(A973="","",IF(K973&lt;0,"선입금·초과입금",IF(I973=0,"청구 전",IF(K973=0,"정산 완료",IF(J973=0,"미입금","부분 입금")))))</x:f>
      </x:c>
      <x:c r="M973" s="9"/>
      <x:c r="N973" s="9"/>
    </x:row>
    <x:row r="974" ht="23" customHeight="1">
      <x:c r="A974" s="9"/>
      <x:c r="B974" s="10"/>
      <x:c r="C974" s="9"/>
      <x:c r="D974" s="9"/>
      <x:c r="E974" s="9"/>
      <x:c r="F974" s="11"/>
      <x:c r="G974" s="12" t="str">
        <x:f>IF(A974="","",SUMIFS('출고대장'!$D$7:$D$1006,'출고대장'!$A$7:$A$1006,A974))</x:f>
      </x:c>
      <x:c r="H974" s="12" t="str">
        <x:f>IF(A974="","",F974-G974)</x:f>
      </x:c>
      <x:c r="I974" s="12" t="str">
        <x:f>IF(A974="","",SUMIFS('출고대장'!$K$7:$K$1006,'출고대장'!$A$7:$A$1006,A974))</x:f>
      </x:c>
      <x:c r="J974" s="12" t="str">
        <x:f>IF(A974="","",SUMIFS('입금대장'!$C$7:$C$1006,'입금대장'!$A$7:$A$1006,A974,'입금대장'!$E$7:$E$1006,"정상"))</x:f>
      </x:c>
      <x:c r="K974" s="12" t="str">
        <x:f>IF(A974="","",I974-J974)</x:f>
      </x:c>
      <x:c r="L974" s="13" t="str">
        <x:f>IF(A974="","",IF(K974&lt;0,"선입금·초과입금",IF(I974=0,"청구 전",IF(K974=0,"정산 완료",IF(J974=0,"미입금","부분 입금")))))</x:f>
      </x:c>
      <x:c r="M974" s="9"/>
      <x:c r="N974" s="9"/>
    </x:row>
    <x:row r="975" ht="23" customHeight="1">
      <x:c r="A975" s="9"/>
      <x:c r="B975" s="10"/>
      <x:c r="C975" s="9"/>
      <x:c r="D975" s="9"/>
      <x:c r="E975" s="9"/>
      <x:c r="F975" s="11"/>
      <x:c r="G975" s="12" t="str">
        <x:f>IF(A975="","",SUMIFS('출고대장'!$D$7:$D$1006,'출고대장'!$A$7:$A$1006,A975))</x:f>
      </x:c>
      <x:c r="H975" s="12" t="str">
        <x:f>IF(A975="","",F975-G975)</x:f>
      </x:c>
      <x:c r="I975" s="12" t="str">
        <x:f>IF(A975="","",SUMIFS('출고대장'!$K$7:$K$1006,'출고대장'!$A$7:$A$1006,A975))</x:f>
      </x:c>
      <x:c r="J975" s="12" t="str">
        <x:f>IF(A975="","",SUMIFS('입금대장'!$C$7:$C$1006,'입금대장'!$A$7:$A$1006,A975,'입금대장'!$E$7:$E$1006,"정상"))</x:f>
      </x:c>
      <x:c r="K975" s="12" t="str">
        <x:f>IF(A975="","",I975-J975)</x:f>
      </x:c>
      <x:c r="L975" s="13" t="str">
        <x:f>IF(A975="","",IF(K975&lt;0,"선입금·초과입금",IF(I975=0,"청구 전",IF(K975=0,"정산 완료",IF(J975=0,"미입금","부분 입금")))))</x:f>
      </x:c>
      <x:c r="M975" s="9"/>
      <x:c r="N975" s="9"/>
    </x:row>
    <x:row r="976" ht="23" customHeight="1">
      <x:c r="A976" s="9"/>
      <x:c r="B976" s="10"/>
      <x:c r="C976" s="9"/>
      <x:c r="D976" s="9"/>
      <x:c r="E976" s="9"/>
      <x:c r="F976" s="11"/>
      <x:c r="G976" s="12" t="str">
        <x:f>IF(A976="","",SUMIFS('출고대장'!$D$7:$D$1006,'출고대장'!$A$7:$A$1006,A976))</x:f>
      </x:c>
      <x:c r="H976" s="12" t="str">
        <x:f>IF(A976="","",F976-G976)</x:f>
      </x:c>
      <x:c r="I976" s="12" t="str">
        <x:f>IF(A976="","",SUMIFS('출고대장'!$K$7:$K$1006,'출고대장'!$A$7:$A$1006,A976))</x:f>
      </x:c>
      <x:c r="J976" s="12" t="str">
        <x:f>IF(A976="","",SUMIFS('입금대장'!$C$7:$C$1006,'입금대장'!$A$7:$A$1006,A976,'입금대장'!$E$7:$E$1006,"정상"))</x:f>
      </x:c>
      <x:c r="K976" s="12" t="str">
        <x:f>IF(A976="","",I976-J976)</x:f>
      </x:c>
      <x:c r="L976" s="13" t="str">
        <x:f>IF(A976="","",IF(K976&lt;0,"선입금·초과입금",IF(I976=0,"청구 전",IF(K976=0,"정산 완료",IF(J976=0,"미입금","부분 입금")))))</x:f>
      </x:c>
      <x:c r="M976" s="9"/>
      <x:c r="N976" s="9"/>
    </x:row>
    <x:row r="977" ht="23" customHeight="1">
      <x:c r="A977" s="9"/>
      <x:c r="B977" s="10"/>
      <x:c r="C977" s="9"/>
      <x:c r="D977" s="9"/>
      <x:c r="E977" s="9"/>
      <x:c r="F977" s="11"/>
      <x:c r="G977" s="12" t="str">
        <x:f>IF(A977="","",SUMIFS('출고대장'!$D$7:$D$1006,'출고대장'!$A$7:$A$1006,A977))</x:f>
      </x:c>
      <x:c r="H977" s="12" t="str">
        <x:f>IF(A977="","",F977-G977)</x:f>
      </x:c>
      <x:c r="I977" s="12" t="str">
        <x:f>IF(A977="","",SUMIFS('출고대장'!$K$7:$K$1006,'출고대장'!$A$7:$A$1006,A977))</x:f>
      </x:c>
      <x:c r="J977" s="12" t="str">
        <x:f>IF(A977="","",SUMIFS('입금대장'!$C$7:$C$1006,'입금대장'!$A$7:$A$1006,A977,'입금대장'!$E$7:$E$1006,"정상"))</x:f>
      </x:c>
      <x:c r="K977" s="12" t="str">
        <x:f>IF(A977="","",I977-J977)</x:f>
      </x:c>
      <x:c r="L977" s="13" t="str">
        <x:f>IF(A977="","",IF(K977&lt;0,"선입금·초과입금",IF(I977=0,"청구 전",IF(K977=0,"정산 완료",IF(J977=0,"미입금","부분 입금")))))</x:f>
      </x:c>
      <x:c r="M977" s="9"/>
      <x:c r="N977" s="9"/>
    </x:row>
    <x:row r="978" ht="23" customHeight="1">
      <x:c r="A978" s="9"/>
      <x:c r="B978" s="10"/>
      <x:c r="C978" s="9"/>
      <x:c r="D978" s="9"/>
      <x:c r="E978" s="9"/>
      <x:c r="F978" s="11"/>
      <x:c r="G978" s="12" t="str">
        <x:f>IF(A978="","",SUMIFS('출고대장'!$D$7:$D$1006,'출고대장'!$A$7:$A$1006,A978))</x:f>
      </x:c>
      <x:c r="H978" s="12" t="str">
        <x:f>IF(A978="","",F978-G978)</x:f>
      </x:c>
      <x:c r="I978" s="12" t="str">
        <x:f>IF(A978="","",SUMIFS('출고대장'!$K$7:$K$1006,'출고대장'!$A$7:$A$1006,A978))</x:f>
      </x:c>
      <x:c r="J978" s="12" t="str">
        <x:f>IF(A978="","",SUMIFS('입금대장'!$C$7:$C$1006,'입금대장'!$A$7:$A$1006,A978,'입금대장'!$E$7:$E$1006,"정상"))</x:f>
      </x:c>
      <x:c r="K978" s="12" t="str">
        <x:f>IF(A978="","",I978-J978)</x:f>
      </x:c>
      <x:c r="L978" s="13" t="str">
        <x:f>IF(A978="","",IF(K978&lt;0,"선입금·초과입금",IF(I978=0,"청구 전",IF(K978=0,"정산 완료",IF(J978=0,"미입금","부분 입금")))))</x:f>
      </x:c>
      <x:c r="M978" s="9"/>
      <x:c r="N978" s="9"/>
    </x:row>
    <x:row r="979" ht="23" customHeight="1">
      <x:c r="A979" s="9"/>
      <x:c r="B979" s="10"/>
      <x:c r="C979" s="9"/>
      <x:c r="D979" s="9"/>
      <x:c r="E979" s="9"/>
      <x:c r="F979" s="11"/>
      <x:c r="G979" s="12" t="str">
        <x:f>IF(A979="","",SUMIFS('출고대장'!$D$7:$D$1006,'출고대장'!$A$7:$A$1006,A979))</x:f>
      </x:c>
      <x:c r="H979" s="12" t="str">
        <x:f>IF(A979="","",F979-G979)</x:f>
      </x:c>
      <x:c r="I979" s="12" t="str">
        <x:f>IF(A979="","",SUMIFS('출고대장'!$K$7:$K$1006,'출고대장'!$A$7:$A$1006,A979))</x:f>
      </x:c>
      <x:c r="J979" s="12" t="str">
        <x:f>IF(A979="","",SUMIFS('입금대장'!$C$7:$C$1006,'입금대장'!$A$7:$A$1006,A979,'입금대장'!$E$7:$E$1006,"정상"))</x:f>
      </x:c>
      <x:c r="K979" s="12" t="str">
        <x:f>IF(A979="","",I979-J979)</x:f>
      </x:c>
      <x:c r="L979" s="13" t="str">
        <x:f>IF(A979="","",IF(K979&lt;0,"선입금·초과입금",IF(I979=0,"청구 전",IF(K979=0,"정산 완료",IF(J979=0,"미입금","부분 입금")))))</x:f>
      </x:c>
      <x:c r="M979" s="9"/>
      <x:c r="N979" s="9"/>
    </x:row>
    <x:row r="980" ht="23" customHeight="1">
      <x:c r="A980" s="9"/>
      <x:c r="B980" s="10"/>
      <x:c r="C980" s="9"/>
      <x:c r="D980" s="9"/>
      <x:c r="E980" s="9"/>
      <x:c r="F980" s="11"/>
      <x:c r="G980" s="12" t="str">
        <x:f>IF(A980="","",SUMIFS('출고대장'!$D$7:$D$1006,'출고대장'!$A$7:$A$1006,A980))</x:f>
      </x:c>
      <x:c r="H980" s="12" t="str">
        <x:f>IF(A980="","",F980-G980)</x:f>
      </x:c>
      <x:c r="I980" s="12" t="str">
        <x:f>IF(A980="","",SUMIFS('출고대장'!$K$7:$K$1006,'출고대장'!$A$7:$A$1006,A980))</x:f>
      </x:c>
      <x:c r="J980" s="12" t="str">
        <x:f>IF(A980="","",SUMIFS('입금대장'!$C$7:$C$1006,'입금대장'!$A$7:$A$1006,A980,'입금대장'!$E$7:$E$1006,"정상"))</x:f>
      </x:c>
      <x:c r="K980" s="12" t="str">
        <x:f>IF(A980="","",I980-J980)</x:f>
      </x:c>
      <x:c r="L980" s="13" t="str">
        <x:f>IF(A980="","",IF(K980&lt;0,"선입금·초과입금",IF(I980=0,"청구 전",IF(K980=0,"정산 완료",IF(J980=0,"미입금","부분 입금")))))</x:f>
      </x:c>
      <x:c r="M980" s="9"/>
      <x:c r="N980" s="9"/>
    </x:row>
    <x:row r="981" ht="23" customHeight="1">
      <x:c r="A981" s="9"/>
      <x:c r="B981" s="10"/>
      <x:c r="C981" s="9"/>
      <x:c r="D981" s="9"/>
      <x:c r="E981" s="9"/>
      <x:c r="F981" s="11"/>
      <x:c r="G981" s="12" t="str">
        <x:f>IF(A981="","",SUMIFS('출고대장'!$D$7:$D$1006,'출고대장'!$A$7:$A$1006,A981))</x:f>
      </x:c>
      <x:c r="H981" s="12" t="str">
        <x:f>IF(A981="","",F981-G981)</x:f>
      </x:c>
      <x:c r="I981" s="12" t="str">
        <x:f>IF(A981="","",SUMIFS('출고대장'!$K$7:$K$1006,'출고대장'!$A$7:$A$1006,A981))</x:f>
      </x:c>
      <x:c r="J981" s="12" t="str">
        <x:f>IF(A981="","",SUMIFS('입금대장'!$C$7:$C$1006,'입금대장'!$A$7:$A$1006,A981,'입금대장'!$E$7:$E$1006,"정상"))</x:f>
      </x:c>
      <x:c r="K981" s="12" t="str">
        <x:f>IF(A981="","",I981-J981)</x:f>
      </x:c>
      <x:c r="L981" s="13" t="str">
        <x:f>IF(A981="","",IF(K981&lt;0,"선입금·초과입금",IF(I981=0,"청구 전",IF(K981=0,"정산 완료",IF(J981=0,"미입금","부분 입금")))))</x:f>
      </x:c>
      <x:c r="M981" s="9"/>
      <x:c r="N981" s="9"/>
    </x:row>
    <x:row r="982" ht="23" customHeight="1">
      <x:c r="A982" s="9"/>
      <x:c r="B982" s="10"/>
      <x:c r="C982" s="9"/>
      <x:c r="D982" s="9"/>
      <x:c r="E982" s="9"/>
      <x:c r="F982" s="11"/>
      <x:c r="G982" s="12" t="str">
        <x:f>IF(A982="","",SUMIFS('출고대장'!$D$7:$D$1006,'출고대장'!$A$7:$A$1006,A982))</x:f>
      </x:c>
      <x:c r="H982" s="12" t="str">
        <x:f>IF(A982="","",F982-G982)</x:f>
      </x:c>
      <x:c r="I982" s="12" t="str">
        <x:f>IF(A982="","",SUMIFS('출고대장'!$K$7:$K$1006,'출고대장'!$A$7:$A$1006,A982))</x:f>
      </x:c>
      <x:c r="J982" s="12" t="str">
        <x:f>IF(A982="","",SUMIFS('입금대장'!$C$7:$C$1006,'입금대장'!$A$7:$A$1006,A982,'입금대장'!$E$7:$E$1006,"정상"))</x:f>
      </x:c>
      <x:c r="K982" s="12" t="str">
        <x:f>IF(A982="","",I982-J982)</x:f>
      </x:c>
      <x:c r="L982" s="13" t="str">
        <x:f>IF(A982="","",IF(K982&lt;0,"선입금·초과입금",IF(I982=0,"청구 전",IF(K982=0,"정산 완료",IF(J982=0,"미입금","부분 입금")))))</x:f>
      </x:c>
      <x:c r="M982" s="9"/>
      <x:c r="N982" s="9"/>
    </x:row>
    <x:row r="983" ht="23" customHeight="1">
      <x:c r="A983" s="9"/>
      <x:c r="B983" s="10"/>
      <x:c r="C983" s="9"/>
      <x:c r="D983" s="9"/>
      <x:c r="E983" s="9"/>
      <x:c r="F983" s="11"/>
      <x:c r="G983" s="12" t="str">
        <x:f>IF(A983="","",SUMIFS('출고대장'!$D$7:$D$1006,'출고대장'!$A$7:$A$1006,A983))</x:f>
      </x:c>
      <x:c r="H983" s="12" t="str">
        <x:f>IF(A983="","",F983-G983)</x:f>
      </x:c>
      <x:c r="I983" s="12" t="str">
        <x:f>IF(A983="","",SUMIFS('출고대장'!$K$7:$K$1006,'출고대장'!$A$7:$A$1006,A983))</x:f>
      </x:c>
      <x:c r="J983" s="12" t="str">
        <x:f>IF(A983="","",SUMIFS('입금대장'!$C$7:$C$1006,'입금대장'!$A$7:$A$1006,A983,'입금대장'!$E$7:$E$1006,"정상"))</x:f>
      </x:c>
      <x:c r="K983" s="12" t="str">
        <x:f>IF(A983="","",I983-J983)</x:f>
      </x:c>
      <x:c r="L983" s="13" t="str">
        <x:f>IF(A983="","",IF(K983&lt;0,"선입금·초과입금",IF(I983=0,"청구 전",IF(K983=0,"정산 완료",IF(J983=0,"미입금","부분 입금")))))</x:f>
      </x:c>
      <x:c r="M983" s="9"/>
      <x:c r="N983" s="9"/>
    </x:row>
    <x:row r="984" ht="23" customHeight="1">
      <x:c r="A984" s="9"/>
      <x:c r="B984" s="10"/>
      <x:c r="C984" s="9"/>
      <x:c r="D984" s="9"/>
      <x:c r="E984" s="9"/>
      <x:c r="F984" s="11"/>
      <x:c r="G984" s="12" t="str">
        <x:f>IF(A984="","",SUMIFS('출고대장'!$D$7:$D$1006,'출고대장'!$A$7:$A$1006,A984))</x:f>
      </x:c>
      <x:c r="H984" s="12" t="str">
        <x:f>IF(A984="","",F984-G984)</x:f>
      </x:c>
      <x:c r="I984" s="12" t="str">
        <x:f>IF(A984="","",SUMIFS('출고대장'!$K$7:$K$1006,'출고대장'!$A$7:$A$1006,A984))</x:f>
      </x:c>
      <x:c r="J984" s="12" t="str">
        <x:f>IF(A984="","",SUMIFS('입금대장'!$C$7:$C$1006,'입금대장'!$A$7:$A$1006,A984,'입금대장'!$E$7:$E$1006,"정상"))</x:f>
      </x:c>
      <x:c r="K984" s="12" t="str">
        <x:f>IF(A984="","",I984-J984)</x:f>
      </x:c>
      <x:c r="L984" s="13" t="str">
        <x:f>IF(A984="","",IF(K984&lt;0,"선입금·초과입금",IF(I984=0,"청구 전",IF(K984=0,"정산 완료",IF(J984=0,"미입금","부분 입금")))))</x:f>
      </x:c>
      <x:c r="M984" s="9"/>
      <x:c r="N984" s="9"/>
    </x:row>
    <x:row r="985" ht="23" customHeight="1">
      <x:c r="A985" s="9"/>
      <x:c r="B985" s="10"/>
      <x:c r="C985" s="9"/>
      <x:c r="D985" s="9"/>
      <x:c r="E985" s="9"/>
      <x:c r="F985" s="11"/>
      <x:c r="G985" s="12" t="str">
        <x:f>IF(A985="","",SUMIFS('출고대장'!$D$7:$D$1006,'출고대장'!$A$7:$A$1006,A985))</x:f>
      </x:c>
      <x:c r="H985" s="12" t="str">
        <x:f>IF(A985="","",F985-G985)</x:f>
      </x:c>
      <x:c r="I985" s="12" t="str">
        <x:f>IF(A985="","",SUMIFS('출고대장'!$K$7:$K$1006,'출고대장'!$A$7:$A$1006,A985))</x:f>
      </x:c>
      <x:c r="J985" s="12" t="str">
        <x:f>IF(A985="","",SUMIFS('입금대장'!$C$7:$C$1006,'입금대장'!$A$7:$A$1006,A985,'입금대장'!$E$7:$E$1006,"정상"))</x:f>
      </x:c>
      <x:c r="K985" s="12" t="str">
        <x:f>IF(A985="","",I985-J985)</x:f>
      </x:c>
      <x:c r="L985" s="13" t="str">
        <x:f>IF(A985="","",IF(K985&lt;0,"선입금·초과입금",IF(I985=0,"청구 전",IF(K985=0,"정산 완료",IF(J985=0,"미입금","부분 입금")))))</x:f>
      </x:c>
      <x:c r="M985" s="9"/>
      <x:c r="N985" s="9"/>
    </x:row>
    <x:row r="986" ht="23" customHeight="1">
      <x:c r="A986" s="9"/>
      <x:c r="B986" s="10"/>
      <x:c r="C986" s="9"/>
      <x:c r="D986" s="9"/>
      <x:c r="E986" s="9"/>
      <x:c r="F986" s="11"/>
      <x:c r="G986" s="12" t="str">
        <x:f>IF(A986="","",SUMIFS('출고대장'!$D$7:$D$1006,'출고대장'!$A$7:$A$1006,A986))</x:f>
      </x:c>
      <x:c r="H986" s="12" t="str">
        <x:f>IF(A986="","",F986-G986)</x:f>
      </x:c>
      <x:c r="I986" s="12" t="str">
        <x:f>IF(A986="","",SUMIFS('출고대장'!$K$7:$K$1006,'출고대장'!$A$7:$A$1006,A986))</x:f>
      </x:c>
      <x:c r="J986" s="12" t="str">
        <x:f>IF(A986="","",SUMIFS('입금대장'!$C$7:$C$1006,'입금대장'!$A$7:$A$1006,A986,'입금대장'!$E$7:$E$1006,"정상"))</x:f>
      </x:c>
      <x:c r="K986" s="12" t="str">
        <x:f>IF(A986="","",I986-J986)</x:f>
      </x:c>
      <x:c r="L986" s="13" t="str">
        <x:f>IF(A986="","",IF(K986&lt;0,"선입금·초과입금",IF(I986=0,"청구 전",IF(K986=0,"정산 완료",IF(J986=0,"미입금","부분 입금")))))</x:f>
      </x:c>
      <x:c r="M986" s="9"/>
      <x:c r="N986" s="9"/>
    </x:row>
    <x:row r="987" ht="23" customHeight="1">
      <x:c r="A987" s="9"/>
      <x:c r="B987" s="10"/>
      <x:c r="C987" s="9"/>
      <x:c r="D987" s="9"/>
      <x:c r="E987" s="9"/>
      <x:c r="F987" s="11"/>
      <x:c r="G987" s="12" t="str">
        <x:f>IF(A987="","",SUMIFS('출고대장'!$D$7:$D$1006,'출고대장'!$A$7:$A$1006,A987))</x:f>
      </x:c>
      <x:c r="H987" s="12" t="str">
        <x:f>IF(A987="","",F987-G987)</x:f>
      </x:c>
      <x:c r="I987" s="12" t="str">
        <x:f>IF(A987="","",SUMIFS('출고대장'!$K$7:$K$1006,'출고대장'!$A$7:$A$1006,A987))</x:f>
      </x:c>
      <x:c r="J987" s="12" t="str">
        <x:f>IF(A987="","",SUMIFS('입금대장'!$C$7:$C$1006,'입금대장'!$A$7:$A$1006,A987,'입금대장'!$E$7:$E$1006,"정상"))</x:f>
      </x:c>
      <x:c r="K987" s="12" t="str">
        <x:f>IF(A987="","",I987-J987)</x:f>
      </x:c>
      <x:c r="L987" s="13" t="str">
        <x:f>IF(A987="","",IF(K987&lt;0,"선입금·초과입금",IF(I987=0,"청구 전",IF(K987=0,"정산 완료",IF(J987=0,"미입금","부분 입금")))))</x:f>
      </x:c>
      <x:c r="M987" s="9"/>
      <x:c r="N987" s="9"/>
    </x:row>
    <x:row r="988" ht="23" customHeight="1">
      <x:c r="A988" s="9"/>
      <x:c r="B988" s="10"/>
      <x:c r="C988" s="9"/>
      <x:c r="D988" s="9"/>
      <x:c r="E988" s="9"/>
      <x:c r="F988" s="11"/>
      <x:c r="G988" s="12" t="str">
        <x:f>IF(A988="","",SUMIFS('출고대장'!$D$7:$D$1006,'출고대장'!$A$7:$A$1006,A988))</x:f>
      </x:c>
      <x:c r="H988" s="12" t="str">
        <x:f>IF(A988="","",F988-G988)</x:f>
      </x:c>
      <x:c r="I988" s="12" t="str">
        <x:f>IF(A988="","",SUMIFS('출고대장'!$K$7:$K$1006,'출고대장'!$A$7:$A$1006,A988))</x:f>
      </x:c>
      <x:c r="J988" s="12" t="str">
        <x:f>IF(A988="","",SUMIFS('입금대장'!$C$7:$C$1006,'입금대장'!$A$7:$A$1006,A988,'입금대장'!$E$7:$E$1006,"정상"))</x:f>
      </x:c>
      <x:c r="K988" s="12" t="str">
        <x:f>IF(A988="","",I988-J988)</x:f>
      </x:c>
      <x:c r="L988" s="13" t="str">
        <x:f>IF(A988="","",IF(K988&lt;0,"선입금·초과입금",IF(I988=0,"청구 전",IF(K988=0,"정산 완료",IF(J988=0,"미입금","부분 입금")))))</x:f>
      </x:c>
      <x:c r="M988" s="9"/>
      <x:c r="N988" s="9"/>
    </x:row>
    <x:row r="989" ht="23" customHeight="1">
      <x:c r="A989" s="9"/>
      <x:c r="B989" s="10"/>
      <x:c r="C989" s="9"/>
      <x:c r="D989" s="9"/>
      <x:c r="E989" s="9"/>
      <x:c r="F989" s="11"/>
      <x:c r="G989" s="12" t="str">
        <x:f>IF(A989="","",SUMIFS('출고대장'!$D$7:$D$1006,'출고대장'!$A$7:$A$1006,A989))</x:f>
      </x:c>
      <x:c r="H989" s="12" t="str">
        <x:f>IF(A989="","",F989-G989)</x:f>
      </x:c>
      <x:c r="I989" s="12" t="str">
        <x:f>IF(A989="","",SUMIFS('출고대장'!$K$7:$K$1006,'출고대장'!$A$7:$A$1006,A989))</x:f>
      </x:c>
      <x:c r="J989" s="12" t="str">
        <x:f>IF(A989="","",SUMIFS('입금대장'!$C$7:$C$1006,'입금대장'!$A$7:$A$1006,A989,'입금대장'!$E$7:$E$1006,"정상"))</x:f>
      </x:c>
      <x:c r="K989" s="12" t="str">
        <x:f>IF(A989="","",I989-J989)</x:f>
      </x:c>
      <x:c r="L989" s="13" t="str">
        <x:f>IF(A989="","",IF(K989&lt;0,"선입금·초과입금",IF(I989=0,"청구 전",IF(K989=0,"정산 완료",IF(J989=0,"미입금","부분 입금")))))</x:f>
      </x:c>
      <x:c r="M989" s="9"/>
      <x:c r="N989" s="9"/>
    </x:row>
    <x:row r="990" ht="23" customHeight="1">
      <x:c r="A990" s="9"/>
      <x:c r="B990" s="10"/>
      <x:c r="C990" s="9"/>
      <x:c r="D990" s="9"/>
      <x:c r="E990" s="9"/>
      <x:c r="F990" s="11"/>
      <x:c r="G990" s="12" t="str">
        <x:f>IF(A990="","",SUMIFS('출고대장'!$D$7:$D$1006,'출고대장'!$A$7:$A$1006,A990))</x:f>
      </x:c>
      <x:c r="H990" s="12" t="str">
        <x:f>IF(A990="","",F990-G990)</x:f>
      </x:c>
      <x:c r="I990" s="12" t="str">
        <x:f>IF(A990="","",SUMIFS('출고대장'!$K$7:$K$1006,'출고대장'!$A$7:$A$1006,A990))</x:f>
      </x:c>
      <x:c r="J990" s="12" t="str">
        <x:f>IF(A990="","",SUMIFS('입금대장'!$C$7:$C$1006,'입금대장'!$A$7:$A$1006,A990,'입금대장'!$E$7:$E$1006,"정상"))</x:f>
      </x:c>
      <x:c r="K990" s="12" t="str">
        <x:f>IF(A990="","",I990-J990)</x:f>
      </x:c>
      <x:c r="L990" s="13" t="str">
        <x:f>IF(A990="","",IF(K990&lt;0,"선입금·초과입금",IF(I990=0,"청구 전",IF(K990=0,"정산 완료",IF(J990=0,"미입금","부분 입금")))))</x:f>
      </x:c>
      <x:c r="M990" s="9"/>
      <x:c r="N990" s="9"/>
    </x:row>
    <x:row r="991" ht="23" customHeight="1">
      <x:c r="A991" s="9"/>
      <x:c r="B991" s="10"/>
      <x:c r="C991" s="9"/>
      <x:c r="D991" s="9"/>
      <x:c r="E991" s="9"/>
      <x:c r="F991" s="11"/>
      <x:c r="G991" s="12" t="str">
        <x:f>IF(A991="","",SUMIFS('출고대장'!$D$7:$D$1006,'출고대장'!$A$7:$A$1006,A991))</x:f>
      </x:c>
      <x:c r="H991" s="12" t="str">
        <x:f>IF(A991="","",F991-G991)</x:f>
      </x:c>
      <x:c r="I991" s="12" t="str">
        <x:f>IF(A991="","",SUMIFS('출고대장'!$K$7:$K$1006,'출고대장'!$A$7:$A$1006,A991))</x:f>
      </x:c>
      <x:c r="J991" s="12" t="str">
        <x:f>IF(A991="","",SUMIFS('입금대장'!$C$7:$C$1006,'입금대장'!$A$7:$A$1006,A991,'입금대장'!$E$7:$E$1006,"정상"))</x:f>
      </x:c>
      <x:c r="K991" s="12" t="str">
        <x:f>IF(A991="","",I991-J991)</x:f>
      </x:c>
      <x:c r="L991" s="13" t="str">
        <x:f>IF(A991="","",IF(K991&lt;0,"선입금·초과입금",IF(I991=0,"청구 전",IF(K991=0,"정산 완료",IF(J991=0,"미입금","부분 입금")))))</x:f>
      </x:c>
      <x:c r="M991" s="9"/>
      <x:c r="N991" s="9"/>
    </x:row>
    <x:row r="992" ht="23" customHeight="1">
      <x:c r="A992" s="9"/>
      <x:c r="B992" s="10"/>
      <x:c r="C992" s="9"/>
      <x:c r="D992" s="9"/>
      <x:c r="E992" s="9"/>
      <x:c r="F992" s="11"/>
      <x:c r="G992" s="12" t="str">
        <x:f>IF(A992="","",SUMIFS('출고대장'!$D$7:$D$1006,'출고대장'!$A$7:$A$1006,A992))</x:f>
      </x:c>
      <x:c r="H992" s="12" t="str">
        <x:f>IF(A992="","",F992-G992)</x:f>
      </x:c>
      <x:c r="I992" s="12" t="str">
        <x:f>IF(A992="","",SUMIFS('출고대장'!$K$7:$K$1006,'출고대장'!$A$7:$A$1006,A992))</x:f>
      </x:c>
      <x:c r="J992" s="12" t="str">
        <x:f>IF(A992="","",SUMIFS('입금대장'!$C$7:$C$1006,'입금대장'!$A$7:$A$1006,A992,'입금대장'!$E$7:$E$1006,"정상"))</x:f>
      </x:c>
      <x:c r="K992" s="12" t="str">
        <x:f>IF(A992="","",I992-J992)</x:f>
      </x:c>
      <x:c r="L992" s="13" t="str">
        <x:f>IF(A992="","",IF(K992&lt;0,"선입금·초과입금",IF(I992=0,"청구 전",IF(K992=0,"정산 완료",IF(J992=0,"미입금","부분 입금")))))</x:f>
      </x:c>
      <x:c r="M992" s="9"/>
      <x:c r="N992" s="9"/>
    </x:row>
    <x:row r="993" ht="23" customHeight="1">
      <x:c r="A993" s="9"/>
      <x:c r="B993" s="10"/>
      <x:c r="C993" s="9"/>
      <x:c r="D993" s="9"/>
      <x:c r="E993" s="9"/>
      <x:c r="F993" s="11"/>
      <x:c r="G993" s="12" t="str">
        <x:f>IF(A993="","",SUMIFS('출고대장'!$D$7:$D$1006,'출고대장'!$A$7:$A$1006,A993))</x:f>
      </x:c>
      <x:c r="H993" s="12" t="str">
        <x:f>IF(A993="","",F993-G993)</x:f>
      </x:c>
      <x:c r="I993" s="12" t="str">
        <x:f>IF(A993="","",SUMIFS('출고대장'!$K$7:$K$1006,'출고대장'!$A$7:$A$1006,A993))</x:f>
      </x:c>
      <x:c r="J993" s="12" t="str">
        <x:f>IF(A993="","",SUMIFS('입금대장'!$C$7:$C$1006,'입금대장'!$A$7:$A$1006,A993,'입금대장'!$E$7:$E$1006,"정상"))</x:f>
      </x:c>
      <x:c r="K993" s="12" t="str">
        <x:f>IF(A993="","",I993-J993)</x:f>
      </x:c>
      <x:c r="L993" s="13" t="str">
        <x:f>IF(A993="","",IF(K993&lt;0,"선입금·초과입금",IF(I993=0,"청구 전",IF(K993=0,"정산 완료",IF(J993=0,"미입금","부분 입금")))))</x:f>
      </x:c>
      <x:c r="M993" s="9"/>
      <x:c r="N993" s="9"/>
    </x:row>
    <x:row r="994" ht="23" customHeight="1">
      <x:c r="A994" s="9"/>
      <x:c r="B994" s="10"/>
      <x:c r="C994" s="9"/>
      <x:c r="D994" s="9"/>
      <x:c r="E994" s="9"/>
      <x:c r="F994" s="11"/>
      <x:c r="G994" s="12" t="str">
        <x:f>IF(A994="","",SUMIFS('출고대장'!$D$7:$D$1006,'출고대장'!$A$7:$A$1006,A994))</x:f>
      </x:c>
      <x:c r="H994" s="12" t="str">
        <x:f>IF(A994="","",F994-G994)</x:f>
      </x:c>
      <x:c r="I994" s="12" t="str">
        <x:f>IF(A994="","",SUMIFS('출고대장'!$K$7:$K$1006,'출고대장'!$A$7:$A$1006,A994))</x:f>
      </x:c>
      <x:c r="J994" s="12" t="str">
        <x:f>IF(A994="","",SUMIFS('입금대장'!$C$7:$C$1006,'입금대장'!$A$7:$A$1006,A994,'입금대장'!$E$7:$E$1006,"정상"))</x:f>
      </x:c>
      <x:c r="K994" s="12" t="str">
        <x:f>IF(A994="","",I994-J994)</x:f>
      </x:c>
      <x:c r="L994" s="13" t="str">
        <x:f>IF(A994="","",IF(K994&lt;0,"선입금·초과입금",IF(I994=0,"청구 전",IF(K994=0,"정산 완료",IF(J994=0,"미입금","부분 입금")))))</x:f>
      </x:c>
      <x:c r="M994" s="9"/>
      <x:c r="N994" s="9"/>
    </x:row>
    <x:row r="995" ht="23" customHeight="1">
      <x:c r="A995" s="9"/>
      <x:c r="B995" s="10"/>
      <x:c r="C995" s="9"/>
      <x:c r="D995" s="9"/>
      <x:c r="E995" s="9"/>
      <x:c r="F995" s="11"/>
      <x:c r="G995" s="12" t="str">
        <x:f>IF(A995="","",SUMIFS('출고대장'!$D$7:$D$1006,'출고대장'!$A$7:$A$1006,A995))</x:f>
      </x:c>
      <x:c r="H995" s="12" t="str">
        <x:f>IF(A995="","",F995-G995)</x:f>
      </x:c>
      <x:c r="I995" s="12" t="str">
        <x:f>IF(A995="","",SUMIFS('출고대장'!$K$7:$K$1006,'출고대장'!$A$7:$A$1006,A995))</x:f>
      </x:c>
      <x:c r="J995" s="12" t="str">
        <x:f>IF(A995="","",SUMIFS('입금대장'!$C$7:$C$1006,'입금대장'!$A$7:$A$1006,A995,'입금대장'!$E$7:$E$1006,"정상"))</x:f>
      </x:c>
      <x:c r="K995" s="12" t="str">
        <x:f>IF(A995="","",I995-J995)</x:f>
      </x:c>
      <x:c r="L995" s="13" t="str">
        <x:f>IF(A995="","",IF(K995&lt;0,"선입금·초과입금",IF(I995=0,"청구 전",IF(K995=0,"정산 완료",IF(J995=0,"미입금","부분 입금")))))</x:f>
      </x:c>
      <x:c r="M995" s="9"/>
      <x:c r="N995" s="9"/>
    </x:row>
    <x:row r="996" ht="23" customHeight="1">
      <x:c r="A996" s="9"/>
      <x:c r="B996" s="10"/>
      <x:c r="C996" s="9"/>
      <x:c r="D996" s="9"/>
      <x:c r="E996" s="9"/>
      <x:c r="F996" s="11"/>
      <x:c r="G996" s="12" t="str">
        <x:f>IF(A996="","",SUMIFS('출고대장'!$D$7:$D$1006,'출고대장'!$A$7:$A$1006,A996))</x:f>
      </x:c>
      <x:c r="H996" s="12" t="str">
        <x:f>IF(A996="","",F996-G996)</x:f>
      </x:c>
      <x:c r="I996" s="12" t="str">
        <x:f>IF(A996="","",SUMIFS('출고대장'!$K$7:$K$1006,'출고대장'!$A$7:$A$1006,A996))</x:f>
      </x:c>
      <x:c r="J996" s="12" t="str">
        <x:f>IF(A996="","",SUMIFS('입금대장'!$C$7:$C$1006,'입금대장'!$A$7:$A$1006,A996,'입금대장'!$E$7:$E$1006,"정상"))</x:f>
      </x:c>
      <x:c r="K996" s="12" t="str">
        <x:f>IF(A996="","",I996-J996)</x:f>
      </x:c>
      <x:c r="L996" s="13" t="str">
        <x:f>IF(A996="","",IF(K996&lt;0,"선입금·초과입금",IF(I996=0,"청구 전",IF(K996=0,"정산 완료",IF(J996=0,"미입금","부분 입금")))))</x:f>
      </x:c>
      <x:c r="M996" s="9"/>
      <x:c r="N996" s="9"/>
    </x:row>
    <x:row r="997" ht="23" customHeight="1">
      <x:c r="A997" s="9"/>
      <x:c r="B997" s="10"/>
      <x:c r="C997" s="9"/>
      <x:c r="D997" s="9"/>
      <x:c r="E997" s="9"/>
      <x:c r="F997" s="11"/>
      <x:c r="G997" s="12" t="str">
        <x:f>IF(A997="","",SUMIFS('출고대장'!$D$7:$D$1006,'출고대장'!$A$7:$A$1006,A997))</x:f>
      </x:c>
      <x:c r="H997" s="12" t="str">
        <x:f>IF(A997="","",F997-G997)</x:f>
      </x:c>
      <x:c r="I997" s="12" t="str">
        <x:f>IF(A997="","",SUMIFS('출고대장'!$K$7:$K$1006,'출고대장'!$A$7:$A$1006,A997))</x:f>
      </x:c>
      <x:c r="J997" s="12" t="str">
        <x:f>IF(A997="","",SUMIFS('입금대장'!$C$7:$C$1006,'입금대장'!$A$7:$A$1006,A997,'입금대장'!$E$7:$E$1006,"정상"))</x:f>
      </x:c>
      <x:c r="K997" s="12" t="str">
        <x:f>IF(A997="","",I997-J997)</x:f>
      </x:c>
      <x:c r="L997" s="13" t="str">
        <x:f>IF(A997="","",IF(K997&lt;0,"선입금·초과입금",IF(I997=0,"청구 전",IF(K997=0,"정산 완료",IF(J997=0,"미입금","부분 입금")))))</x:f>
      </x:c>
      <x:c r="M997" s="9"/>
      <x:c r="N997" s="9"/>
    </x:row>
    <x:row r="998" ht="23" customHeight="1">
      <x:c r="A998" s="9"/>
      <x:c r="B998" s="10"/>
      <x:c r="C998" s="9"/>
      <x:c r="D998" s="9"/>
      <x:c r="E998" s="9"/>
      <x:c r="F998" s="11"/>
      <x:c r="G998" s="12" t="str">
        <x:f>IF(A998="","",SUMIFS('출고대장'!$D$7:$D$1006,'출고대장'!$A$7:$A$1006,A998))</x:f>
      </x:c>
      <x:c r="H998" s="12" t="str">
        <x:f>IF(A998="","",F998-G998)</x:f>
      </x:c>
      <x:c r="I998" s="12" t="str">
        <x:f>IF(A998="","",SUMIFS('출고대장'!$K$7:$K$1006,'출고대장'!$A$7:$A$1006,A998))</x:f>
      </x:c>
      <x:c r="J998" s="12" t="str">
        <x:f>IF(A998="","",SUMIFS('입금대장'!$C$7:$C$1006,'입금대장'!$A$7:$A$1006,A998,'입금대장'!$E$7:$E$1006,"정상"))</x:f>
      </x:c>
      <x:c r="K998" s="12" t="str">
        <x:f>IF(A998="","",I998-J998)</x:f>
      </x:c>
      <x:c r="L998" s="13" t="str">
        <x:f>IF(A998="","",IF(K998&lt;0,"선입금·초과입금",IF(I998=0,"청구 전",IF(K998=0,"정산 완료",IF(J998=0,"미입금","부분 입금")))))</x:f>
      </x:c>
      <x:c r="M998" s="9"/>
      <x:c r="N998" s="9"/>
    </x:row>
    <x:row r="999" ht="23" customHeight="1">
      <x:c r="A999" s="9"/>
      <x:c r="B999" s="10"/>
      <x:c r="C999" s="9"/>
      <x:c r="D999" s="9"/>
      <x:c r="E999" s="9"/>
      <x:c r="F999" s="11"/>
      <x:c r="G999" s="12" t="str">
        <x:f>IF(A999="","",SUMIFS('출고대장'!$D$7:$D$1006,'출고대장'!$A$7:$A$1006,A999))</x:f>
      </x:c>
      <x:c r="H999" s="12" t="str">
        <x:f>IF(A999="","",F999-G999)</x:f>
      </x:c>
      <x:c r="I999" s="12" t="str">
        <x:f>IF(A999="","",SUMIFS('출고대장'!$K$7:$K$1006,'출고대장'!$A$7:$A$1006,A999))</x:f>
      </x:c>
      <x:c r="J999" s="12" t="str">
        <x:f>IF(A999="","",SUMIFS('입금대장'!$C$7:$C$1006,'입금대장'!$A$7:$A$1006,A999,'입금대장'!$E$7:$E$1006,"정상"))</x:f>
      </x:c>
      <x:c r="K999" s="12" t="str">
        <x:f>IF(A999="","",I999-J999)</x:f>
      </x:c>
      <x:c r="L999" s="13" t="str">
        <x:f>IF(A999="","",IF(K999&lt;0,"선입금·초과입금",IF(I999=0,"청구 전",IF(K999=0,"정산 완료",IF(J999=0,"미입금","부분 입금")))))</x:f>
      </x:c>
      <x:c r="M999" s="9"/>
      <x:c r="N999" s="9"/>
    </x:row>
    <x:row r="1000" ht="23" customHeight="1">
      <x:c r="A1000" s="9"/>
      <x:c r="B1000" s="10"/>
      <x:c r="C1000" s="9"/>
      <x:c r="D1000" s="9"/>
      <x:c r="E1000" s="9"/>
      <x:c r="F1000" s="11"/>
      <x:c r="G1000" s="12" t="str">
        <x:f>IF(A1000="","",SUMIFS('출고대장'!$D$7:$D$1006,'출고대장'!$A$7:$A$1006,A1000))</x:f>
      </x:c>
      <x:c r="H1000" s="12" t="str">
        <x:f>IF(A1000="","",F1000-G1000)</x:f>
      </x:c>
      <x:c r="I1000" s="12" t="str">
        <x:f>IF(A1000="","",SUMIFS('출고대장'!$K$7:$K$1006,'출고대장'!$A$7:$A$1006,A1000))</x:f>
      </x:c>
      <x:c r="J1000" s="12" t="str">
        <x:f>IF(A1000="","",SUMIFS('입금대장'!$C$7:$C$1006,'입금대장'!$A$7:$A$1006,A1000,'입금대장'!$E$7:$E$1006,"정상"))</x:f>
      </x:c>
      <x:c r="K1000" s="12" t="str">
        <x:f>IF(A1000="","",I1000-J1000)</x:f>
      </x:c>
      <x:c r="L1000" s="13" t="str">
        <x:f>IF(A1000="","",IF(K1000&lt;0,"선입금·초과입금",IF(I1000=0,"청구 전",IF(K1000=0,"정산 완료",IF(J1000=0,"미입금","부분 입금")))))</x:f>
      </x:c>
      <x:c r="M1000" s="9"/>
      <x:c r="N1000" s="9"/>
    </x:row>
    <x:row r="1001" ht="23" customHeight="1">
      <x:c r="A1001" s="9"/>
      <x:c r="B1001" s="10"/>
      <x:c r="C1001" s="9"/>
      <x:c r="D1001" s="9"/>
      <x:c r="E1001" s="9"/>
      <x:c r="F1001" s="11"/>
      <x:c r="G1001" s="12" t="str">
        <x:f>IF(A1001="","",SUMIFS('출고대장'!$D$7:$D$1006,'출고대장'!$A$7:$A$1006,A1001))</x:f>
      </x:c>
      <x:c r="H1001" s="12" t="str">
        <x:f>IF(A1001="","",F1001-G1001)</x:f>
      </x:c>
      <x:c r="I1001" s="12" t="str">
        <x:f>IF(A1001="","",SUMIFS('출고대장'!$K$7:$K$1006,'출고대장'!$A$7:$A$1006,A1001))</x:f>
      </x:c>
      <x:c r="J1001" s="12" t="str">
        <x:f>IF(A1001="","",SUMIFS('입금대장'!$C$7:$C$1006,'입금대장'!$A$7:$A$1006,A1001,'입금대장'!$E$7:$E$1006,"정상"))</x:f>
      </x:c>
      <x:c r="K1001" s="12" t="str">
        <x:f>IF(A1001="","",I1001-J1001)</x:f>
      </x:c>
      <x:c r="L1001" s="13" t="str">
        <x:f>IF(A1001="","",IF(K1001&lt;0,"선입금·초과입금",IF(I1001=0,"청구 전",IF(K1001=0,"정산 완료",IF(J1001=0,"미입금","부분 입금")))))</x:f>
      </x:c>
      <x:c r="M1001" s="9"/>
      <x:c r="N1001" s="9"/>
    </x:row>
    <x:row r="1002" ht="23" customHeight="1">
      <x:c r="A1002" s="9"/>
      <x:c r="B1002" s="10"/>
      <x:c r="C1002" s="9"/>
      <x:c r="D1002" s="9"/>
      <x:c r="E1002" s="9"/>
      <x:c r="F1002" s="11"/>
      <x:c r="G1002" s="12" t="str">
        <x:f>IF(A1002="","",SUMIFS('출고대장'!$D$7:$D$1006,'출고대장'!$A$7:$A$1006,A1002))</x:f>
      </x:c>
      <x:c r="H1002" s="12" t="str">
        <x:f>IF(A1002="","",F1002-G1002)</x:f>
      </x:c>
      <x:c r="I1002" s="12" t="str">
        <x:f>IF(A1002="","",SUMIFS('출고대장'!$K$7:$K$1006,'출고대장'!$A$7:$A$1006,A1002))</x:f>
      </x:c>
      <x:c r="J1002" s="12" t="str">
        <x:f>IF(A1002="","",SUMIFS('입금대장'!$C$7:$C$1006,'입금대장'!$A$7:$A$1006,A1002,'입금대장'!$E$7:$E$1006,"정상"))</x:f>
      </x:c>
      <x:c r="K1002" s="12" t="str">
        <x:f>IF(A1002="","",I1002-J1002)</x:f>
      </x:c>
      <x:c r="L1002" s="13" t="str">
        <x:f>IF(A1002="","",IF(K1002&lt;0,"선입금·초과입금",IF(I1002=0,"청구 전",IF(K1002=0,"정산 완료",IF(J1002=0,"미입금","부분 입금")))))</x:f>
      </x:c>
      <x:c r="M1002" s="9"/>
      <x:c r="N1002" s="9"/>
    </x:row>
    <x:row r="1003" ht="23" customHeight="1">
      <x:c r="A1003" s="9"/>
      <x:c r="B1003" s="10"/>
      <x:c r="C1003" s="9"/>
      <x:c r="D1003" s="9"/>
      <x:c r="E1003" s="9"/>
      <x:c r="F1003" s="11"/>
      <x:c r="G1003" s="12" t="str">
        <x:f>IF(A1003="","",SUMIFS('출고대장'!$D$7:$D$1006,'출고대장'!$A$7:$A$1006,A1003))</x:f>
      </x:c>
      <x:c r="H1003" s="12" t="str">
        <x:f>IF(A1003="","",F1003-G1003)</x:f>
      </x:c>
      <x:c r="I1003" s="12" t="str">
        <x:f>IF(A1003="","",SUMIFS('출고대장'!$K$7:$K$1006,'출고대장'!$A$7:$A$1006,A1003))</x:f>
      </x:c>
      <x:c r="J1003" s="12" t="str">
        <x:f>IF(A1003="","",SUMIFS('입금대장'!$C$7:$C$1006,'입금대장'!$A$7:$A$1006,A1003,'입금대장'!$E$7:$E$1006,"정상"))</x:f>
      </x:c>
      <x:c r="K1003" s="12" t="str">
        <x:f>IF(A1003="","",I1003-J1003)</x:f>
      </x:c>
      <x:c r="L1003" s="13" t="str">
        <x:f>IF(A1003="","",IF(K1003&lt;0,"선입금·초과입금",IF(I1003=0,"청구 전",IF(K1003=0,"정산 완료",IF(J1003=0,"미입금","부분 입금")))))</x:f>
      </x:c>
      <x:c r="M1003" s="9"/>
      <x:c r="N1003" s="9"/>
    </x:row>
    <x:row r="1004" ht="23" customHeight="1">
      <x:c r="A1004" s="9"/>
      <x:c r="B1004" s="10"/>
      <x:c r="C1004" s="9"/>
      <x:c r="D1004" s="9"/>
      <x:c r="E1004" s="9"/>
      <x:c r="F1004" s="11"/>
      <x:c r="G1004" s="12" t="str">
        <x:f>IF(A1004="","",SUMIFS('출고대장'!$D$7:$D$1006,'출고대장'!$A$7:$A$1006,A1004))</x:f>
      </x:c>
      <x:c r="H1004" s="12" t="str">
        <x:f>IF(A1004="","",F1004-G1004)</x:f>
      </x:c>
      <x:c r="I1004" s="12" t="str">
        <x:f>IF(A1004="","",SUMIFS('출고대장'!$K$7:$K$1006,'출고대장'!$A$7:$A$1006,A1004))</x:f>
      </x:c>
      <x:c r="J1004" s="12" t="str">
        <x:f>IF(A1004="","",SUMIFS('입금대장'!$C$7:$C$1006,'입금대장'!$A$7:$A$1006,A1004,'입금대장'!$E$7:$E$1006,"정상"))</x:f>
      </x:c>
      <x:c r="K1004" s="12" t="str">
        <x:f>IF(A1004="","",I1004-J1004)</x:f>
      </x:c>
      <x:c r="L1004" s="13" t="str">
        <x:f>IF(A1004="","",IF(K1004&lt;0,"선입금·초과입금",IF(I1004=0,"청구 전",IF(K1004=0,"정산 완료",IF(J1004=0,"미입금","부분 입금")))))</x:f>
      </x:c>
      <x:c r="M1004" s="9"/>
      <x:c r="N1004" s="9"/>
    </x:row>
    <x:row r="1005" ht="23" customHeight="1">
      <x:c r="A1005" s="9"/>
      <x:c r="B1005" s="10"/>
      <x:c r="C1005" s="9"/>
      <x:c r="D1005" s="9"/>
      <x:c r="E1005" s="9"/>
      <x:c r="F1005" s="11"/>
      <x:c r="G1005" s="12" t="str">
        <x:f>IF(A1005="","",SUMIFS('출고대장'!$D$7:$D$1006,'출고대장'!$A$7:$A$1006,A1005))</x:f>
      </x:c>
      <x:c r="H1005" s="12" t="str">
        <x:f>IF(A1005="","",F1005-G1005)</x:f>
      </x:c>
      <x:c r="I1005" s="12" t="str">
        <x:f>IF(A1005="","",SUMIFS('출고대장'!$K$7:$K$1006,'출고대장'!$A$7:$A$1006,A1005))</x:f>
      </x:c>
      <x:c r="J1005" s="12" t="str">
        <x:f>IF(A1005="","",SUMIFS('입금대장'!$C$7:$C$1006,'입금대장'!$A$7:$A$1006,A1005,'입금대장'!$E$7:$E$1006,"정상"))</x:f>
      </x:c>
      <x:c r="K1005" s="12" t="str">
        <x:f>IF(A1005="","",I1005-J1005)</x:f>
      </x:c>
      <x:c r="L1005" s="13" t="str">
        <x:f>IF(A1005="","",IF(K1005&lt;0,"선입금·초과입금",IF(I1005=0,"청구 전",IF(K1005=0,"정산 완료",IF(J1005=0,"미입금","부분 입금")))))</x:f>
      </x:c>
      <x:c r="M1005" s="9"/>
      <x:c r="N1005" s="9"/>
    </x:row>
    <x:row r="1006" ht="23" customHeight="1">
      <x:c r="A1006" s="9"/>
      <x:c r="B1006" s="10"/>
      <x:c r="C1006" s="9"/>
      <x:c r="D1006" s="9"/>
      <x:c r="E1006" s="9"/>
      <x:c r="F1006" s="11"/>
      <x:c r="G1006" s="12" t="str">
        <x:f>IF(A1006="","",SUMIFS('출고대장'!$D$7:$D$1006,'출고대장'!$A$7:$A$1006,A1006))</x:f>
      </x:c>
      <x:c r="H1006" s="12" t="str">
        <x:f>IF(A1006="","",F1006-G1006)</x:f>
      </x:c>
      <x:c r="I1006" s="12" t="str">
        <x:f>IF(A1006="","",SUMIFS('출고대장'!$K$7:$K$1006,'출고대장'!$A$7:$A$1006,A1006))</x:f>
      </x:c>
      <x:c r="J1006" s="12" t="str">
        <x:f>IF(A1006="","",SUMIFS('입금대장'!$C$7:$C$1006,'입금대장'!$A$7:$A$1006,A1006,'입금대장'!$E$7:$E$1006,"정상"))</x:f>
      </x:c>
      <x:c r="K1006" s="12" t="str">
        <x:f>IF(A1006="","",I1006-J1006)</x:f>
      </x:c>
      <x:c r="L1006" s="13" t="str">
        <x:f>IF(A1006="","",IF(K1006&lt;0,"선입금·초과입금",IF(I1006=0,"청구 전",IF(K1006=0,"정산 완료",IF(J1006=0,"미입금","부분 입금")))))</x:f>
      </x:c>
      <x:c r="M1006" s="9"/>
      <x:c r="N1006" s="9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31" hidden="0" customWidth="1"/>
    <x:col min="2" max="2" width="15" hidden="0" customWidth="1"/>
    <x:col min="3" max="3" width="10" hidden="0" customWidth="1"/>
    <x:col min="4" max="4" width="13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8" hidden="0" customWidth="1"/>
    <x:col min="12" max="12" width="15" hidden="0" customWidth="1"/>
    <x:col min="13" max="13" width="13" hidden="0" customWidth="1"/>
    <x:col min="14" max="14" width="42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3" customHeight="1">
      <x:c r="A2" s="3" t="str">
        <x:v>서울마우스 출고대장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3" customHeight="1">
      <x:c r="A3" s="4" t="str">
        <x:v>서버 저장자료의 사본입니다. 엑셀 수정은 서버에 반영되지 않습니다.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38" customHeight="1">
      <x:c r="A6" s="8" t="str">
        <x:v>접수번호</x:v>
      </x:c>
      <x:c r="B6" s="8" t="str">
        <x:v>출고일</x:v>
      </x:c>
      <x:c r="C6" s="8" t="str">
        <x:v>차수</x:v>
      </x:c>
      <x:c r="D6" s="8" t="str">
        <x:v>출고 수량</x:v>
      </x:c>
      <x:c r="E6" s="8" t="str">
        <x:v>기본 수리 수량</x:v>
      </x:c>
      <x:c r="F6" s="8" t="str">
        <x:v>기본 단가</x:v>
      </x:c>
      <x:c r="G6" s="8" t="str">
        <x:v>케이블 수량</x:v>
      </x:c>
      <x:c r="H6" s="8" t="str">
        <x:v>케이블 단가</x:v>
      </x:c>
      <x:c r="I6" s="8" t="str">
        <x:v>휠 롤러 수량</x:v>
      </x:c>
      <x:c r="J6" s="8" t="str">
        <x:v>휠 롤러 단가</x:v>
      </x:c>
      <x:c r="K6" s="8" t="str">
        <x:v>청구액</x:v>
      </x:c>
      <x:c r="L6" s="8" t="str">
        <x:v>발송 표시</x:v>
      </x:c>
      <x:c r="M6" s="8" t="str">
        <x:v>입고 상태</x:v>
      </x:c>
      <x:c r="N6" s="8" t="str">
        <x:v>출고 ID</x:v>
      </x:c>
    </x:row>
    <x:row r="7" ht="23" customHeight="1">
      <x:c r="A7" s="9"/>
      <x:c r="B7" s="10"/>
      <x:c r="C7" s="11"/>
      <x:c r="D7" s="11"/>
      <x:c r="E7" s="11"/>
      <x:c r="F7" s="11"/>
      <x:c r="G7" s="11"/>
      <x:c r="H7" s="11"/>
      <x:c r="I7" s="11"/>
      <x:c r="J7" s="11"/>
      <x:c r="K7" s="12" t="str">
        <x:f>IF(A7="","",E7*F7+G7*H7+I7*J7)</x:f>
      </x:c>
      <x:c r="L7" s="9"/>
      <x:c r="M7" s="9" t="str">
        <x:f>IF(A7="","",INDEX('입고대장'!$M$7:$M$1006,MATCH(A7,'입고대장'!$A$7:$A$1006,0)))</x:f>
      </x:c>
      <x:c r="N7" s="9"/>
    </x:row>
    <x:row r="8" ht="23" customHeight="1">
      <x:c r="A8" s="9"/>
      <x:c r="B8" s="10"/>
      <x:c r="C8" s="11"/>
      <x:c r="D8" s="11"/>
      <x:c r="E8" s="11"/>
      <x:c r="F8" s="11"/>
      <x:c r="G8" s="11"/>
      <x:c r="H8" s="11"/>
      <x:c r="I8" s="11"/>
      <x:c r="J8" s="11"/>
      <x:c r="K8" s="12" t="str">
        <x:f>IF(A8="","",E8*F8+G8*H8+I8*J8)</x:f>
      </x:c>
      <x:c r="L8" s="9"/>
      <x:c r="M8" s="9" t="str">
        <x:f>IF(A8="","",INDEX('입고대장'!$M$7:$M$1006,MATCH(A8,'입고대장'!$A$7:$A$1006,0)))</x:f>
      </x:c>
      <x:c r="N8" s="9"/>
    </x:row>
    <x:row r="9" ht="23" customHeight="1">
      <x:c r="A9" s="9"/>
      <x:c r="B9" s="10"/>
      <x:c r="C9" s="11"/>
      <x:c r="D9" s="11"/>
      <x:c r="E9" s="11"/>
      <x:c r="F9" s="11"/>
      <x:c r="G9" s="11"/>
      <x:c r="H9" s="11"/>
      <x:c r="I9" s="11"/>
      <x:c r="J9" s="11"/>
      <x:c r="K9" s="12" t="str">
        <x:f>IF(A9="","",E9*F9+G9*H9+I9*J9)</x:f>
      </x:c>
      <x:c r="L9" s="9"/>
      <x:c r="M9" s="9" t="str">
        <x:f>IF(A9="","",INDEX('입고대장'!$M$7:$M$1006,MATCH(A9,'입고대장'!$A$7:$A$1006,0)))</x:f>
      </x:c>
      <x:c r="N9" s="9"/>
    </x:row>
    <x:row r="10" ht="23" customHeight="1">
      <x:c r="A10" s="9"/>
      <x:c r="B10" s="10"/>
      <x:c r="C10" s="11"/>
      <x:c r="D10" s="11"/>
      <x:c r="E10" s="11"/>
      <x:c r="F10" s="11"/>
      <x:c r="G10" s="11"/>
      <x:c r="H10" s="11"/>
      <x:c r="I10" s="11"/>
      <x:c r="J10" s="11"/>
      <x:c r="K10" s="12" t="str">
        <x:f>IF(A10="","",E10*F10+G10*H10+I10*J10)</x:f>
      </x:c>
      <x:c r="L10" s="9"/>
      <x:c r="M10" s="9" t="str">
        <x:f>IF(A10="","",INDEX('입고대장'!$M$7:$M$1006,MATCH(A10,'입고대장'!$A$7:$A$1006,0)))</x:f>
      </x:c>
      <x:c r="N10" s="9"/>
    </x:row>
    <x:row r="11" ht="23" customHeight="1">
      <x:c r="A11" s="9"/>
      <x:c r="B11" s="10"/>
      <x:c r="C11" s="11"/>
      <x:c r="D11" s="11"/>
      <x:c r="E11" s="11"/>
      <x:c r="F11" s="11"/>
      <x:c r="G11" s="11"/>
      <x:c r="H11" s="11"/>
      <x:c r="I11" s="11"/>
      <x:c r="J11" s="11"/>
      <x:c r="K11" s="12" t="str">
        <x:f>IF(A11="","",E11*F11+G11*H11+I11*J11)</x:f>
      </x:c>
      <x:c r="L11" s="9"/>
      <x:c r="M11" s="9" t="str">
        <x:f>IF(A11="","",INDEX('입고대장'!$M$7:$M$1006,MATCH(A11,'입고대장'!$A$7:$A$1006,0)))</x:f>
      </x:c>
      <x:c r="N11" s="9"/>
    </x:row>
    <x:row r="12" ht="23" customHeight="1">
      <x:c r="A12" s="9"/>
      <x:c r="B12" s="10"/>
      <x:c r="C12" s="11"/>
      <x:c r="D12" s="11"/>
      <x:c r="E12" s="11"/>
      <x:c r="F12" s="11"/>
      <x:c r="G12" s="11"/>
      <x:c r="H12" s="11"/>
      <x:c r="I12" s="11"/>
      <x:c r="J12" s="11"/>
      <x:c r="K12" s="12" t="str">
        <x:f>IF(A12="","",E12*F12+G12*H12+I12*J12)</x:f>
      </x:c>
      <x:c r="L12" s="9"/>
      <x:c r="M12" s="9" t="str">
        <x:f>IF(A12="","",INDEX('입고대장'!$M$7:$M$1006,MATCH(A12,'입고대장'!$A$7:$A$1006,0)))</x:f>
      </x:c>
      <x:c r="N12" s="9"/>
    </x:row>
    <x:row r="13" ht="23" customHeight="1">
      <x:c r="A13" s="9"/>
      <x:c r="B13" s="10"/>
      <x:c r="C13" s="11"/>
      <x:c r="D13" s="11"/>
      <x:c r="E13" s="11"/>
      <x:c r="F13" s="11"/>
      <x:c r="G13" s="11"/>
      <x:c r="H13" s="11"/>
      <x:c r="I13" s="11"/>
      <x:c r="J13" s="11"/>
      <x:c r="K13" s="12" t="str">
        <x:f>IF(A13="","",E13*F13+G13*H13+I13*J13)</x:f>
      </x:c>
      <x:c r="L13" s="9"/>
      <x:c r="M13" s="9" t="str">
        <x:f>IF(A13="","",INDEX('입고대장'!$M$7:$M$1006,MATCH(A13,'입고대장'!$A$7:$A$1006,0)))</x:f>
      </x:c>
      <x:c r="N13" s="9"/>
    </x:row>
    <x:row r="14" ht="23" customHeight="1">
      <x:c r="A14" s="9"/>
      <x:c r="B14" s="10"/>
      <x:c r="C14" s="11"/>
      <x:c r="D14" s="11"/>
      <x:c r="E14" s="11"/>
      <x:c r="F14" s="11"/>
      <x:c r="G14" s="11"/>
      <x:c r="H14" s="11"/>
      <x:c r="I14" s="11"/>
      <x:c r="J14" s="11"/>
      <x:c r="K14" s="12" t="str">
        <x:f>IF(A14="","",E14*F14+G14*H14+I14*J14)</x:f>
      </x:c>
      <x:c r="L14" s="9"/>
      <x:c r="M14" s="9" t="str">
        <x:f>IF(A14="","",INDEX('입고대장'!$M$7:$M$1006,MATCH(A14,'입고대장'!$A$7:$A$1006,0)))</x:f>
      </x:c>
      <x:c r="N14" s="9"/>
    </x:row>
    <x:row r="15" ht="23" customHeight="1">
      <x:c r="A15" s="9"/>
      <x:c r="B15" s="10"/>
      <x:c r="C15" s="11"/>
      <x:c r="D15" s="11"/>
      <x:c r="E15" s="11"/>
      <x:c r="F15" s="11"/>
      <x:c r="G15" s="11"/>
      <x:c r="H15" s="11"/>
      <x:c r="I15" s="11"/>
      <x:c r="J15" s="11"/>
      <x:c r="K15" s="12" t="str">
        <x:f>IF(A15="","",E15*F15+G15*H15+I15*J15)</x:f>
      </x:c>
      <x:c r="L15" s="9"/>
      <x:c r="M15" s="9" t="str">
        <x:f>IF(A15="","",INDEX('입고대장'!$M$7:$M$1006,MATCH(A15,'입고대장'!$A$7:$A$1006,0)))</x:f>
      </x:c>
      <x:c r="N15" s="9"/>
    </x:row>
    <x:row r="16" ht="23" customHeight="1">
      <x:c r="A16" s="9"/>
      <x:c r="B16" s="10"/>
      <x:c r="C16" s="11"/>
      <x:c r="D16" s="11"/>
      <x:c r="E16" s="11"/>
      <x:c r="F16" s="11"/>
      <x:c r="G16" s="11"/>
      <x:c r="H16" s="11"/>
      <x:c r="I16" s="11"/>
      <x:c r="J16" s="11"/>
      <x:c r="K16" s="12" t="str">
        <x:f>IF(A16="","",E16*F16+G16*H16+I16*J16)</x:f>
      </x:c>
      <x:c r="L16" s="9"/>
      <x:c r="M16" s="9" t="str">
        <x:f>IF(A16="","",INDEX('입고대장'!$M$7:$M$1006,MATCH(A16,'입고대장'!$A$7:$A$1006,0)))</x:f>
      </x:c>
      <x:c r="N16" s="9"/>
    </x:row>
    <x:row r="17" ht="23" customHeight="1">
      <x:c r="A17" s="9"/>
      <x:c r="B17" s="10"/>
      <x:c r="C17" s="11"/>
      <x:c r="D17" s="11"/>
      <x:c r="E17" s="11"/>
      <x:c r="F17" s="11"/>
      <x:c r="G17" s="11"/>
      <x:c r="H17" s="11"/>
      <x:c r="I17" s="11"/>
      <x:c r="J17" s="11"/>
      <x:c r="K17" s="12" t="str">
        <x:f>IF(A17="","",E17*F17+G17*H17+I17*J17)</x:f>
      </x:c>
      <x:c r="L17" s="9"/>
      <x:c r="M17" s="9" t="str">
        <x:f>IF(A17="","",INDEX('입고대장'!$M$7:$M$1006,MATCH(A17,'입고대장'!$A$7:$A$1006,0)))</x:f>
      </x:c>
      <x:c r="N17" s="9"/>
    </x:row>
    <x:row r="18" ht="23" customHeight="1">
      <x:c r="A18" s="9"/>
      <x:c r="B18" s="10"/>
      <x:c r="C18" s="11"/>
      <x:c r="D18" s="11"/>
      <x:c r="E18" s="11"/>
      <x:c r="F18" s="11"/>
      <x:c r="G18" s="11"/>
      <x:c r="H18" s="11"/>
      <x:c r="I18" s="11"/>
      <x:c r="J18" s="11"/>
      <x:c r="K18" s="12" t="str">
        <x:f>IF(A18="","",E18*F18+G18*H18+I18*J18)</x:f>
      </x:c>
      <x:c r="L18" s="9"/>
      <x:c r="M18" s="9" t="str">
        <x:f>IF(A18="","",INDEX('입고대장'!$M$7:$M$1006,MATCH(A18,'입고대장'!$A$7:$A$1006,0)))</x:f>
      </x:c>
      <x:c r="N18" s="9"/>
    </x:row>
    <x:row r="19" ht="23" customHeight="1">
      <x:c r="A19" s="9"/>
      <x:c r="B19" s="10"/>
      <x:c r="C19" s="11"/>
      <x:c r="D19" s="11"/>
      <x:c r="E19" s="11"/>
      <x:c r="F19" s="11"/>
      <x:c r="G19" s="11"/>
      <x:c r="H19" s="11"/>
      <x:c r="I19" s="11"/>
      <x:c r="J19" s="11"/>
      <x:c r="K19" s="12" t="str">
        <x:f>IF(A19="","",E19*F19+G19*H19+I19*J19)</x:f>
      </x:c>
      <x:c r="L19" s="9"/>
      <x:c r="M19" s="9" t="str">
        <x:f>IF(A19="","",INDEX('입고대장'!$M$7:$M$1006,MATCH(A19,'입고대장'!$A$7:$A$1006,0)))</x:f>
      </x:c>
      <x:c r="N19" s="9"/>
    </x:row>
    <x:row r="20" ht="23" customHeight="1">
      <x:c r="A20" s="9"/>
      <x:c r="B20" s="10"/>
      <x:c r="C20" s="11"/>
      <x:c r="D20" s="11"/>
      <x:c r="E20" s="11"/>
      <x:c r="F20" s="11"/>
      <x:c r="G20" s="11"/>
      <x:c r="H20" s="11"/>
      <x:c r="I20" s="11"/>
      <x:c r="J20" s="11"/>
      <x:c r="K20" s="12" t="str">
        <x:f>IF(A20="","",E20*F20+G20*H20+I20*J20)</x:f>
      </x:c>
      <x:c r="L20" s="9"/>
      <x:c r="M20" s="9" t="str">
        <x:f>IF(A20="","",INDEX('입고대장'!$M$7:$M$1006,MATCH(A20,'입고대장'!$A$7:$A$1006,0)))</x:f>
      </x:c>
      <x:c r="N20" s="9"/>
    </x:row>
    <x:row r="21" ht="23" customHeight="1">
      <x:c r="A21" s="9"/>
      <x:c r="B21" s="10"/>
      <x:c r="C21" s="11"/>
      <x:c r="D21" s="11"/>
      <x:c r="E21" s="11"/>
      <x:c r="F21" s="11"/>
      <x:c r="G21" s="11"/>
      <x:c r="H21" s="11"/>
      <x:c r="I21" s="11"/>
      <x:c r="J21" s="11"/>
      <x:c r="K21" s="12" t="str">
        <x:f>IF(A21="","",E21*F21+G21*H21+I21*J21)</x:f>
      </x:c>
      <x:c r="L21" s="9"/>
      <x:c r="M21" s="9" t="str">
        <x:f>IF(A21="","",INDEX('입고대장'!$M$7:$M$1006,MATCH(A21,'입고대장'!$A$7:$A$1006,0)))</x:f>
      </x:c>
      <x:c r="N21" s="9"/>
    </x:row>
    <x:row r="22" ht="23" customHeight="1">
      <x:c r="A22" s="9"/>
      <x:c r="B22" s="10"/>
      <x:c r="C22" s="11"/>
      <x:c r="D22" s="11"/>
      <x:c r="E22" s="11"/>
      <x:c r="F22" s="11"/>
      <x:c r="G22" s="11"/>
      <x:c r="H22" s="11"/>
      <x:c r="I22" s="11"/>
      <x:c r="J22" s="11"/>
      <x:c r="K22" s="12" t="str">
        <x:f>IF(A22="","",E22*F22+G22*H22+I22*J22)</x:f>
      </x:c>
      <x:c r="L22" s="9"/>
      <x:c r="M22" s="9" t="str">
        <x:f>IF(A22="","",INDEX('입고대장'!$M$7:$M$1006,MATCH(A22,'입고대장'!$A$7:$A$1006,0)))</x:f>
      </x:c>
      <x:c r="N22" s="9"/>
    </x:row>
    <x:row r="23" ht="23" customHeight="1">
      <x:c r="A23" s="9"/>
      <x:c r="B23" s="10"/>
      <x:c r="C23" s="11"/>
      <x:c r="D23" s="11"/>
      <x:c r="E23" s="11"/>
      <x:c r="F23" s="11"/>
      <x:c r="G23" s="11"/>
      <x:c r="H23" s="11"/>
      <x:c r="I23" s="11"/>
      <x:c r="J23" s="11"/>
      <x:c r="K23" s="12" t="str">
        <x:f>IF(A23="","",E23*F23+G23*H23+I23*J23)</x:f>
      </x:c>
      <x:c r="L23" s="9"/>
      <x:c r="M23" s="9" t="str">
        <x:f>IF(A23="","",INDEX('입고대장'!$M$7:$M$1006,MATCH(A23,'입고대장'!$A$7:$A$1006,0)))</x:f>
      </x:c>
      <x:c r="N23" s="9"/>
    </x:row>
    <x:row r="24" ht="23" customHeight="1">
      <x:c r="A24" s="9"/>
      <x:c r="B24" s="10"/>
      <x:c r="C24" s="11"/>
      <x:c r="D24" s="11"/>
      <x:c r="E24" s="11"/>
      <x:c r="F24" s="11"/>
      <x:c r="G24" s="11"/>
      <x:c r="H24" s="11"/>
      <x:c r="I24" s="11"/>
      <x:c r="J24" s="11"/>
      <x:c r="K24" s="12" t="str">
        <x:f>IF(A24="","",E24*F24+G24*H24+I24*J24)</x:f>
      </x:c>
      <x:c r="L24" s="9"/>
      <x:c r="M24" s="9" t="str">
        <x:f>IF(A24="","",INDEX('입고대장'!$M$7:$M$1006,MATCH(A24,'입고대장'!$A$7:$A$1006,0)))</x:f>
      </x:c>
      <x:c r="N24" s="9"/>
    </x:row>
    <x:row r="25" ht="23" customHeight="1">
      <x:c r="A25" s="9"/>
      <x:c r="B25" s="10"/>
      <x:c r="C25" s="11"/>
      <x:c r="D25" s="11"/>
      <x:c r="E25" s="11"/>
      <x:c r="F25" s="11"/>
      <x:c r="G25" s="11"/>
      <x:c r="H25" s="11"/>
      <x:c r="I25" s="11"/>
      <x:c r="J25" s="11"/>
      <x:c r="K25" s="12" t="str">
        <x:f>IF(A25="","",E25*F25+G25*H25+I25*J25)</x:f>
      </x:c>
      <x:c r="L25" s="9"/>
      <x:c r="M25" s="9" t="str">
        <x:f>IF(A25="","",INDEX('입고대장'!$M$7:$M$1006,MATCH(A25,'입고대장'!$A$7:$A$1006,0)))</x:f>
      </x:c>
      <x:c r="N25" s="9"/>
    </x:row>
    <x:row r="26" ht="23" customHeight="1">
      <x:c r="A26" s="9"/>
      <x:c r="B26" s="10"/>
      <x:c r="C26" s="11"/>
      <x:c r="D26" s="11"/>
      <x:c r="E26" s="11"/>
      <x:c r="F26" s="11"/>
      <x:c r="G26" s="11"/>
      <x:c r="H26" s="11"/>
      <x:c r="I26" s="11"/>
      <x:c r="J26" s="11"/>
      <x:c r="K26" s="12" t="str">
        <x:f>IF(A26="","",E26*F26+G26*H26+I26*J26)</x:f>
      </x:c>
      <x:c r="L26" s="9"/>
      <x:c r="M26" s="9" t="str">
        <x:f>IF(A26="","",INDEX('입고대장'!$M$7:$M$1006,MATCH(A26,'입고대장'!$A$7:$A$1006,0)))</x:f>
      </x:c>
      <x:c r="N26" s="9"/>
    </x:row>
    <x:row r="27" ht="23" customHeight="1">
      <x:c r="A27" s="9"/>
      <x:c r="B27" s="10"/>
      <x:c r="C27" s="11"/>
      <x:c r="D27" s="11"/>
      <x:c r="E27" s="11"/>
      <x:c r="F27" s="11"/>
      <x:c r="G27" s="11"/>
      <x:c r="H27" s="11"/>
      <x:c r="I27" s="11"/>
      <x:c r="J27" s="11"/>
      <x:c r="K27" s="12" t="str">
        <x:f>IF(A27="","",E27*F27+G27*H27+I27*J27)</x:f>
      </x:c>
      <x:c r="L27" s="9"/>
      <x:c r="M27" s="9" t="str">
        <x:f>IF(A27="","",INDEX('입고대장'!$M$7:$M$1006,MATCH(A27,'입고대장'!$A$7:$A$1006,0)))</x:f>
      </x:c>
      <x:c r="N27" s="9"/>
    </x:row>
    <x:row r="28" ht="23" customHeight="1">
      <x:c r="A28" s="9"/>
      <x:c r="B28" s="10"/>
      <x:c r="C28" s="11"/>
      <x:c r="D28" s="11"/>
      <x:c r="E28" s="11"/>
      <x:c r="F28" s="11"/>
      <x:c r="G28" s="11"/>
      <x:c r="H28" s="11"/>
      <x:c r="I28" s="11"/>
      <x:c r="J28" s="11"/>
      <x:c r="K28" s="12" t="str">
        <x:f>IF(A28="","",E28*F28+G28*H28+I28*J28)</x:f>
      </x:c>
      <x:c r="L28" s="9"/>
      <x:c r="M28" s="9" t="str">
        <x:f>IF(A28="","",INDEX('입고대장'!$M$7:$M$1006,MATCH(A28,'입고대장'!$A$7:$A$1006,0)))</x:f>
      </x:c>
      <x:c r="N28" s="9"/>
    </x:row>
    <x:row r="29" ht="23" customHeight="1">
      <x:c r="A29" s="9"/>
      <x:c r="B29" s="10"/>
      <x:c r="C29" s="11"/>
      <x:c r="D29" s="11"/>
      <x:c r="E29" s="11"/>
      <x:c r="F29" s="11"/>
      <x:c r="G29" s="11"/>
      <x:c r="H29" s="11"/>
      <x:c r="I29" s="11"/>
      <x:c r="J29" s="11"/>
      <x:c r="K29" s="12" t="str">
        <x:f>IF(A29="","",E29*F29+G29*H29+I29*J29)</x:f>
      </x:c>
      <x:c r="L29" s="9"/>
      <x:c r="M29" s="9" t="str">
        <x:f>IF(A29="","",INDEX('입고대장'!$M$7:$M$1006,MATCH(A29,'입고대장'!$A$7:$A$1006,0)))</x:f>
      </x:c>
      <x:c r="N29" s="9"/>
    </x:row>
    <x:row r="30" ht="23" customHeight="1">
      <x:c r="A30" s="9"/>
      <x:c r="B30" s="10"/>
      <x:c r="C30" s="11"/>
      <x:c r="D30" s="11"/>
      <x:c r="E30" s="11"/>
      <x:c r="F30" s="11"/>
      <x:c r="G30" s="11"/>
      <x:c r="H30" s="11"/>
      <x:c r="I30" s="11"/>
      <x:c r="J30" s="11"/>
      <x:c r="K30" s="12" t="str">
        <x:f>IF(A30="","",E30*F30+G30*H30+I30*J30)</x:f>
      </x:c>
      <x:c r="L30" s="9"/>
      <x:c r="M30" s="9" t="str">
        <x:f>IF(A30="","",INDEX('입고대장'!$M$7:$M$1006,MATCH(A30,'입고대장'!$A$7:$A$1006,0)))</x:f>
      </x:c>
      <x:c r="N30" s="9"/>
    </x:row>
    <x:row r="31" ht="23" customHeight="1">
      <x:c r="A31" s="9"/>
      <x:c r="B31" s="10"/>
      <x:c r="C31" s="11"/>
      <x:c r="D31" s="11"/>
      <x:c r="E31" s="11"/>
      <x:c r="F31" s="11"/>
      <x:c r="G31" s="11"/>
      <x:c r="H31" s="11"/>
      <x:c r="I31" s="11"/>
      <x:c r="J31" s="11"/>
      <x:c r="K31" s="12" t="str">
        <x:f>IF(A31="","",E31*F31+G31*H31+I31*J31)</x:f>
      </x:c>
      <x:c r="L31" s="9"/>
      <x:c r="M31" s="9" t="str">
        <x:f>IF(A31="","",INDEX('입고대장'!$M$7:$M$1006,MATCH(A31,'입고대장'!$A$7:$A$1006,0)))</x:f>
      </x:c>
      <x:c r="N31" s="9"/>
    </x:row>
    <x:row r="32" ht="23" customHeight="1">
      <x:c r="A32" s="9"/>
      <x:c r="B32" s="10"/>
      <x:c r="C32" s="11"/>
      <x:c r="D32" s="11"/>
      <x:c r="E32" s="11"/>
      <x:c r="F32" s="11"/>
      <x:c r="G32" s="11"/>
      <x:c r="H32" s="11"/>
      <x:c r="I32" s="11"/>
      <x:c r="J32" s="11"/>
      <x:c r="K32" s="12" t="str">
        <x:f>IF(A32="","",E32*F32+G32*H32+I32*J32)</x:f>
      </x:c>
      <x:c r="L32" s="9"/>
      <x:c r="M32" s="9" t="str">
        <x:f>IF(A32="","",INDEX('입고대장'!$M$7:$M$1006,MATCH(A32,'입고대장'!$A$7:$A$1006,0)))</x:f>
      </x:c>
      <x:c r="N32" s="9"/>
    </x:row>
    <x:row r="33" ht="23" customHeight="1">
      <x:c r="A33" s="9"/>
      <x:c r="B33" s="10"/>
      <x:c r="C33" s="11"/>
      <x:c r="D33" s="11"/>
      <x:c r="E33" s="11"/>
      <x:c r="F33" s="11"/>
      <x:c r="G33" s="11"/>
      <x:c r="H33" s="11"/>
      <x:c r="I33" s="11"/>
      <x:c r="J33" s="11"/>
      <x:c r="K33" s="12" t="str">
        <x:f>IF(A33="","",E33*F33+G33*H33+I33*J33)</x:f>
      </x:c>
      <x:c r="L33" s="9"/>
      <x:c r="M33" s="9" t="str">
        <x:f>IF(A33="","",INDEX('입고대장'!$M$7:$M$1006,MATCH(A33,'입고대장'!$A$7:$A$1006,0)))</x:f>
      </x:c>
      <x:c r="N33" s="9"/>
    </x:row>
    <x:row r="34" ht="23" customHeight="1">
      <x:c r="A34" s="9"/>
      <x:c r="B34" s="10"/>
      <x:c r="C34" s="11"/>
      <x:c r="D34" s="11"/>
      <x:c r="E34" s="11"/>
      <x:c r="F34" s="11"/>
      <x:c r="G34" s="11"/>
      <x:c r="H34" s="11"/>
      <x:c r="I34" s="11"/>
      <x:c r="J34" s="11"/>
      <x:c r="K34" s="12" t="str">
        <x:f>IF(A34="","",E34*F34+G34*H34+I34*J34)</x:f>
      </x:c>
      <x:c r="L34" s="9"/>
      <x:c r="M34" s="9" t="str">
        <x:f>IF(A34="","",INDEX('입고대장'!$M$7:$M$1006,MATCH(A34,'입고대장'!$A$7:$A$1006,0)))</x:f>
      </x:c>
      <x:c r="N34" s="9"/>
    </x:row>
    <x:row r="35" ht="23" customHeight="1">
      <x:c r="A35" s="9"/>
      <x:c r="B35" s="10"/>
      <x:c r="C35" s="11"/>
      <x:c r="D35" s="11"/>
      <x:c r="E35" s="11"/>
      <x:c r="F35" s="11"/>
      <x:c r="G35" s="11"/>
      <x:c r="H35" s="11"/>
      <x:c r="I35" s="11"/>
      <x:c r="J35" s="11"/>
      <x:c r="K35" s="12" t="str">
        <x:f>IF(A35="","",E35*F35+G35*H35+I35*J35)</x:f>
      </x:c>
      <x:c r="L35" s="9"/>
      <x:c r="M35" s="9" t="str">
        <x:f>IF(A35="","",INDEX('입고대장'!$M$7:$M$1006,MATCH(A35,'입고대장'!$A$7:$A$1006,0)))</x:f>
      </x:c>
      <x:c r="N35" s="9"/>
    </x:row>
    <x:row r="36" ht="23" customHeight="1">
      <x:c r="A36" s="9"/>
      <x:c r="B36" s="10"/>
      <x:c r="C36" s="11"/>
      <x:c r="D36" s="11"/>
      <x:c r="E36" s="11"/>
      <x:c r="F36" s="11"/>
      <x:c r="G36" s="11"/>
      <x:c r="H36" s="11"/>
      <x:c r="I36" s="11"/>
      <x:c r="J36" s="11"/>
      <x:c r="K36" s="12" t="str">
        <x:f>IF(A36="","",E36*F36+G36*H36+I36*J36)</x:f>
      </x:c>
      <x:c r="L36" s="9"/>
      <x:c r="M36" s="9" t="str">
        <x:f>IF(A36="","",INDEX('입고대장'!$M$7:$M$1006,MATCH(A36,'입고대장'!$A$7:$A$1006,0)))</x:f>
      </x:c>
      <x:c r="N36" s="9"/>
    </x:row>
    <x:row r="37" ht="23" customHeight="1">
      <x:c r="A37" s="9"/>
      <x:c r="B37" s="10"/>
      <x:c r="C37" s="11"/>
      <x:c r="D37" s="11"/>
      <x:c r="E37" s="11"/>
      <x:c r="F37" s="11"/>
      <x:c r="G37" s="11"/>
      <x:c r="H37" s="11"/>
      <x:c r="I37" s="11"/>
      <x:c r="J37" s="11"/>
      <x:c r="K37" s="12" t="str">
        <x:f>IF(A37="","",E37*F37+G37*H37+I37*J37)</x:f>
      </x:c>
      <x:c r="L37" s="9"/>
      <x:c r="M37" s="9" t="str">
        <x:f>IF(A37="","",INDEX('입고대장'!$M$7:$M$1006,MATCH(A37,'입고대장'!$A$7:$A$1006,0)))</x:f>
      </x:c>
      <x:c r="N37" s="9"/>
    </x:row>
    <x:row r="38" ht="23" customHeight="1">
      <x:c r="A38" s="9"/>
      <x:c r="B38" s="10"/>
      <x:c r="C38" s="11"/>
      <x:c r="D38" s="11"/>
      <x:c r="E38" s="11"/>
      <x:c r="F38" s="11"/>
      <x:c r="G38" s="11"/>
      <x:c r="H38" s="11"/>
      <x:c r="I38" s="11"/>
      <x:c r="J38" s="11"/>
      <x:c r="K38" s="12" t="str">
        <x:f>IF(A38="","",E38*F38+G38*H38+I38*J38)</x:f>
      </x:c>
      <x:c r="L38" s="9"/>
      <x:c r="M38" s="9" t="str">
        <x:f>IF(A38="","",INDEX('입고대장'!$M$7:$M$1006,MATCH(A38,'입고대장'!$A$7:$A$1006,0)))</x:f>
      </x:c>
      <x:c r="N38" s="9"/>
    </x:row>
    <x:row r="39" ht="23" customHeight="1">
      <x:c r="A39" s="9"/>
      <x:c r="B39" s="10"/>
      <x:c r="C39" s="11"/>
      <x:c r="D39" s="11"/>
      <x:c r="E39" s="11"/>
      <x:c r="F39" s="11"/>
      <x:c r="G39" s="11"/>
      <x:c r="H39" s="11"/>
      <x:c r="I39" s="11"/>
      <x:c r="J39" s="11"/>
      <x:c r="K39" s="12" t="str">
        <x:f>IF(A39="","",E39*F39+G39*H39+I39*J39)</x:f>
      </x:c>
      <x:c r="L39" s="9"/>
      <x:c r="M39" s="9" t="str">
        <x:f>IF(A39="","",INDEX('입고대장'!$M$7:$M$1006,MATCH(A39,'입고대장'!$A$7:$A$1006,0)))</x:f>
      </x:c>
      <x:c r="N39" s="9"/>
    </x:row>
    <x:row r="40" ht="23" customHeight="1">
      <x:c r="A40" s="9"/>
      <x:c r="B40" s="10"/>
      <x:c r="C40" s="11"/>
      <x:c r="D40" s="11"/>
      <x:c r="E40" s="11"/>
      <x:c r="F40" s="11"/>
      <x:c r="G40" s="11"/>
      <x:c r="H40" s="11"/>
      <x:c r="I40" s="11"/>
      <x:c r="J40" s="11"/>
      <x:c r="K40" s="12" t="str">
        <x:f>IF(A40="","",E40*F40+G40*H40+I40*J40)</x:f>
      </x:c>
      <x:c r="L40" s="9"/>
      <x:c r="M40" s="9" t="str">
        <x:f>IF(A40="","",INDEX('입고대장'!$M$7:$M$1006,MATCH(A40,'입고대장'!$A$7:$A$1006,0)))</x:f>
      </x:c>
      <x:c r="N40" s="9"/>
    </x:row>
    <x:row r="41" ht="23" customHeight="1">
      <x:c r="A41" s="9"/>
      <x:c r="B41" s="10"/>
      <x:c r="C41" s="11"/>
      <x:c r="D41" s="11"/>
      <x:c r="E41" s="11"/>
      <x:c r="F41" s="11"/>
      <x:c r="G41" s="11"/>
      <x:c r="H41" s="11"/>
      <x:c r="I41" s="11"/>
      <x:c r="J41" s="11"/>
      <x:c r="K41" s="12" t="str">
        <x:f>IF(A41="","",E41*F41+G41*H41+I41*J41)</x:f>
      </x:c>
      <x:c r="L41" s="9"/>
      <x:c r="M41" s="9" t="str">
        <x:f>IF(A41="","",INDEX('입고대장'!$M$7:$M$1006,MATCH(A41,'입고대장'!$A$7:$A$1006,0)))</x:f>
      </x:c>
      <x:c r="N41" s="9"/>
    </x:row>
    <x:row r="42" ht="23" customHeight="1">
      <x:c r="A42" s="9"/>
      <x:c r="B42" s="10"/>
      <x:c r="C42" s="11"/>
      <x:c r="D42" s="11"/>
      <x:c r="E42" s="11"/>
      <x:c r="F42" s="11"/>
      <x:c r="G42" s="11"/>
      <x:c r="H42" s="11"/>
      <x:c r="I42" s="11"/>
      <x:c r="J42" s="11"/>
      <x:c r="K42" s="12" t="str">
        <x:f>IF(A42="","",E42*F42+G42*H42+I42*J42)</x:f>
      </x:c>
      <x:c r="L42" s="9"/>
      <x:c r="M42" s="9" t="str">
        <x:f>IF(A42="","",INDEX('입고대장'!$M$7:$M$1006,MATCH(A42,'입고대장'!$A$7:$A$1006,0)))</x:f>
      </x:c>
      <x:c r="N42" s="9"/>
    </x:row>
    <x:row r="43" ht="23" customHeight="1">
      <x:c r="A43" s="9"/>
      <x:c r="B43" s="10"/>
      <x:c r="C43" s="11"/>
      <x:c r="D43" s="11"/>
      <x:c r="E43" s="11"/>
      <x:c r="F43" s="11"/>
      <x:c r="G43" s="11"/>
      <x:c r="H43" s="11"/>
      <x:c r="I43" s="11"/>
      <x:c r="J43" s="11"/>
      <x:c r="K43" s="12" t="str">
        <x:f>IF(A43="","",E43*F43+G43*H43+I43*J43)</x:f>
      </x:c>
      <x:c r="L43" s="9"/>
      <x:c r="M43" s="9" t="str">
        <x:f>IF(A43="","",INDEX('입고대장'!$M$7:$M$1006,MATCH(A43,'입고대장'!$A$7:$A$1006,0)))</x:f>
      </x:c>
      <x:c r="N43" s="9"/>
    </x:row>
    <x:row r="44" ht="23" customHeight="1">
      <x:c r="A44" s="9"/>
      <x:c r="B44" s="10"/>
      <x:c r="C44" s="11"/>
      <x:c r="D44" s="11"/>
      <x:c r="E44" s="11"/>
      <x:c r="F44" s="11"/>
      <x:c r="G44" s="11"/>
      <x:c r="H44" s="11"/>
      <x:c r="I44" s="11"/>
      <x:c r="J44" s="11"/>
      <x:c r="K44" s="12" t="str">
        <x:f>IF(A44="","",E44*F44+G44*H44+I44*J44)</x:f>
      </x:c>
      <x:c r="L44" s="9"/>
      <x:c r="M44" s="9" t="str">
        <x:f>IF(A44="","",INDEX('입고대장'!$M$7:$M$1006,MATCH(A44,'입고대장'!$A$7:$A$1006,0)))</x:f>
      </x:c>
      <x:c r="N44" s="9"/>
    </x:row>
    <x:row r="45" ht="23" customHeight="1">
      <x:c r="A45" s="9"/>
      <x:c r="B45" s="10"/>
      <x:c r="C45" s="11"/>
      <x:c r="D45" s="11"/>
      <x:c r="E45" s="11"/>
      <x:c r="F45" s="11"/>
      <x:c r="G45" s="11"/>
      <x:c r="H45" s="11"/>
      <x:c r="I45" s="11"/>
      <x:c r="J45" s="11"/>
      <x:c r="K45" s="12" t="str">
        <x:f>IF(A45="","",E45*F45+G45*H45+I45*J45)</x:f>
      </x:c>
      <x:c r="L45" s="9"/>
      <x:c r="M45" s="9" t="str">
        <x:f>IF(A45="","",INDEX('입고대장'!$M$7:$M$1006,MATCH(A45,'입고대장'!$A$7:$A$1006,0)))</x:f>
      </x:c>
      <x:c r="N45" s="9"/>
    </x:row>
    <x:row r="46" ht="23" customHeight="1">
      <x:c r="A46" s="9"/>
      <x:c r="B46" s="10"/>
      <x:c r="C46" s="11"/>
      <x:c r="D46" s="11"/>
      <x:c r="E46" s="11"/>
      <x:c r="F46" s="11"/>
      <x:c r="G46" s="11"/>
      <x:c r="H46" s="11"/>
      <x:c r="I46" s="11"/>
      <x:c r="J46" s="11"/>
      <x:c r="K46" s="12" t="str">
        <x:f>IF(A46="","",E46*F46+G46*H46+I46*J46)</x:f>
      </x:c>
      <x:c r="L46" s="9"/>
      <x:c r="M46" s="9" t="str">
        <x:f>IF(A46="","",INDEX('입고대장'!$M$7:$M$1006,MATCH(A46,'입고대장'!$A$7:$A$1006,0)))</x:f>
      </x:c>
      <x:c r="N46" s="9"/>
    </x:row>
    <x:row r="47" ht="23" customHeight="1">
      <x:c r="A47" s="9"/>
      <x:c r="B47" s="10"/>
      <x:c r="C47" s="11"/>
      <x:c r="D47" s="11"/>
      <x:c r="E47" s="11"/>
      <x:c r="F47" s="11"/>
      <x:c r="G47" s="11"/>
      <x:c r="H47" s="11"/>
      <x:c r="I47" s="11"/>
      <x:c r="J47" s="11"/>
      <x:c r="K47" s="12" t="str">
        <x:f>IF(A47="","",E47*F47+G47*H47+I47*J47)</x:f>
      </x:c>
      <x:c r="L47" s="9"/>
      <x:c r="M47" s="9" t="str">
        <x:f>IF(A47="","",INDEX('입고대장'!$M$7:$M$1006,MATCH(A47,'입고대장'!$A$7:$A$1006,0)))</x:f>
      </x:c>
      <x:c r="N47" s="9"/>
    </x:row>
    <x:row r="48" ht="23" customHeight="1">
      <x:c r="A48" s="9"/>
      <x:c r="B48" s="10"/>
      <x:c r="C48" s="11"/>
      <x:c r="D48" s="11"/>
      <x:c r="E48" s="11"/>
      <x:c r="F48" s="11"/>
      <x:c r="G48" s="11"/>
      <x:c r="H48" s="11"/>
      <x:c r="I48" s="11"/>
      <x:c r="J48" s="11"/>
      <x:c r="K48" s="12" t="str">
        <x:f>IF(A48="","",E48*F48+G48*H48+I48*J48)</x:f>
      </x:c>
      <x:c r="L48" s="9"/>
      <x:c r="M48" s="9" t="str">
        <x:f>IF(A48="","",INDEX('입고대장'!$M$7:$M$1006,MATCH(A48,'입고대장'!$A$7:$A$1006,0)))</x:f>
      </x:c>
      <x:c r="N48" s="9"/>
    </x:row>
    <x:row r="49" ht="23" customHeight="1">
      <x:c r="A49" s="9"/>
      <x:c r="B49" s="10"/>
      <x:c r="C49" s="11"/>
      <x:c r="D49" s="11"/>
      <x:c r="E49" s="11"/>
      <x:c r="F49" s="11"/>
      <x:c r="G49" s="11"/>
      <x:c r="H49" s="11"/>
      <x:c r="I49" s="11"/>
      <x:c r="J49" s="11"/>
      <x:c r="K49" s="12" t="str">
        <x:f>IF(A49="","",E49*F49+G49*H49+I49*J49)</x:f>
      </x:c>
      <x:c r="L49" s="9"/>
      <x:c r="M49" s="9" t="str">
        <x:f>IF(A49="","",INDEX('입고대장'!$M$7:$M$1006,MATCH(A49,'입고대장'!$A$7:$A$1006,0)))</x:f>
      </x:c>
      <x:c r="N49" s="9"/>
    </x:row>
    <x:row r="50" ht="23" customHeight="1">
      <x:c r="A50" s="9"/>
      <x:c r="B50" s="10"/>
      <x:c r="C50" s="11"/>
      <x:c r="D50" s="11"/>
      <x:c r="E50" s="11"/>
      <x:c r="F50" s="11"/>
      <x:c r="G50" s="11"/>
      <x:c r="H50" s="11"/>
      <x:c r="I50" s="11"/>
      <x:c r="J50" s="11"/>
      <x:c r="K50" s="12" t="str">
        <x:f>IF(A50="","",E50*F50+G50*H50+I50*J50)</x:f>
      </x:c>
      <x:c r="L50" s="9"/>
      <x:c r="M50" s="9" t="str">
        <x:f>IF(A50="","",INDEX('입고대장'!$M$7:$M$1006,MATCH(A50,'입고대장'!$A$7:$A$1006,0)))</x:f>
      </x:c>
      <x:c r="N50" s="9"/>
    </x:row>
    <x:row r="51" ht="23" customHeight="1">
      <x:c r="A51" s="9"/>
      <x:c r="B51" s="10"/>
      <x:c r="C51" s="11"/>
      <x:c r="D51" s="11"/>
      <x:c r="E51" s="11"/>
      <x:c r="F51" s="11"/>
      <x:c r="G51" s="11"/>
      <x:c r="H51" s="11"/>
      <x:c r="I51" s="11"/>
      <x:c r="J51" s="11"/>
      <x:c r="K51" s="12" t="str">
        <x:f>IF(A51="","",E51*F51+G51*H51+I51*J51)</x:f>
      </x:c>
      <x:c r="L51" s="9"/>
      <x:c r="M51" s="9" t="str">
        <x:f>IF(A51="","",INDEX('입고대장'!$M$7:$M$1006,MATCH(A51,'입고대장'!$A$7:$A$1006,0)))</x:f>
      </x:c>
      <x:c r="N51" s="9"/>
    </x:row>
    <x:row r="52" ht="23" customHeight="1">
      <x:c r="A52" s="9"/>
      <x:c r="B52" s="10"/>
      <x:c r="C52" s="11"/>
      <x:c r="D52" s="11"/>
      <x:c r="E52" s="11"/>
      <x:c r="F52" s="11"/>
      <x:c r="G52" s="11"/>
      <x:c r="H52" s="11"/>
      <x:c r="I52" s="11"/>
      <x:c r="J52" s="11"/>
      <x:c r="K52" s="12" t="str">
        <x:f>IF(A52="","",E52*F52+G52*H52+I52*J52)</x:f>
      </x:c>
      <x:c r="L52" s="9"/>
      <x:c r="M52" s="9" t="str">
        <x:f>IF(A52="","",INDEX('입고대장'!$M$7:$M$1006,MATCH(A52,'입고대장'!$A$7:$A$1006,0)))</x:f>
      </x:c>
      <x:c r="N52" s="9"/>
    </x:row>
    <x:row r="53" ht="23" customHeight="1">
      <x:c r="A53" s="9"/>
      <x:c r="B53" s="10"/>
      <x:c r="C53" s="11"/>
      <x:c r="D53" s="11"/>
      <x:c r="E53" s="11"/>
      <x:c r="F53" s="11"/>
      <x:c r="G53" s="11"/>
      <x:c r="H53" s="11"/>
      <x:c r="I53" s="11"/>
      <x:c r="J53" s="11"/>
      <x:c r="K53" s="12" t="str">
        <x:f>IF(A53="","",E53*F53+G53*H53+I53*J53)</x:f>
      </x:c>
      <x:c r="L53" s="9"/>
      <x:c r="M53" s="9" t="str">
        <x:f>IF(A53="","",INDEX('입고대장'!$M$7:$M$1006,MATCH(A53,'입고대장'!$A$7:$A$1006,0)))</x:f>
      </x:c>
      <x:c r="N53" s="9"/>
    </x:row>
    <x:row r="54" ht="23" customHeight="1">
      <x:c r="A54" s="9"/>
      <x:c r="B54" s="10"/>
      <x:c r="C54" s="11"/>
      <x:c r="D54" s="11"/>
      <x:c r="E54" s="11"/>
      <x:c r="F54" s="11"/>
      <x:c r="G54" s="11"/>
      <x:c r="H54" s="11"/>
      <x:c r="I54" s="11"/>
      <x:c r="J54" s="11"/>
      <x:c r="K54" s="12" t="str">
        <x:f>IF(A54="","",E54*F54+G54*H54+I54*J54)</x:f>
      </x:c>
      <x:c r="L54" s="9"/>
      <x:c r="M54" s="9" t="str">
        <x:f>IF(A54="","",INDEX('입고대장'!$M$7:$M$1006,MATCH(A54,'입고대장'!$A$7:$A$1006,0)))</x:f>
      </x:c>
      <x:c r="N54" s="9"/>
    </x:row>
    <x:row r="55" ht="23" customHeight="1">
      <x:c r="A55" s="9"/>
      <x:c r="B55" s="10"/>
      <x:c r="C55" s="11"/>
      <x:c r="D55" s="11"/>
      <x:c r="E55" s="11"/>
      <x:c r="F55" s="11"/>
      <x:c r="G55" s="11"/>
      <x:c r="H55" s="11"/>
      <x:c r="I55" s="11"/>
      <x:c r="J55" s="11"/>
      <x:c r="K55" s="12" t="str">
        <x:f>IF(A55="","",E55*F55+G55*H55+I55*J55)</x:f>
      </x:c>
      <x:c r="L55" s="9"/>
      <x:c r="M55" s="9" t="str">
        <x:f>IF(A55="","",INDEX('입고대장'!$M$7:$M$1006,MATCH(A55,'입고대장'!$A$7:$A$1006,0)))</x:f>
      </x:c>
      <x:c r="N55" s="9"/>
    </x:row>
    <x:row r="56" ht="23" customHeight="1">
      <x:c r="A56" s="9"/>
      <x:c r="B56" s="10"/>
      <x:c r="C56" s="11"/>
      <x:c r="D56" s="11"/>
      <x:c r="E56" s="11"/>
      <x:c r="F56" s="11"/>
      <x:c r="G56" s="11"/>
      <x:c r="H56" s="11"/>
      <x:c r="I56" s="11"/>
      <x:c r="J56" s="11"/>
      <x:c r="K56" s="12" t="str">
        <x:f>IF(A56="","",E56*F56+G56*H56+I56*J56)</x:f>
      </x:c>
      <x:c r="L56" s="9"/>
      <x:c r="M56" s="9" t="str">
        <x:f>IF(A56="","",INDEX('입고대장'!$M$7:$M$1006,MATCH(A56,'입고대장'!$A$7:$A$1006,0)))</x:f>
      </x:c>
      <x:c r="N56" s="9"/>
    </x:row>
    <x:row r="57" ht="23" customHeight="1">
      <x:c r="A57" s="9"/>
      <x:c r="B57" s="10"/>
      <x:c r="C57" s="11"/>
      <x:c r="D57" s="11"/>
      <x:c r="E57" s="11"/>
      <x:c r="F57" s="11"/>
      <x:c r="G57" s="11"/>
      <x:c r="H57" s="11"/>
      <x:c r="I57" s="11"/>
      <x:c r="J57" s="11"/>
      <x:c r="K57" s="12" t="str">
        <x:f>IF(A57="","",E57*F57+G57*H57+I57*J57)</x:f>
      </x:c>
      <x:c r="L57" s="9"/>
      <x:c r="M57" s="9" t="str">
        <x:f>IF(A57="","",INDEX('입고대장'!$M$7:$M$1006,MATCH(A57,'입고대장'!$A$7:$A$1006,0)))</x:f>
      </x:c>
      <x:c r="N57" s="9"/>
    </x:row>
    <x:row r="58" ht="23" customHeight="1">
      <x:c r="A58" s="9"/>
      <x:c r="B58" s="10"/>
      <x:c r="C58" s="11"/>
      <x:c r="D58" s="11"/>
      <x:c r="E58" s="11"/>
      <x:c r="F58" s="11"/>
      <x:c r="G58" s="11"/>
      <x:c r="H58" s="11"/>
      <x:c r="I58" s="11"/>
      <x:c r="J58" s="11"/>
      <x:c r="K58" s="12" t="str">
        <x:f>IF(A58="","",E58*F58+G58*H58+I58*J58)</x:f>
      </x:c>
      <x:c r="L58" s="9"/>
      <x:c r="M58" s="9" t="str">
        <x:f>IF(A58="","",INDEX('입고대장'!$M$7:$M$1006,MATCH(A58,'입고대장'!$A$7:$A$1006,0)))</x:f>
      </x:c>
      <x:c r="N58" s="9"/>
    </x:row>
    <x:row r="59" ht="23" customHeight="1">
      <x:c r="A59" s="9"/>
      <x:c r="B59" s="10"/>
      <x:c r="C59" s="11"/>
      <x:c r="D59" s="11"/>
      <x:c r="E59" s="11"/>
      <x:c r="F59" s="11"/>
      <x:c r="G59" s="11"/>
      <x:c r="H59" s="11"/>
      <x:c r="I59" s="11"/>
      <x:c r="J59" s="11"/>
      <x:c r="K59" s="12" t="str">
        <x:f>IF(A59="","",E59*F59+G59*H59+I59*J59)</x:f>
      </x:c>
      <x:c r="L59" s="9"/>
      <x:c r="M59" s="9" t="str">
        <x:f>IF(A59="","",INDEX('입고대장'!$M$7:$M$1006,MATCH(A59,'입고대장'!$A$7:$A$1006,0)))</x:f>
      </x:c>
      <x:c r="N59" s="9"/>
    </x:row>
    <x:row r="60" ht="23" customHeight="1">
      <x:c r="A60" s="9"/>
      <x:c r="B60" s="10"/>
      <x:c r="C60" s="11"/>
      <x:c r="D60" s="11"/>
      <x:c r="E60" s="11"/>
      <x:c r="F60" s="11"/>
      <x:c r="G60" s="11"/>
      <x:c r="H60" s="11"/>
      <x:c r="I60" s="11"/>
      <x:c r="J60" s="11"/>
      <x:c r="K60" s="12" t="str">
        <x:f>IF(A60="","",E60*F60+G60*H60+I60*J60)</x:f>
      </x:c>
      <x:c r="L60" s="9"/>
      <x:c r="M60" s="9" t="str">
        <x:f>IF(A60="","",INDEX('입고대장'!$M$7:$M$1006,MATCH(A60,'입고대장'!$A$7:$A$1006,0)))</x:f>
      </x:c>
      <x:c r="N60" s="9"/>
    </x:row>
    <x:row r="61" ht="23" customHeight="1">
      <x:c r="A61" s="9"/>
      <x:c r="B61" s="10"/>
      <x:c r="C61" s="11"/>
      <x:c r="D61" s="11"/>
      <x:c r="E61" s="11"/>
      <x:c r="F61" s="11"/>
      <x:c r="G61" s="11"/>
      <x:c r="H61" s="11"/>
      <x:c r="I61" s="11"/>
      <x:c r="J61" s="11"/>
      <x:c r="K61" s="12" t="str">
        <x:f>IF(A61="","",E61*F61+G61*H61+I61*J61)</x:f>
      </x:c>
      <x:c r="L61" s="9"/>
      <x:c r="M61" s="9" t="str">
        <x:f>IF(A61="","",INDEX('입고대장'!$M$7:$M$1006,MATCH(A61,'입고대장'!$A$7:$A$1006,0)))</x:f>
      </x:c>
      <x:c r="N61" s="9"/>
    </x:row>
    <x:row r="62" ht="23" customHeight="1">
      <x:c r="A62" s="9"/>
      <x:c r="B62" s="10"/>
      <x:c r="C62" s="11"/>
      <x:c r="D62" s="11"/>
      <x:c r="E62" s="11"/>
      <x:c r="F62" s="11"/>
      <x:c r="G62" s="11"/>
      <x:c r="H62" s="11"/>
      <x:c r="I62" s="11"/>
      <x:c r="J62" s="11"/>
      <x:c r="K62" s="12" t="str">
        <x:f>IF(A62="","",E62*F62+G62*H62+I62*J62)</x:f>
      </x:c>
      <x:c r="L62" s="9"/>
      <x:c r="M62" s="9" t="str">
        <x:f>IF(A62="","",INDEX('입고대장'!$M$7:$M$1006,MATCH(A62,'입고대장'!$A$7:$A$1006,0)))</x:f>
      </x:c>
      <x:c r="N62" s="9"/>
    </x:row>
    <x:row r="63" ht="23" customHeight="1">
      <x:c r="A63" s="9"/>
      <x:c r="B63" s="10"/>
      <x:c r="C63" s="11"/>
      <x:c r="D63" s="11"/>
      <x:c r="E63" s="11"/>
      <x:c r="F63" s="11"/>
      <x:c r="G63" s="11"/>
      <x:c r="H63" s="11"/>
      <x:c r="I63" s="11"/>
      <x:c r="J63" s="11"/>
      <x:c r="K63" s="12" t="str">
        <x:f>IF(A63="","",E63*F63+G63*H63+I63*J63)</x:f>
      </x:c>
      <x:c r="L63" s="9"/>
      <x:c r="M63" s="9" t="str">
        <x:f>IF(A63="","",INDEX('입고대장'!$M$7:$M$1006,MATCH(A63,'입고대장'!$A$7:$A$1006,0)))</x:f>
      </x:c>
      <x:c r="N63" s="9"/>
    </x:row>
    <x:row r="64" ht="23" customHeight="1">
      <x:c r="A64" s="9"/>
      <x:c r="B64" s="10"/>
      <x:c r="C64" s="11"/>
      <x:c r="D64" s="11"/>
      <x:c r="E64" s="11"/>
      <x:c r="F64" s="11"/>
      <x:c r="G64" s="11"/>
      <x:c r="H64" s="11"/>
      <x:c r="I64" s="11"/>
      <x:c r="J64" s="11"/>
      <x:c r="K64" s="12" t="str">
        <x:f>IF(A64="","",E64*F64+G64*H64+I64*J64)</x:f>
      </x:c>
      <x:c r="L64" s="9"/>
      <x:c r="M64" s="9" t="str">
        <x:f>IF(A64="","",INDEX('입고대장'!$M$7:$M$1006,MATCH(A64,'입고대장'!$A$7:$A$1006,0)))</x:f>
      </x:c>
      <x:c r="N64" s="9"/>
    </x:row>
    <x:row r="65" ht="23" customHeight="1">
      <x:c r="A65" s="9"/>
      <x:c r="B65" s="10"/>
      <x:c r="C65" s="11"/>
      <x:c r="D65" s="11"/>
      <x:c r="E65" s="11"/>
      <x:c r="F65" s="11"/>
      <x:c r="G65" s="11"/>
      <x:c r="H65" s="11"/>
      <x:c r="I65" s="11"/>
      <x:c r="J65" s="11"/>
      <x:c r="K65" s="12" t="str">
        <x:f>IF(A65="","",E65*F65+G65*H65+I65*J65)</x:f>
      </x:c>
      <x:c r="L65" s="9"/>
      <x:c r="M65" s="9" t="str">
        <x:f>IF(A65="","",INDEX('입고대장'!$M$7:$M$1006,MATCH(A65,'입고대장'!$A$7:$A$1006,0)))</x:f>
      </x:c>
      <x:c r="N65" s="9"/>
    </x:row>
    <x:row r="66" ht="23" customHeight="1">
      <x:c r="A66" s="9"/>
      <x:c r="B66" s="10"/>
      <x:c r="C66" s="11"/>
      <x:c r="D66" s="11"/>
      <x:c r="E66" s="11"/>
      <x:c r="F66" s="11"/>
      <x:c r="G66" s="11"/>
      <x:c r="H66" s="11"/>
      <x:c r="I66" s="11"/>
      <x:c r="J66" s="11"/>
      <x:c r="K66" s="12" t="str">
        <x:f>IF(A66="","",E66*F66+G66*H66+I66*J66)</x:f>
      </x:c>
      <x:c r="L66" s="9"/>
      <x:c r="M66" s="9" t="str">
        <x:f>IF(A66="","",INDEX('입고대장'!$M$7:$M$1006,MATCH(A66,'입고대장'!$A$7:$A$1006,0)))</x:f>
      </x:c>
      <x:c r="N66" s="9"/>
    </x:row>
    <x:row r="67" ht="23" customHeight="1">
      <x:c r="A67" s="9"/>
      <x:c r="B67" s="10"/>
      <x:c r="C67" s="11"/>
      <x:c r="D67" s="11"/>
      <x:c r="E67" s="11"/>
      <x:c r="F67" s="11"/>
      <x:c r="G67" s="11"/>
      <x:c r="H67" s="11"/>
      <x:c r="I67" s="11"/>
      <x:c r="J67" s="11"/>
      <x:c r="K67" s="12" t="str">
        <x:f>IF(A67="","",E67*F67+G67*H67+I67*J67)</x:f>
      </x:c>
      <x:c r="L67" s="9"/>
      <x:c r="M67" s="9" t="str">
        <x:f>IF(A67="","",INDEX('입고대장'!$M$7:$M$1006,MATCH(A67,'입고대장'!$A$7:$A$1006,0)))</x:f>
      </x:c>
      <x:c r="N67" s="9"/>
    </x:row>
    <x:row r="68" ht="23" customHeight="1">
      <x:c r="A68" s="9"/>
      <x:c r="B68" s="10"/>
      <x:c r="C68" s="11"/>
      <x:c r="D68" s="11"/>
      <x:c r="E68" s="11"/>
      <x:c r="F68" s="11"/>
      <x:c r="G68" s="11"/>
      <x:c r="H68" s="11"/>
      <x:c r="I68" s="11"/>
      <x:c r="J68" s="11"/>
      <x:c r="K68" s="12" t="str">
        <x:f>IF(A68="","",E68*F68+G68*H68+I68*J68)</x:f>
      </x:c>
      <x:c r="L68" s="9"/>
      <x:c r="M68" s="9" t="str">
        <x:f>IF(A68="","",INDEX('입고대장'!$M$7:$M$1006,MATCH(A68,'입고대장'!$A$7:$A$1006,0)))</x:f>
      </x:c>
      <x:c r="N68" s="9"/>
    </x:row>
    <x:row r="69" ht="23" customHeight="1">
      <x:c r="A69" s="9"/>
      <x:c r="B69" s="10"/>
      <x:c r="C69" s="11"/>
      <x:c r="D69" s="11"/>
      <x:c r="E69" s="11"/>
      <x:c r="F69" s="11"/>
      <x:c r="G69" s="11"/>
      <x:c r="H69" s="11"/>
      <x:c r="I69" s="11"/>
      <x:c r="J69" s="11"/>
      <x:c r="K69" s="12" t="str">
        <x:f>IF(A69="","",E69*F69+G69*H69+I69*J69)</x:f>
      </x:c>
      <x:c r="L69" s="9"/>
      <x:c r="M69" s="9" t="str">
        <x:f>IF(A69="","",INDEX('입고대장'!$M$7:$M$1006,MATCH(A69,'입고대장'!$A$7:$A$1006,0)))</x:f>
      </x:c>
      <x:c r="N69" s="9"/>
    </x:row>
    <x:row r="70" ht="23" customHeight="1">
      <x:c r="A70" s="9"/>
      <x:c r="B70" s="10"/>
      <x:c r="C70" s="11"/>
      <x:c r="D70" s="11"/>
      <x:c r="E70" s="11"/>
      <x:c r="F70" s="11"/>
      <x:c r="G70" s="11"/>
      <x:c r="H70" s="11"/>
      <x:c r="I70" s="11"/>
      <x:c r="J70" s="11"/>
      <x:c r="K70" s="12" t="str">
        <x:f>IF(A70="","",E70*F70+G70*H70+I70*J70)</x:f>
      </x:c>
      <x:c r="L70" s="9"/>
      <x:c r="M70" s="9" t="str">
        <x:f>IF(A70="","",INDEX('입고대장'!$M$7:$M$1006,MATCH(A70,'입고대장'!$A$7:$A$1006,0)))</x:f>
      </x:c>
      <x:c r="N70" s="9"/>
    </x:row>
    <x:row r="71" ht="23" customHeight="1">
      <x:c r="A71" s="9"/>
      <x:c r="B71" s="10"/>
      <x:c r="C71" s="11"/>
      <x:c r="D71" s="11"/>
      <x:c r="E71" s="11"/>
      <x:c r="F71" s="11"/>
      <x:c r="G71" s="11"/>
      <x:c r="H71" s="11"/>
      <x:c r="I71" s="11"/>
      <x:c r="J71" s="11"/>
      <x:c r="K71" s="12" t="str">
        <x:f>IF(A71="","",E71*F71+G71*H71+I71*J71)</x:f>
      </x:c>
      <x:c r="L71" s="9"/>
      <x:c r="M71" s="9" t="str">
        <x:f>IF(A71="","",INDEX('입고대장'!$M$7:$M$1006,MATCH(A71,'입고대장'!$A$7:$A$1006,0)))</x:f>
      </x:c>
      <x:c r="N71" s="9"/>
    </x:row>
    <x:row r="72" ht="23" customHeight="1">
      <x:c r="A72" s="9"/>
      <x:c r="B72" s="10"/>
      <x:c r="C72" s="11"/>
      <x:c r="D72" s="11"/>
      <x:c r="E72" s="11"/>
      <x:c r="F72" s="11"/>
      <x:c r="G72" s="11"/>
      <x:c r="H72" s="11"/>
      <x:c r="I72" s="11"/>
      <x:c r="J72" s="11"/>
      <x:c r="K72" s="12" t="str">
        <x:f>IF(A72="","",E72*F72+G72*H72+I72*J72)</x:f>
      </x:c>
      <x:c r="L72" s="9"/>
      <x:c r="M72" s="9" t="str">
        <x:f>IF(A72="","",INDEX('입고대장'!$M$7:$M$1006,MATCH(A72,'입고대장'!$A$7:$A$1006,0)))</x:f>
      </x:c>
      <x:c r="N72" s="9"/>
    </x:row>
    <x:row r="73" ht="23" customHeight="1">
      <x:c r="A73" s="9"/>
      <x:c r="B73" s="10"/>
      <x:c r="C73" s="11"/>
      <x:c r="D73" s="11"/>
      <x:c r="E73" s="11"/>
      <x:c r="F73" s="11"/>
      <x:c r="G73" s="11"/>
      <x:c r="H73" s="11"/>
      <x:c r="I73" s="11"/>
      <x:c r="J73" s="11"/>
      <x:c r="K73" s="12" t="str">
        <x:f>IF(A73="","",E73*F73+G73*H73+I73*J73)</x:f>
      </x:c>
      <x:c r="L73" s="9"/>
      <x:c r="M73" s="9" t="str">
        <x:f>IF(A73="","",INDEX('입고대장'!$M$7:$M$1006,MATCH(A73,'입고대장'!$A$7:$A$1006,0)))</x:f>
      </x:c>
      <x:c r="N73" s="9"/>
    </x:row>
    <x:row r="74" ht="23" customHeight="1">
      <x:c r="A74" s="9"/>
      <x:c r="B74" s="10"/>
      <x:c r="C74" s="11"/>
      <x:c r="D74" s="11"/>
      <x:c r="E74" s="11"/>
      <x:c r="F74" s="11"/>
      <x:c r="G74" s="11"/>
      <x:c r="H74" s="11"/>
      <x:c r="I74" s="11"/>
      <x:c r="J74" s="11"/>
      <x:c r="K74" s="12" t="str">
        <x:f>IF(A74="","",E74*F74+G74*H74+I74*J74)</x:f>
      </x:c>
      <x:c r="L74" s="9"/>
      <x:c r="M74" s="9" t="str">
        <x:f>IF(A74="","",INDEX('입고대장'!$M$7:$M$1006,MATCH(A74,'입고대장'!$A$7:$A$1006,0)))</x:f>
      </x:c>
      <x:c r="N74" s="9"/>
    </x:row>
    <x:row r="75" ht="23" customHeight="1">
      <x:c r="A75" s="9"/>
      <x:c r="B75" s="10"/>
      <x:c r="C75" s="11"/>
      <x:c r="D75" s="11"/>
      <x:c r="E75" s="11"/>
      <x:c r="F75" s="11"/>
      <x:c r="G75" s="11"/>
      <x:c r="H75" s="11"/>
      <x:c r="I75" s="11"/>
      <x:c r="J75" s="11"/>
      <x:c r="K75" s="12" t="str">
        <x:f>IF(A75="","",E75*F75+G75*H75+I75*J75)</x:f>
      </x:c>
      <x:c r="L75" s="9"/>
      <x:c r="M75" s="9" t="str">
        <x:f>IF(A75="","",INDEX('입고대장'!$M$7:$M$1006,MATCH(A75,'입고대장'!$A$7:$A$1006,0)))</x:f>
      </x:c>
      <x:c r="N75" s="9"/>
    </x:row>
    <x:row r="76" ht="23" customHeight="1">
      <x:c r="A76" s="9"/>
      <x:c r="B76" s="10"/>
      <x:c r="C76" s="11"/>
      <x:c r="D76" s="11"/>
      <x:c r="E76" s="11"/>
      <x:c r="F76" s="11"/>
      <x:c r="G76" s="11"/>
      <x:c r="H76" s="11"/>
      <x:c r="I76" s="11"/>
      <x:c r="J76" s="11"/>
      <x:c r="K76" s="12" t="str">
        <x:f>IF(A76="","",E76*F76+G76*H76+I76*J76)</x:f>
      </x:c>
      <x:c r="L76" s="9"/>
      <x:c r="M76" s="9" t="str">
        <x:f>IF(A76="","",INDEX('입고대장'!$M$7:$M$1006,MATCH(A76,'입고대장'!$A$7:$A$1006,0)))</x:f>
      </x:c>
      <x:c r="N76" s="9"/>
    </x:row>
    <x:row r="77" ht="23" customHeight="1">
      <x:c r="A77" s="9"/>
      <x:c r="B77" s="10"/>
      <x:c r="C77" s="11"/>
      <x:c r="D77" s="11"/>
      <x:c r="E77" s="11"/>
      <x:c r="F77" s="11"/>
      <x:c r="G77" s="11"/>
      <x:c r="H77" s="11"/>
      <x:c r="I77" s="11"/>
      <x:c r="J77" s="11"/>
      <x:c r="K77" s="12" t="str">
        <x:f>IF(A77="","",E77*F77+G77*H77+I77*J77)</x:f>
      </x:c>
      <x:c r="L77" s="9"/>
      <x:c r="M77" s="9" t="str">
        <x:f>IF(A77="","",INDEX('입고대장'!$M$7:$M$1006,MATCH(A77,'입고대장'!$A$7:$A$1006,0)))</x:f>
      </x:c>
      <x:c r="N77" s="9"/>
    </x:row>
    <x:row r="78" ht="23" customHeight="1">
      <x:c r="A78" s="9"/>
      <x:c r="B78" s="10"/>
      <x:c r="C78" s="11"/>
      <x:c r="D78" s="11"/>
      <x:c r="E78" s="11"/>
      <x:c r="F78" s="11"/>
      <x:c r="G78" s="11"/>
      <x:c r="H78" s="11"/>
      <x:c r="I78" s="11"/>
      <x:c r="J78" s="11"/>
      <x:c r="K78" s="12" t="str">
        <x:f>IF(A78="","",E78*F78+G78*H78+I78*J78)</x:f>
      </x:c>
      <x:c r="L78" s="9"/>
      <x:c r="M78" s="9" t="str">
        <x:f>IF(A78="","",INDEX('입고대장'!$M$7:$M$1006,MATCH(A78,'입고대장'!$A$7:$A$1006,0)))</x:f>
      </x:c>
      <x:c r="N78" s="9"/>
    </x:row>
    <x:row r="79" ht="23" customHeight="1">
      <x:c r="A79" s="9"/>
      <x:c r="B79" s="10"/>
      <x:c r="C79" s="11"/>
      <x:c r="D79" s="11"/>
      <x:c r="E79" s="11"/>
      <x:c r="F79" s="11"/>
      <x:c r="G79" s="11"/>
      <x:c r="H79" s="11"/>
      <x:c r="I79" s="11"/>
      <x:c r="J79" s="11"/>
      <x:c r="K79" s="12" t="str">
        <x:f>IF(A79="","",E79*F79+G79*H79+I79*J79)</x:f>
      </x:c>
      <x:c r="L79" s="9"/>
      <x:c r="M79" s="9" t="str">
        <x:f>IF(A79="","",INDEX('입고대장'!$M$7:$M$1006,MATCH(A79,'입고대장'!$A$7:$A$1006,0)))</x:f>
      </x:c>
      <x:c r="N79" s="9"/>
    </x:row>
    <x:row r="80" ht="23" customHeight="1">
      <x:c r="A80" s="9"/>
      <x:c r="B80" s="10"/>
      <x:c r="C80" s="11"/>
      <x:c r="D80" s="11"/>
      <x:c r="E80" s="11"/>
      <x:c r="F80" s="11"/>
      <x:c r="G80" s="11"/>
      <x:c r="H80" s="11"/>
      <x:c r="I80" s="11"/>
      <x:c r="J80" s="11"/>
      <x:c r="K80" s="12" t="str">
        <x:f>IF(A80="","",E80*F80+G80*H80+I80*J80)</x:f>
      </x:c>
      <x:c r="L80" s="9"/>
      <x:c r="M80" s="9" t="str">
        <x:f>IF(A80="","",INDEX('입고대장'!$M$7:$M$1006,MATCH(A80,'입고대장'!$A$7:$A$1006,0)))</x:f>
      </x:c>
      <x:c r="N80" s="9"/>
    </x:row>
    <x:row r="81" ht="23" customHeight="1">
      <x:c r="A81" s="9"/>
      <x:c r="B81" s="10"/>
      <x:c r="C81" s="11"/>
      <x:c r="D81" s="11"/>
      <x:c r="E81" s="11"/>
      <x:c r="F81" s="11"/>
      <x:c r="G81" s="11"/>
      <x:c r="H81" s="11"/>
      <x:c r="I81" s="11"/>
      <x:c r="J81" s="11"/>
      <x:c r="K81" s="12" t="str">
        <x:f>IF(A81="","",E81*F81+G81*H81+I81*J81)</x:f>
      </x:c>
      <x:c r="L81" s="9"/>
      <x:c r="M81" s="9" t="str">
        <x:f>IF(A81="","",INDEX('입고대장'!$M$7:$M$1006,MATCH(A81,'입고대장'!$A$7:$A$1006,0)))</x:f>
      </x:c>
      <x:c r="N81" s="9"/>
    </x:row>
    <x:row r="82" ht="23" customHeight="1">
      <x:c r="A82" s="9"/>
      <x:c r="B82" s="10"/>
      <x:c r="C82" s="11"/>
      <x:c r="D82" s="11"/>
      <x:c r="E82" s="11"/>
      <x:c r="F82" s="11"/>
      <x:c r="G82" s="11"/>
      <x:c r="H82" s="11"/>
      <x:c r="I82" s="11"/>
      <x:c r="J82" s="11"/>
      <x:c r="K82" s="12" t="str">
        <x:f>IF(A82="","",E82*F82+G82*H82+I82*J82)</x:f>
      </x:c>
      <x:c r="L82" s="9"/>
      <x:c r="M82" s="9" t="str">
        <x:f>IF(A82="","",INDEX('입고대장'!$M$7:$M$1006,MATCH(A82,'입고대장'!$A$7:$A$1006,0)))</x:f>
      </x:c>
      <x:c r="N82" s="9"/>
    </x:row>
    <x:row r="83" ht="23" customHeight="1">
      <x:c r="A83" s="9"/>
      <x:c r="B83" s="10"/>
      <x:c r="C83" s="11"/>
      <x:c r="D83" s="11"/>
      <x:c r="E83" s="11"/>
      <x:c r="F83" s="11"/>
      <x:c r="G83" s="11"/>
      <x:c r="H83" s="11"/>
      <x:c r="I83" s="11"/>
      <x:c r="J83" s="11"/>
      <x:c r="K83" s="12" t="str">
        <x:f>IF(A83="","",E83*F83+G83*H83+I83*J83)</x:f>
      </x:c>
      <x:c r="L83" s="9"/>
      <x:c r="M83" s="9" t="str">
        <x:f>IF(A83="","",INDEX('입고대장'!$M$7:$M$1006,MATCH(A83,'입고대장'!$A$7:$A$1006,0)))</x:f>
      </x:c>
      <x:c r="N83" s="9"/>
    </x:row>
    <x:row r="84" ht="23" customHeight="1">
      <x:c r="A84" s="9"/>
      <x:c r="B84" s="10"/>
      <x:c r="C84" s="11"/>
      <x:c r="D84" s="11"/>
      <x:c r="E84" s="11"/>
      <x:c r="F84" s="11"/>
      <x:c r="G84" s="11"/>
      <x:c r="H84" s="11"/>
      <x:c r="I84" s="11"/>
      <x:c r="J84" s="11"/>
      <x:c r="K84" s="12" t="str">
        <x:f>IF(A84="","",E84*F84+G84*H84+I84*J84)</x:f>
      </x:c>
      <x:c r="L84" s="9"/>
      <x:c r="M84" s="9" t="str">
        <x:f>IF(A84="","",INDEX('입고대장'!$M$7:$M$1006,MATCH(A84,'입고대장'!$A$7:$A$1006,0)))</x:f>
      </x:c>
      <x:c r="N84" s="9"/>
    </x:row>
    <x:row r="85" ht="23" customHeight="1">
      <x:c r="A85" s="9"/>
      <x:c r="B85" s="10"/>
      <x:c r="C85" s="11"/>
      <x:c r="D85" s="11"/>
      <x:c r="E85" s="11"/>
      <x:c r="F85" s="11"/>
      <x:c r="G85" s="11"/>
      <x:c r="H85" s="11"/>
      <x:c r="I85" s="11"/>
      <x:c r="J85" s="11"/>
      <x:c r="K85" s="12" t="str">
        <x:f>IF(A85="","",E85*F85+G85*H85+I85*J85)</x:f>
      </x:c>
      <x:c r="L85" s="9"/>
      <x:c r="M85" s="9" t="str">
        <x:f>IF(A85="","",INDEX('입고대장'!$M$7:$M$1006,MATCH(A85,'입고대장'!$A$7:$A$1006,0)))</x:f>
      </x:c>
      <x:c r="N85" s="9"/>
    </x:row>
    <x:row r="86" ht="23" customHeight="1">
      <x:c r="A86" s="9"/>
      <x:c r="B86" s="10"/>
      <x:c r="C86" s="11"/>
      <x:c r="D86" s="11"/>
      <x:c r="E86" s="11"/>
      <x:c r="F86" s="11"/>
      <x:c r="G86" s="11"/>
      <x:c r="H86" s="11"/>
      <x:c r="I86" s="11"/>
      <x:c r="J86" s="11"/>
      <x:c r="K86" s="12" t="str">
        <x:f>IF(A86="","",E86*F86+G86*H86+I86*J86)</x:f>
      </x:c>
      <x:c r="L86" s="9"/>
      <x:c r="M86" s="9" t="str">
        <x:f>IF(A86="","",INDEX('입고대장'!$M$7:$M$1006,MATCH(A86,'입고대장'!$A$7:$A$1006,0)))</x:f>
      </x:c>
      <x:c r="N86" s="9"/>
    </x:row>
    <x:row r="87" ht="23" customHeight="1">
      <x:c r="A87" s="9"/>
      <x:c r="B87" s="10"/>
      <x:c r="C87" s="11"/>
      <x:c r="D87" s="11"/>
      <x:c r="E87" s="11"/>
      <x:c r="F87" s="11"/>
      <x:c r="G87" s="11"/>
      <x:c r="H87" s="11"/>
      <x:c r="I87" s="11"/>
      <x:c r="J87" s="11"/>
      <x:c r="K87" s="12" t="str">
        <x:f>IF(A87="","",E87*F87+G87*H87+I87*J87)</x:f>
      </x:c>
      <x:c r="L87" s="9"/>
      <x:c r="M87" s="9" t="str">
        <x:f>IF(A87="","",INDEX('입고대장'!$M$7:$M$1006,MATCH(A87,'입고대장'!$A$7:$A$1006,0)))</x:f>
      </x:c>
      <x:c r="N87" s="9"/>
    </x:row>
    <x:row r="88" ht="23" customHeight="1">
      <x:c r="A88" s="9"/>
      <x:c r="B88" s="10"/>
      <x:c r="C88" s="11"/>
      <x:c r="D88" s="11"/>
      <x:c r="E88" s="11"/>
      <x:c r="F88" s="11"/>
      <x:c r="G88" s="11"/>
      <x:c r="H88" s="11"/>
      <x:c r="I88" s="11"/>
      <x:c r="J88" s="11"/>
      <x:c r="K88" s="12" t="str">
        <x:f>IF(A88="","",E88*F88+G88*H88+I88*J88)</x:f>
      </x:c>
      <x:c r="L88" s="9"/>
      <x:c r="M88" s="9" t="str">
        <x:f>IF(A88="","",INDEX('입고대장'!$M$7:$M$1006,MATCH(A88,'입고대장'!$A$7:$A$1006,0)))</x:f>
      </x:c>
      <x:c r="N88" s="9"/>
    </x:row>
    <x:row r="89" ht="23" customHeight="1">
      <x:c r="A89" s="9"/>
      <x:c r="B89" s="10"/>
      <x:c r="C89" s="11"/>
      <x:c r="D89" s="11"/>
      <x:c r="E89" s="11"/>
      <x:c r="F89" s="11"/>
      <x:c r="G89" s="11"/>
      <x:c r="H89" s="11"/>
      <x:c r="I89" s="11"/>
      <x:c r="J89" s="11"/>
      <x:c r="K89" s="12" t="str">
        <x:f>IF(A89="","",E89*F89+G89*H89+I89*J89)</x:f>
      </x:c>
      <x:c r="L89" s="9"/>
      <x:c r="M89" s="9" t="str">
        <x:f>IF(A89="","",INDEX('입고대장'!$M$7:$M$1006,MATCH(A89,'입고대장'!$A$7:$A$1006,0)))</x:f>
      </x:c>
      <x:c r="N89" s="9"/>
    </x:row>
    <x:row r="90" ht="23" customHeight="1">
      <x:c r="A90" s="9"/>
      <x:c r="B90" s="10"/>
      <x:c r="C90" s="11"/>
      <x:c r="D90" s="11"/>
      <x:c r="E90" s="11"/>
      <x:c r="F90" s="11"/>
      <x:c r="G90" s="11"/>
      <x:c r="H90" s="11"/>
      <x:c r="I90" s="11"/>
      <x:c r="J90" s="11"/>
      <x:c r="K90" s="12" t="str">
        <x:f>IF(A90="","",E90*F90+G90*H90+I90*J90)</x:f>
      </x:c>
      <x:c r="L90" s="9"/>
      <x:c r="M90" s="9" t="str">
        <x:f>IF(A90="","",INDEX('입고대장'!$M$7:$M$1006,MATCH(A90,'입고대장'!$A$7:$A$1006,0)))</x:f>
      </x:c>
      <x:c r="N90" s="9"/>
    </x:row>
    <x:row r="91" ht="23" customHeight="1">
      <x:c r="A91" s="9"/>
      <x:c r="B91" s="10"/>
      <x:c r="C91" s="11"/>
      <x:c r="D91" s="11"/>
      <x:c r="E91" s="11"/>
      <x:c r="F91" s="11"/>
      <x:c r="G91" s="11"/>
      <x:c r="H91" s="11"/>
      <x:c r="I91" s="11"/>
      <x:c r="J91" s="11"/>
      <x:c r="K91" s="12" t="str">
        <x:f>IF(A91="","",E91*F91+G91*H91+I91*J91)</x:f>
      </x:c>
      <x:c r="L91" s="9"/>
      <x:c r="M91" s="9" t="str">
        <x:f>IF(A91="","",INDEX('입고대장'!$M$7:$M$1006,MATCH(A91,'입고대장'!$A$7:$A$1006,0)))</x:f>
      </x:c>
      <x:c r="N91" s="9"/>
    </x:row>
    <x:row r="92" ht="23" customHeight="1">
      <x:c r="A92" s="9"/>
      <x:c r="B92" s="10"/>
      <x:c r="C92" s="11"/>
      <x:c r="D92" s="11"/>
      <x:c r="E92" s="11"/>
      <x:c r="F92" s="11"/>
      <x:c r="G92" s="11"/>
      <x:c r="H92" s="11"/>
      <x:c r="I92" s="11"/>
      <x:c r="J92" s="11"/>
      <x:c r="K92" s="12" t="str">
        <x:f>IF(A92="","",E92*F92+G92*H92+I92*J92)</x:f>
      </x:c>
      <x:c r="L92" s="9"/>
      <x:c r="M92" s="9" t="str">
        <x:f>IF(A92="","",INDEX('입고대장'!$M$7:$M$1006,MATCH(A92,'입고대장'!$A$7:$A$1006,0)))</x:f>
      </x:c>
      <x:c r="N92" s="9"/>
    </x:row>
    <x:row r="93" ht="23" customHeight="1">
      <x:c r="A93" s="9"/>
      <x:c r="B93" s="10"/>
      <x:c r="C93" s="11"/>
      <x:c r="D93" s="11"/>
      <x:c r="E93" s="11"/>
      <x:c r="F93" s="11"/>
      <x:c r="G93" s="11"/>
      <x:c r="H93" s="11"/>
      <x:c r="I93" s="11"/>
      <x:c r="J93" s="11"/>
      <x:c r="K93" s="12" t="str">
        <x:f>IF(A93="","",E93*F93+G93*H93+I93*J93)</x:f>
      </x:c>
      <x:c r="L93" s="9"/>
      <x:c r="M93" s="9" t="str">
        <x:f>IF(A93="","",INDEX('입고대장'!$M$7:$M$1006,MATCH(A93,'입고대장'!$A$7:$A$1006,0)))</x:f>
      </x:c>
      <x:c r="N93" s="9"/>
    </x:row>
    <x:row r="94" ht="23" customHeight="1">
      <x:c r="A94" s="9"/>
      <x:c r="B94" s="10"/>
      <x:c r="C94" s="11"/>
      <x:c r="D94" s="11"/>
      <x:c r="E94" s="11"/>
      <x:c r="F94" s="11"/>
      <x:c r="G94" s="11"/>
      <x:c r="H94" s="11"/>
      <x:c r="I94" s="11"/>
      <x:c r="J94" s="11"/>
      <x:c r="K94" s="12" t="str">
        <x:f>IF(A94="","",E94*F94+G94*H94+I94*J94)</x:f>
      </x:c>
      <x:c r="L94" s="9"/>
      <x:c r="M94" s="9" t="str">
        <x:f>IF(A94="","",INDEX('입고대장'!$M$7:$M$1006,MATCH(A94,'입고대장'!$A$7:$A$1006,0)))</x:f>
      </x:c>
      <x:c r="N94" s="9"/>
    </x:row>
    <x:row r="95" ht="23" customHeight="1">
      <x:c r="A95" s="9"/>
      <x:c r="B95" s="10"/>
      <x:c r="C95" s="11"/>
      <x:c r="D95" s="11"/>
      <x:c r="E95" s="11"/>
      <x:c r="F95" s="11"/>
      <x:c r="G95" s="11"/>
      <x:c r="H95" s="11"/>
      <x:c r="I95" s="11"/>
      <x:c r="J95" s="11"/>
      <x:c r="K95" s="12" t="str">
        <x:f>IF(A95="","",E95*F95+G95*H95+I95*J95)</x:f>
      </x:c>
      <x:c r="L95" s="9"/>
      <x:c r="M95" s="9" t="str">
        <x:f>IF(A95="","",INDEX('입고대장'!$M$7:$M$1006,MATCH(A95,'입고대장'!$A$7:$A$1006,0)))</x:f>
      </x:c>
      <x:c r="N95" s="9"/>
    </x:row>
    <x:row r="96" ht="23" customHeight="1">
      <x:c r="A96" s="9"/>
      <x:c r="B96" s="10"/>
      <x:c r="C96" s="11"/>
      <x:c r="D96" s="11"/>
      <x:c r="E96" s="11"/>
      <x:c r="F96" s="11"/>
      <x:c r="G96" s="11"/>
      <x:c r="H96" s="11"/>
      <x:c r="I96" s="11"/>
      <x:c r="J96" s="11"/>
      <x:c r="K96" s="12" t="str">
        <x:f>IF(A96="","",E96*F96+G96*H96+I96*J96)</x:f>
      </x:c>
      <x:c r="L96" s="9"/>
      <x:c r="M96" s="9" t="str">
        <x:f>IF(A96="","",INDEX('입고대장'!$M$7:$M$1006,MATCH(A96,'입고대장'!$A$7:$A$1006,0)))</x:f>
      </x:c>
      <x:c r="N96" s="9"/>
    </x:row>
    <x:row r="97" ht="23" customHeight="1">
      <x:c r="A97" s="9"/>
      <x:c r="B97" s="10"/>
      <x:c r="C97" s="11"/>
      <x:c r="D97" s="11"/>
      <x:c r="E97" s="11"/>
      <x:c r="F97" s="11"/>
      <x:c r="G97" s="11"/>
      <x:c r="H97" s="11"/>
      <x:c r="I97" s="11"/>
      <x:c r="J97" s="11"/>
      <x:c r="K97" s="12" t="str">
        <x:f>IF(A97="","",E97*F97+G97*H97+I97*J97)</x:f>
      </x:c>
      <x:c r="L97" s="9"/>
      <x:c r="M97" s="9" t="str">
        <x:f>IF(A97="","",INDEX('입고대장'!$M$7:$M$1006,MATCH(A97,'입고대장'!$A$7:$A$1006,0)))</x:f>
      </x:c>
      <x:c r="N97" s="9"/>
    </x:row>
    <x:row r="98" ht="23" customHeight="1">
      <x:c r="A98" s="9"/>
      <x:c r="B98" s="10"/>
      <x:c r="C98" s="11"/>
      <x:c r="D98" s="11"/>
      <x:c r="E98" s="11"/>
      <x:c r="F98" s="11"/>
      <x:c r="G98" s="11"/>
      <x:c r="H98" s="11"/>
      <x:c r="I98" s="11"/>
      <x:c r="J98" s="11"/>
      <x:c r="K98" s="12" t="str">
        <x:f>IF(A98="","",E98*F98+G98*H98+I98*J98)</x:f>
      </x:c>
      <x:c r="L98" s="9"/>
      <x:c r="M98" s="9" t="str">
        <x:f>IF(A98="","",INDEX('입고대장'!$M$7:$M$1006,MATCH(A98,'입고대장'!$A$7:$A$1006,0)))</x:f>
      </x:c>
      <x:c r="N98" s="9"/>
    </x:row>
    <x:row r="99" ht="23" customHeight="1">
      <x:c r="A99" s="9"/>
      <x:c r="B99" s="10"/>
      <x:c r="C99" s="11"/>
      <x:c r="D99" s="11"/>
      <x:c r="E99" s="11"/>
      <x:c r="F99" s="11"/>
      <x:c r="G99" s="11"/>
      <x:c r="H99" s="11"/>
      <x:c r="I99" s="11"/>
      <x:c r="J99" s="11"/>
      <x:c r="K99" s="12" t="str">
        <x:f>IF(A99="","",E99*F99+G99*H99+I99*J99)</x:f>
      </x:c>
      <x:c r="L99" s="9"/>
      <x:c r="M99" s="9" t="str">
        <x:f>IF(A99="","",INDEX('입고대장'!$M$7:$M$1006,MATCH(A99,'입고대장'!$A$7:$A$1006,0)))</x:f>
      </x:c>
      <x:c r="N99" s="9"/>
    </x:row>
    <x:row r="100" ht="23" customHeight="1">
      <x:c r="A100" s="9"/>
      <x:c r="B100" s="10"/>
      <x:c r="C100" s="11"/>
      <x:c r="D100" s="11"/>
      <x:c r="E100" s="11"/>
      <x:c r="F100" s="11"/>
      <x:c r="G100" s="11"/>
      <x:c r="H100" s="11"/>
      <x:c r="I100" s="11"/>
      <x:c r="J100" s="11"/>
      <x:c r="K100" s="12" t="str">
        <x:f>IF(A100="","",E100*F100+G100*H100+I100*J100)</x:f>
      </x:c>
      <x:c r="L100" s="9"/>
      <x:c r="M100" s="9" t="str">
        <x:f>IF(A100="","",INDEX('입고대장'!$M$7:$M$1006,MATCH(A100,'입고대장'!$A$7:$A$1006,0)))</x:f>
      </x:c>
      <x:c r="N100" s="9"/>
    </x:row>
    <x:row r="101" ht="23" customHeight="1">
      <x:c r="A101" s="9"/>
      <x:c r="B101" s="10"/>
      <x:c r="C101" s="11"/>
      <x:c r="D101" s="11"/>
      <x:c r="E101" s="11"/>
      <x:c r="F101" s="11"/>
      <x:c r="G101" s="11"/>
      <x:c r="H101" s="11"/>
      <x:c r="I101" s="11"/>
      <x:c r="J101" s="11"/>
      <x:c r="K101" s="12" t="str">
        <x:f>IF(A101="","",E101*F101+G101*H101+I101*J101)</x:f>
      </x:c>
      <x:c r="L101" s="9"/>
      <x:c r="M101" s="9" t="str">
        <x:f>IF(A101="","",INDEX('입고대장'!$M$7:$M$1006,MATCH(A101,'입고대장'!$A$7:$A$1006,0)))</x:f>
      </x:c>
      <x:c r="N101" s="9"/>
    </x:row>
    <x:row r="102" ht="23" customHeight="1">
      <x:c r="A102" s="9"/>
      <x:c r="B102" s="10"/>
      <x:c r="C102" s="11"/>
      <x:c r="D102" s="11"/>
      <x:c r="E102" s="11"/>
      <x:c r="F102" s="11"/>
      <x:c r="G102" s="11"/>
      <x:c r="H102" s="11"/>
      <x:c r="I102" s="11"/>
      <x:c r="J102" s="11"/>
      <x:c r="K102" s="12" t="str">
        <x:f>IF(A102="","",E102*F102+G102*H102+I102*J102)</x:f>
      </x:c>
      <x:c r="L102" s="9"/>
      <x:c r="M102" s="9" t="str">
        <x:f>IF(A102="","",INDEX('입고대장'!$M$7:$M$1006,MATCH(A102,'입고대장'!$A$7:$A$1006,0)))</x:f>
      </x:c>
      <x:c r="N102" s="9"/>
    </x:row>
    <x:row r="103" ht="23" customHeight="1">
      <x:c r="A103" s="9"/>
      <x:c r="B103" s="10"/>
      <x:c r="C103" s="11"/>
      <x:c r="D103" s="11"/>
      <x:c r="E103" s="11"/>
      <x:c r="F103" s="11"/>
      <x:c r="G103" s="11"/>
      <x:c r="H103" s="11"/>
      <x:c r="I103" s="11"/>
      <x:c r="J103" s="11"/>
      <x:c r="K103" s="12" t="str">
        <x:f>IF(A103="","",E103*F103+G103*H103+I103*J103)</x:f>
      </x:c>
      <x:c r="L103" s="9"/>
      <x:c r="M103" s="9" t="str">
        <x:f>IF(A103="","",INDEX('입고대장'!$M$7:$M$1006,MATCH(A103,'입고대장'!$A$7:$A$1006,0)))</x:f>
      </x:c>
      <x:c r="N103" s="9"/>
    </x:row>
    <x:row r="104" ht="23" customHeight="1">
      <x:c r="A104" s="9"/>
      <x:c r="B104" s="10"/>
      <x:c r="C104" s="11"/>
      <x:c r="D104" s="11"/>
      <x:c r="E104" s="11"/>
      <x:c r="F104" s="11"/>
      <x:c r="G104" s="11"/>
      <x:c r="H104" s="11"/>
      <x:c r="I104" s="11"/>
      <x:c r="J104" s="11"/>
      <x:c r="K104" s="12" t="str">
        <x:f>IF(A104="","",E104*F104+G104*H104+I104*J104)</x:f>
      </x:c>
      <x:c r="L104" s="9"/>
      <x:c r="M104" s="9" t="str">
        <x:f>IF(A104="","",INDEX('입고대장'!$M$7:$M$1006,MATCH(A104,'입고대장'!$A$7:$A$1006,0)))</x:f>
      </x:c>
      <x:c r="N104" s="9"/>
    </x:row>
    <x:row r="105" ht="23" customHeight="1">
      <x:c r="A105" s="9"/>
      <x:c r="B105" s="10"/>
      <x:c r="C105" s="11"/>
      <x:c r="D105" s="11"/>
      <x:c r="E105" s="11"/>
      <x:c r="F105" s="11"/>
      <x:c r="G105" s="11"/>
      <x:c r="H105" s="11"/>
      <x:c r="I105" s="11"/>
      <x:c r="J105" s="11"/>
      <x:c r="K105" s="12" t="str">
        <x:f>IF(A105="","",E105*F105+G105*H105+I105*J105)</x:f>
      </x:c>
      <x:c r="L105" s="9"/>
      <x:c r="M105" s="9" t="str">
        <x:f>IF(A105="","",INDEX('입고대장'!$M$7:$M$1006,MATCH(A105,'입고대장'!$A$7:$A$1006,0)))</x:f>
      </x:c>
      <x:c r="N105" s="9"/>
    </x:row>
    <x:row r="106" ht="23" customHeight="1">
      <x:c r="A106" s="9"/>
      <x:c r="B106" s="10"/>
      <x:c r="C106" s="11"/>
      <x:c r="D106" s="11"/>
      <x:c r="E106" s="11"/>
      <x:c r="F106" s="11"/>
      <x:c r="G106" s="11"/>
      <x:c r="H106" s="11"/>
      <x:c r="I106" s="11"/>
      <x:c r="J106" s="11"/>
      <x:c r="K106" s="12" t="str">
        <x:f>IF(A106="","",E106*F106+G106*H106+I106*J106)</x:f>
      </x:c>
      <x:c r="L106" s="9"/>
      <x:c r="M106" s="9" t="str">
        <x:f>IF(A106="","",INDEX('입고대장'!$M$7:$M$1006,MATCH(A106,'입고대장'!$A$7:$A$1006,0)))</x:f>
      </x:c>
      <x:c r="N106" s="9"/>
    </x:row>
    <x:row r="107" ht="23" customHeight="1">
      <x:c r="A107" s="9"/>
      <x:c r="B107" s="10"/>
      <x:c r="C107" s="11"/>
      <x:c r="D107" s="11"/>
      <x:c r="E107" s="11"/>
      <x:c r="F107" s="11"/>
      <x:c r="G107" s="11"/>
      <x:c r="H107" s="11"/>
      <x:c r="I107" s="11"/>
      <x:c r="J107" s="11"/>
      <x:c r="K107" s="12" t="str">
        <x:f>IF(A107="","",E107*F107+G107*H107+I107*J107)</x:f>
      </x:c>
      <x:c r="L107" s="9"/>
      <x:c r="M107" s="9" t="str">
        <x:f>IF(A107="","",INDEX('입고대장'!$M$7:$M$1006,MATCH(A107,'입고대장'!$A$7:$A$1006,0)))</x:f>
      </x:c>
      <x:c r="N107" s="9"/>
    </x:row>
    <x:row r="108" ht="23" customHeight="1">
      <x:c r="A108" s="9"/>
      <x:c r="B108" s="10"/>
      <x:c r="C108" s="11"/>
      <x:c r="D108" s="11"/>
      <x:c r="E108" s="11"/>
      <x:c r="F108" s="11"/>
      <x:c r="G108" s="11"/>
      <x:c r="H108" s="11"/>
      <x:c r="I108" s="11"/>
      <x:c r="J108" s="11"/>
      <x:c r="K108" s="12" t="str">
        <x:f>IF(A108="","",E108*F108+G108*H108+I108*J108)</x:f>
      </x:c>
      <x:c r="L108" s="9"/>
      <x:c r="M108" s="9" t="str">
        <x:f>IF(A108="","",INDEX('입고대장'!$M$7:$M$1006,MATCH(A108,'입고대장'!$A$7:$A$1006,0)))</x:f>
      </x:c>
      <x:c r="N108" s="9"/>
    </x:row>
    <x:row r="109" ht="23" customHeight="1">
      <x:c r="A109" s="9"/>
      <x:c r="B109" s="10"/>
      <x:c r="C109" s="11"/>
      <x:c r="D109" s="11"/>
      <x:c r="E109" s="11"/>
      <x:c r="F109" s="11"/>
      <x:c r="G109" s="11"/>
      <x:c r="H109" s="11"/>
      <x:c r="I109" s="11"/>
      <x:c r="J109" s="11"/>
      <x:c r="K109" s="12" t="str">
        <x:f>IF(A109="","",E109*F109+G109*H109+I109*J109)</x:f>
      </x:c>
      <x:c r="L109" s="9"/>
      <x:c r="M109" s="9" t="str">
        <x:f>IF(A109="","",INDEX('입고대장'!$M$7:$M$1006,MATCH(A109,'입고대장'!$A$7:$A$1006,0)))</x:f>
      </x:c>
      <x:c r="N109" s="9"/>
    </x:row>
    <x:row r="110" ht="23" customHeight="1">
      <x:c r="A110" s="9"/>
      <x:c r="B110" s="10"/>
      <x:c r="C110" s="11"/>
      <x:c r="D110" s="11"/>
      <x:c r="E110" s="11"/>
      <x:c r="F110" s="11"/>
      <x:c r="G110" s="11"/>
      <x:c r="H110" s="11"/>
      <x:c r="I110" s="11"/>
      <x:c r="J110" s="11"/>
      <x:c r="K110" s="12" t="str">
        <x:f>IF(A110="","",E110*F110+G110*H110+I110*J110)</x:f>
      </x:c>
      <x:c r="L110" s="9"/>
      <x:c r="M110" s="9" t="str">
        <x:f>IF(A110="","",INDEX('입고대장'!$M$7:$M$1006,MATCH(A110,'입고대장'!$A$7:$A$1006,0)))</x:f>
      </x:c>
      <x:c r="N110" s="9"/>
    </x:row>
    <x:row r="111" ht="23" customHeight="1">
      <x:c r="A111" s="9"/>
      <x:c r="B111" s="10"/>
      <x:c r="C111" s="11"/>
      <x:c r="D111" s="11"/>
      <x:c r="E111" s="11"/>
      <x:c r="F111" s="11"/>
      <x:c r="G111" s="11"/>
      <x:c r="H111" s="11"/>
      <x:c r="I111" s="11"/>
      <x:c r="J111" s="11"/>
      <x:c r="K111" s="12" t="str">
        <x:f>IF(A111="","",E111*F111+G111*H111+I111*J111)</x:f>
      </x:c>
      <x:c r="L111" s="9"/>
      <x:c r="M111" s="9" t="str">
        <x:f>IF(A111="","",INDEX('입고대장'!$M$7:$M$1006,MATCH(A111,'입고대장'!$A$7:$A$1006,0)))</x:f>
      </x:c>
      <x:c r="N111" s="9"/>
    </x:row>
    <x:row r="112" ht="23" customHeight="1">
      <x:c r="A112" s="9"/>
      <x:c r="B112" s="10"/>
      <x:c r="C112" s="11"/>
      <x:c r="D112" s="11"/>
      <x:c r="E112" s="11"/>
      <x:c r="F112" s="11"/>
      <x:c r="G112" s="11"/>
      <x:c r="H112" s="11"/>
      <x:c r="I112" s="11"/>
      <x:c r="J112" s="11"/>
      <x:c r="K112" s="12" t="str">
        <x:f>IF(A112="","",E112*F112+G112*H112+I112*J112)</x:f>
      </x:c>
      <x:c r="L112" s="9"/>
      <x:c r="M112" s="9" t="str">
        <x:f>IF(A112="","",INDEX('입고대장'!$M$7:$M$1006,MATCH(A112,'입고대장'!$A$7:$A$1006,0)))</x:f>
      </x:c>
      <x:c r="N112" s="9"/>
    </x:row>
    <x:row r="113" ht="23" customHeight="1">
      <x:c r="A113" s="9"/>
      <x:c r="B113" s="10"/>
      <x:c r="C113" s="11"/>
      <x:c r="D113" s="11"/>
      <x:c r="E113" s="11"/>
      <x:c r="F113" s="11"/>
      <x:c r="G113" s="11"/>
      <x:c r="H113" s="11"/>
      <x:c r="I113" s="11"/>
      <x:c r="J113" s="11"/>
      <x:c r="K113" s="12" t="str">
        <x:f>IF(A113="","",E113*F113+G113*H113+I113*J113)</x:f>
      </x:c>
      <x:c r="L113" s="9"/>
      <x:c r="M113" s="9" t="str">
        <x:f>IF(A113="","",INDEX('입고대장'!$M$7:$M$1006,MATCH(A113,'입고대장'!$A$7:$A$1006,0)))</x:f>
      </x:c>
      <x:c r="N113" s="9"/>
    </x:row>
    <x:row r="114" ht="23" customHeight="1">
      <x:c r="A114" s="9"/>
      <x:c r="B114" s="10"/>
      <x:c r="C114" s="11"/>
      <x:c r="D114" s="11"/>
      <x:c r="E114" s="11"/>
      <x:c r="F114" s="11"/>
      <x:c r="G114" s="11"/>
      <x:c r="H114" s="11"/>
      <x:c r="I114" s="11"/>
      <x:c r="J114" s="11"/>
      <x:c r="K114" s="12" t="str">
        <x:f>IF(A114="","",E114*F114+G114*H114+I114*J114)</x:f>
      </x:c>
      <x:c r="L114" s="9"/>
      <x:c r="M114" s="9" t="str">
        <x:f>IF(A114="","",INDEX('입고대장'!$M$7:$M$1006,MATCH(A114,'입고대장'!$A$7:$A$1006,0)))</x:f>
      </x:c>
      <x:c r="N114" s="9"/>
    </x:row>
    <x:row r="115" ht="23" customHeight="1">
      <x:c r="A115" s="9"/>
      <x:c r="B115" s="10"/>
      <x:c r="C115" s="11"/>
      <x:c r="D115" s="11"/>
      <x:c r="E115" s="11"/>
      <x:c r="F115" s="11"/>
      <x:c r="G115" s="11"/>
      <x:c r="H115" s="11"/>
      <x:c r="I115" s="11"/>
      <x:c r="J115" s="11"/>
      <x:c r="K115" s="12" t="str">
        <x:f>IF(A115="","",E115*F115+G115*H115+I115*J115)</x:f>
      </x:c>
      <x:c r="L115" s="9"/>
      <x:c r="M115" s="9" t="str">
        <x:f>IF(A115="","",INDEX('입고대장'!$M$7:$M$1006,MATCH(A115,'입고대장'!$A$7:$A$1006,0)))</x:f>
      </x:c>
      <x:c r="N115" s="9"/>
    </x:row>
    <x:row r="116" ht="23" customHeight="1">
      <x:c r="A116" s="9"/>
      <x:c r="B116" s="10"/>
      <x:c r="C116" s="11"/>
      <x:c r="D116" s="11"/>
      <x:c r="E116" s="11"/>
      <x:c r="F116" s="11"/>
      <x:c r="G116" s="11"/>
      <x:c r="H116" s="11"/>
      <x:c r="I116" s="11"/>
      <x:c r="J116" s="11"/>
      <x:c r="K116" s="12" t="str">
        <x:f>IF(A116="","",E116*F116+G116*H116+I116*J116)</x:f>
      </x:c>
      <x:c r="L116" s="9"/>
      <x:c r="M116" s="9" t="str">
        <x:f>IF(A116="","",INDEX('입고대장'!$M$7:$M$1006,MATCH(A116,'입고대장'!$A$7:$A$1006,0)))</x:f>
      </x:c>
      <x:c r="N116" s="9"/>
    </x:row>
    <x:row r="117" ht="23" customHeight="1">
      <x:c r="A117" s="9"/>
      <x:c r="B117" s="10"/>
      <x:c r="C117" s="11"/>
      <x:c r="D117" s="11"/>
      <x:c r="E117" s="11"/>
      <x:c r="F117" s="11"/>
      <x:c r="G117" s="11"/>
      <x:c r="H117" s="11"/>
      <x:c r="I117" s="11"/>
      <x:c r="J117" s="11"/>
      <x:c r="K117" s="12" t="str">
        <x:f>IF(A117="","",E117*F117+G117*H117+I117*J117)</x:f>
      </x:c>
      <x:c r="L117" s="9"/>
      <x:c r="M117" s="9" t="str">
        <x:f>IF(A117="","",INDEX('입고대장'!$M$7:$M$1006,MATCH(A117,'입고대장'!$A$7:$A$1006,0)))</x:f>
      </x:c>
      <x:c r="N117" s="9"/>
    </x:row>
    <x:row r="118" ht="23" customHeight="1">
      <x:c r="A118" s="9"/>
      <x:c r="B118" s="10"/>
      <x:c r="C118" s="11"/>
      <x:c r="D118" s="11"/>
      <x:c r="E118" s="11"/>
      <x:c r="F118" s="11"/>
      <x:c r="G118" s="11"/>
      <x:c r="H118" s="11"/>
      <x:c r="I118" s="11"/>
      <x:c r="J118" s="11"/>
      <x:c r="K118" s="12" t="str">
        <x:f>IF(A118="","",E118*F118+G118*H118+I118*J118)</x:f>
      </x:c>
      <x:c r="L118" s="9"/>
      <x:c r="M118" s="9" t="str">
        <x:f>IF(A118="","",INDEX('입고대장'!$M$7:$M$1006,MATCH(A118,'입고대장'!$A$7:$A$1006,0)))</x:f>
      </x:c>
      <x:c r="N118" s="9"/>
    </x:row>
    <x:row r="119" ht="23" customHeight="1">
      <x:c r="A119" s="9"/>
      <x:c r="B119" s="10"/>
      <x:c r="C119" s="11"/>
      <x:c r="D119" s="11"/>
      <x:c r="E119" s="11"/>
      <x:c r="F119" s="11"/>
      <x:c r="G119" s="11"/>
      <x:c r="H119" s="11"/>
      <x:c r="I119" s="11"/>
      <x:c r="J119" s="11"/>
      <x:c r="K119" s="12" t="str">
        <x:f>IF(A119="","",E119*F119+G119*H119+I119*J119)</x:f>
      </x:c>
      <x:c r="L119" s="9"/>
      <x:c r="M119" s="9" t="str">
        <x:f>IF(A119="","",INDEX('입고대장'!$M$7:$M$1006,MATCH(A119,'입고대장'!$A$7:$A$1006,0)))</x:f>
      </x:c>
      <x:c r="N119" s="9"/>
    </x:row>
    <x:row r="120" ht="23" customHeight="1">
      <x:c r="A120" s="9"/>
      <x:c r="B120" s="10"/>
      <x:c r="C120" s="11"/>
      <x:c r="D120" s="11"/>
      <x:c r="E120" s="11"/>
      <x:c r="F120" s="11"/>
      <x:c r="G120" s="11"/>
      <x:c r="H120" s="11"/>
      <x:c r="I120" s="11"/>
      <x:c r="J120" s="11"/>
      <x:c r="K120" s="12" t="str">
        <x:f>IF(A120="","",E120*F120+G120*H120+I120*J120)</x:f>
      </x:c>
      <x:c r="L120" s="9"/>
      <x:c r="M120" s="9" t="str">
        <x:f>IF(A120="","",INDEX('입고대장'!$M$7:$M$1006,MATCH(A120,'입고대장'!$A$7:$A$1006,0)))</x:f>
      </x:c>
      <x:c r="N120" s="9"/>
    </x:row>
    <x:row r="121" ht="23" customHeight="1">
      <x:c r="A121" s="9"/>
      <x:c r="B121" s="10"/>
      <x:c r="C121" s="11"/>
      <x:c r="D121" s="11"/>
      <x:c r="E121" s="11"/>
      <x:c r="F121" s="11"/>
      <x:c r="G121" s="11"/>
      <x:c r="H121" s="11"/>
      <x:c r="I121" s="11"/>
      <x:c r="J121" s="11"/>
      <x:c r="K121" s="12" t="str">
        <x:f>IF(A121="","",E121*F121+G121*H121+I121*J121)</x:f>
      </x:c>
      <x:c r="L121" s="9"/>
      <x:c r="M121" s="9" t="str">
        <x:f>IF(A121="","",INDEX('입고대장'!$M$7:$M$1006,MATCH(A121,'입고대장'!$A$7:$A$1006,0)))</x:f>
      </x:c>
      <x:c r="N121" s="9"/>
    </x:row>
    <x:row r="122" ht="23" customHeight="1">
      <x:c r="A122" s="9"/>
      <x:c r="B122" s="10"/>
      <x:c r="C122" s="11"/>
      <x:c r="D122" s="11"/>
      <x:c r="E122" s="11"/>
      <x:c r="F122" s="11"/>
      <x:c r="G122" s="11"/>
      <x:c r="H122" s="11"/>
      <x:c r="I122" s="11"/>
      <x:c r="J122" s="11"/>
      <x:c r="K122" s="12" t="str">
        <x:f>IF(A122="","",E122*F122+G122*H122+I122*J122)</x:f>
      </x:c>
      <x:c r="L122" s="9"/>
      <x:c r="M122" s="9" t="str">
        <x:f>IF(A122="","",INDEX('입고대장'!$M$7:$M$1006,MATCH(A122,'입고대장'!$A$7:$A$1006,0)))</x:f>
      </x:c>
      <x:c r="N122" s="9"/>
    </x:row>
    <x:row r="123" ht="23" customHeight="1">
      <x:c r="A123" s="9"/>
      <x:c r="B123" s="10"/>
      <x:c r="C123" s="11"/>
      <x:c r="D123" s="11"/>
      <x:c r="E123" s="11"/>
      <x:c r="F123" s="11"/>
      <x:c r="G123" s="11"/>
      <x:c r="H123" s="11"/>
      <x:c r="I123" s="11"/>
      <x:c r="J123" s="11"/>
      <x:c r="K123" s="12" t="str">
        <x:f>IF(A123="","",E123*F123+G123*H123+I123*J123)</x:f>
      </x:c>
      <x:c r="L123" s="9"/>
      <x:c r="M123" s="9" t="str">
        <x:f>IF(A123="","",INDEX('입고대장'!$M$7:$M$1006,MATCH(A123,'입고대장'!$A$7:$A$1006,0)))</x:f>
      </x:c>
      <x:c r="N123" s="9"/>
    </x:row>
    <x:row r="124" ht="23" customHeight="1">
      <x:c r="A124" s="9"/>
      <x:c r="B124" s="10"/>
      <x:c r="C124" s="11"/>
      <x:c r="D124" s="11"/>
      <x:c r="E124" s="11"/>
      <x:c r="F124" s="11"/>
      <x:c r="G124" s="11"/>
      <x:c r="H124" s="11"/>
      <x:c r="I124" s="11"/>
      <x:c r="J124" s="11"/>
      <x:c r="K124" s="12" t="str">
        <x:f>IF(A124="","",E124*F124+G124*H124+I124*J124)</x:f>
      </x:c>
      <x:c r="L124" s="9"/>
      <x:c r="M124" s="9" t="str">
        <x:f>IF(A124="","",INDEX('입고대장'!$M$7:$M$1006,MATCH(A124,'입고대장'!$A$7:$A$1006,0)))</x:f>
      </x:c>
      <x:c r="N124" s="9"/>
    </x:row>
    <x:row r="125" ht="23" customHeight="1">
      <x:c r="A125" s="9"/>
      <x:c r="B125" s="10"/>
      <x:c r="C125" s="11"/>
      <x:c r="D125" s="11"/>
      <x:c r="E125" s="11"/>
      <x:c r="F125" s="11"/>
      <x:c r="G125" s="11"/>
      <x:c r="H125" s="11"/>
      <x:c r="I125" s="11"/>
      <x:c r="J125" s="11"/>
      <x:c r="K125" s="12" t="str">
        <x:f>IF(A125="","",E125*F125+G125*H125+I125*J125)</x:f>
      </x:c>
      <x:c r="L125" s="9"/>
      <x:c r="M125" s="9" t="str">
        <x:f>IF(A125="","",INDEX('입고대장'!$M$7:$M$1006,MATCH(A125,'입고대장'!$A$7:$A$1006,0)))</x:f>
      </x:c>
      <x:c r="N125" s="9"/>
    </x:row>
    <x:row r="126" ht="23" customHeight="1">
      <x:c r="A126" s="9"/>
      <x:c r="B126" s="10"/>
      <x:c r="C126" s="11"/>
      <x:c r="D126" s="11"/>
      <x:c r="E126" s="11"/>
      <x:c r="F126" s="11"/>
      <x:c r="G126" s="11"/>
      <x:c r="H126" s="11"/>
      <x:c r="I126" s="11"/>
      <x:c r="J126" s="11"/>
      <x:c r="K126" s="12" t="str">
        <x:f>IF(A126="","",E126*F126+G126*H126+I126*J126)</x:f>
      </x:c>
      <x:c r="L126" s="9"/>
      <x:c r="M126" s="9" t="str">
        <x:f>IF(A126="","",INDEX('입고대장'!$M$7:$M$1006,MATCH(A126,'입고대장'!$A$7:$A$1006,0)))</x:f>
      </x:c>
      <x:c r="N126" s="9"/>
    </x:row>
    <x:row r="127" ht="23" customHeight="1">
      <x:c r="A127" s="9"/>
      <x:c r="B127" s="10"/>
      <x:c r="C127" s="11"/>
      <x:c r="D127" s="11"/>
      <x:c r="E127" s="11"/>
      <x:c r="F127" s="11"/>
      <x:c r="G127" s="11"/>
      <x:c r="H127" s="11"/>
      <x:c r="I127" s="11"/>
      <x:c r="J127" s="11"/>
      <x:c r="K127" s="12" t="str">
        <x:f>IF(A127="","",E127*F127+G127*H127+I127*J127)</x:f>
      </x:c>
      <x:c r="L127" s="9"/>
      <x:c r="M127" s="9" t="str">
        <x:f>IF(A127="","",INDEX('입고대장'!$M$7:$M$1006,MATCH(A127,'입고대장'!$A$7:$A$1006,0)))</x:f>
      </x:c>
      <x:c r="N127" s="9"/>
    </x:row>
    <x:row r="128" ht="23" customHeight="1">
      <x:c r="A128" s="9"/>
      <x:c r="B128" s="10"/>
      <x:c r="C128" s="11"/>
      <x:c r="D128" s="11"/>
      <x:c r="E128" s="11"/>
      <x:c r="F128" s="11"/>
      <x:c r="G128" s="11"/>
      <x:c r="H128" s="11"/>
      <x:c r="I128" s="11"/>
      <x:c r="J128" s="11"/>
      <x:c r="K128" s="12" t="str">
        <x:f>IF(A128="","",E128*F128+G128*H128+I128*J128)</x:f>
      </x:c>
      <x:c r="L128" s="9"/>
      <x:c r="M128" s="9" t="str">
        <x:f>IF(A128="","",INDEX('입고대장'!$M$7:$M$1006,MATCH(A128,'입고대장'!$A$7:$A$1006,0)))</x:f>
      </x:c>
      <x:c r="N128" s="9"/>
    </x:row>
    <x:row r="129" ht="23" customHeight="1">
      <x:c r="A129" s="9"/>
      <x:c r="B129" s="10"/>
      <x:c r="C129" s="11"/>
      <x:c r="D129" s="11"/>
      <x:c r="E129" s="11"/>
      <x:c r="F129" s="11"/>
      <x:c r="G129" s="11"/>
      <x:c r="H129" s="11"/>
      <x:c r="I129" s="11"/>
      <x:c r="J129" s="11"/>
      <x:c r="K129" s="12" t="str">
        <x:f>IF(A129="","",E129*F129+G129*H129+I129*J129)</x:f>
      </x:c>
      <x:c r="L129" s="9"/>
      <x:c r="M129" s="9" t="str">
        <x:f>IF(A129="","",INDEX('입고대장'!$M$7:$M$1006,MATCH(A129,'입고대장'!$A$7:$A$1006,0)))</x:f>
      </x:c>
      <x:c r="N129" s="9"/>
    </x:row>
    <x:row r="130" ht="23" customHeight="1">
      <x:c r="A130" s="9"/>
      <x:c r="B130" s="10"/>
      <x:c r="C130" s="11"/>
      <x:c r="D130" s="11"/>
      <x:c r="E130" s="11"/>
      <x:c r="F130" s="11"/>
      <x:c r="G130" s="11"/>
      <x:c r="H130" s="11"/>
      <x:c r="I130" s="11"/>
      <x:c r="J130" s="11"/>
      <x:c r="K130" s="12" t="str">
        <x:f>IF(A130="","",E130*F130+G130*H130+I130*J130)</x:f>
      </x:c>
      <x:c r="L130" s="9"/>
      <x:c r="M130" s="9" t="str">
        <x:f>IF(A130="","",INDEX('입고대장'!$M$7:$M$1006,MATCH(A130,'입고대장'!$A$7:$A$1006,0)))</x:f>
      </x:c>
      <x:c r="N130" s="9"/>
    </x:row>
    <x:row r="131" ht="23" customHeight="1">
      <x:c r="A131" s="9"/>
      <x:c r="B131" s="10"/>
      <x:c r="C131" s="11"/>
      <x:c r="D131" s="11"/>
      <x:c r="E131" s="11"/>
      <x:c r="F131" s="11"/>
      <x:c r="G131" s="11"/>
      <x:c r="H131" s="11"/>
      <x:c r="I131" s="11"/>
      <x:c r="J131" s="11"/>
      <x:c r="K131" s="12" t="str">
        <x:f>IF(A131="","",E131*F131+G131*H131+I131*J131)</x:f>
      </x:c>
      <x:c r="L131" s="9"/>
      <x:c r="M131" s="9" t="str">
        <x:f>IF(A131="","",INDEX('입고대장'!$M$7:$M$1006,MATCH(A131,'입고대장'!$A$7:$A$1006,0)))</x:f>
      </x:c>
      <x:c r="N131" s="9"/>
    </x:row>
    <x:row r="132" ht="23" customHeight="1">
      <x:c r="A132" s="9"/>
      <x:c r="B132" s="10"/>
      <x:c r="C132" s="11"/>
      <x:c r="D132" s="11"/>
      <x:c r="E132" s="11"/>
      <x:c r="F132" s="11"/>
      <x:c r="G132" s="11"/>
      <x:c r="H132" s="11"/>
      <x:c r="I132" s="11"/>
      <x:c r="J132" s="11"/>
      <x:c r="K132" s="12" t="str">
        <x:f>IF(A132="","",E132*F132+G132*H132+I132*J132)</x:f>
      </x:c>
      <x:c r="L132" s="9"/>
      <x:c r="M132" s="9" t="str">
        <x:f>IF(A132="","",INDEX('입고대장'!$M$7:$M$1006,MATCH(A132,'입고대장'!$A$7:$A$1006,0)))</x:f>
      </x:c>
      <x:c r="N132" s="9"/>
    </x:row>
    <x:row r="133" ht="23" customHeight="1">
      <x:c r="A133" s="9"/>
      <x:c r="B133" s="10"/>
      <x:c r="C133" s="11"/>
      <x:c r="D133" s="11"/>
      <x:c r="E133" s="11"/>
      <x:c r="F133" s="11"/>
      <x:c r="G133" s="11"/>
      <x:c r="H133" s="11"/>
      <x:c r="I133" s="11"/>
      <x:c r="J133" s="11"/>
      <x:c r="K133" s="12" t="str">
        <x:f>IF(A133="","",E133*F133+G133*H133+I133*J133)</x:f>
      </x:c>
      <x:c r="L133" s="9"/>
      <x:c r="M133" s="9" t="str">
        <x:f>IF(A133="","",INDEX('입고대장'!$M$7:$M$1006,MATCH(A133,'입고대장'!$A$7:$A$1006,0)))</x:f>
      </x:c>
      <x:c r="N133" s="9"/>
    </x:row>
    <x:row r="134" ht="23" customHeight="1">
      <x:c r="A134" s="9"/>
      <x:c r="B134" s="10"/>
      <x:c r="C134" s="11"/>
      <x:c r="D134" s="11"/>
      <x:c r="E134" s="11"/>
      <x:c r="F134" s="11"/>
      <x:c r="G134" s="11"/>
      <x:c r="H134" s="11"/>
      <x:c r="I134" s="11"/>
      <x:c r="J134" s="11"/>
      <x:c r="K134" s="12" t="str">
        <x:f>IF(A134="","",E134*F134+G134*H134+I134*J134)</x:f>
      </x:c>
      <x:c r="L134" s="9"/>
      <x:c r="M134" s="9" t="str">
        <x:f>IF(A134="","",INDEX('입고대장'!$M$7:$M$1006,MATCH(A134,'입고대장'!$A$7:$A$1006,0)))</x:f>
      </x:c>
      <x:c r="N134" s="9"/>
    </x:row>
    <x:row r="135" ht="23" customHeight="1">
      <x:c r="A135" s="9"/>
      <x:c r="B135" s="10"/>
      <x:c r="C135" s="11"/>
      <x:c r="D135" s="11"/>
      <x:c r="E135" s="11"/>
      <x:c r="F135" s="11"/>
      <x:c r="G135" s="11"/>
      <x:c r="H135" s="11"/>
      <x:c r="I135" s="11"/>
      <x:c r="J135" s="11"/>
      <x:c r="K135" s="12" t="str">
        <x:f>IF(A135="","",E135*F135+G135*H135+I135*J135)</x:f>
      </x:c>
      <x:c r="L135" s="9"/>
      <x:c r="M135" s="9" t="str">
        <x:f>IF(A135="","",INDEX('입고대장'!$M$7:$M$1006,MATCH(A135,'입고대장'!$A$7:$A$1006,0)))</x:f>
      </x:c>
      <x:c r="N135" s="9"/>
    </x:row>
    <x:row r="136" ht="23" customHeight="1">
      <x:c r="A136" s="9"/>
      <x:c r="B136" s="10"/>
      <x:c r="C136" s="11"/>
      <x:c r="D136" s="11"/>
      <x:c r="E136" s="11"/>
      <x:c r="F136" s="11"/>
      <x:c r="G136" s="11"/>
      <x:c r="H136" s="11"/>
      <x:c r="I136" s="11"/>
      <x:c r="J136" s="11"/>
      <x:c r="K136" s="12" t="str">
        <x:f>IF(A136="","",E136*F136+G136*H136+I136*J136)</x:f>
      </x:c>
      <x:c r="L136" s="9"/>
      <x:c r="M136" s="9" t="str">
        <x:f>IF(A136="","",INDEX('입고대장'!$M$7:$M$1006,MATCH(A136,'입고대장'!$A$7:$A$1006,0)))</x:f>
      </x:c>
      <x:c r="N136" s="9"/>
    </x:row>
    <x:row r="137" ht="23" customHeight="1">
      <x:c r="A137" s="9"/>
      <x:c r="B137" s="10"/>
      <x:c r="C137" s="11"/>
      <x:c r="D137" s="11"/>
      <x:c r="E137" s="11"/>
      <x:c r="F137" s="11"/>
      <x:c r="G137" s="11"/>
      <x:c r="H137" s="11"/>
      <x:c r="I137" s="11"/>
      <x:c r="J137" s="11"/>
      <x:c r="K137" s="12" t="str">
        <x:f>IF(A137="","",E137*F137+G137*H137+I137*J137)</x:f>
      </x:c>
      <x:c r="L137" s="9"/>
      <x:c r="M137" s="9" t="str">
        <x:f>IF(A137="","",INDEX('입고대장'!$M$7:$M$1006,MATCH(A137,'입고대장'!$A$7:$A$1006,0)))</x:f>
      </x:c>
      <x:c r="N137" s="9"/>
    </x:row>
    <x:row r="138" ht="23" customHeight="1">
      <x:c r="A138" s="9"/>
      <x:c r="B138" s="10"/>
      <x:c r="C138" s="11"/>
      <x:c r="D138" s="11"/>
      <x:c r="E138" s="11"/>
      <x:c r="F138" s="11"/>
      <x:c r="G138" s="11"/>
      <x:c r="H138" s="11"/>
      <x:c r="I138" s="11"/>
      <x:c r="J138" s="11"/>
      <x:c r="K138" s="12" t="str">
        <x:f>IF(A138="","",E138*F138+G138*H138+I138*J138)</x:f>
      </x:c>
      <x:c r="L138" s="9"/>
      <x:c r="M138" s="9" t="str">
        <x:f>IF(A138="","",INDEX('입고대장'!$M$7:$M$1006,MATCH(A138,'입고대장'!$A$7:$A$1006,0)))</x:f>
      </x:c>
      <x:c r="N138" s="9"/>
    </x:row>
    <x:row r="139" ht="23" customHeight="1">
      <x:c r="A139" s="9"/>
      <x:c r="B139" s="10"/>
      <x:c r="C139" s="11"/>
      <x:c r="D139" s="11"/>
      <x:c r="E139" s="11"/>
      <x:c r="F139" s="11"/>
      <x:c r="G139" s="11"/>
      <x:c r="H139" s="11"/>
      <x:c r="I139" s="11"/>
      <x:c r="J139" s="11"/>
      <x:c r="K139" s="12" t="str">
        <x:f>IF(A139="","",E139*F139+G139*H139+I139*J139)</x:f>
      </x:c>
      <x:c r="L139" s="9"/>
      <x:c r="M139" s="9" t="str">
        <x:f>IF(A139="","",INDEX('입고대장'!$M$7:$M$1006,MATCH(A139,'입고대장'!$A$7:$A$1006,0)))</x:f>
      </x:c>
      <x:c r="N139" s="9"/>
    </x:row>
    <x:row r="140" ht="23" customHeight="1">
      <x:c r="A140" s="9"/>
      <x:c r="B140" s="10"/>
      <x:c r="C140" s="11"/>
      <x:c r="D140" s="11"/>
      <x:c r="E140" s="11"/>
      <x:c r="F140" s="11"/>
      <x:c r="G140" s="11"/>
      <x:c r="H140" s="11"/>
      <x:c r="I140" s="11"/>
      <x:c r="J140" s="11"/>
      <x:c r="K140" s="12" t="str">
        <x:f>IF(A140="","",E140*F140+G140*H140+I140*J140)</x:f>
      </x:c>
      <x:c r="L140" s="9"/>
      <x:c r="M140" s="9" t="str">
        <x:f>IF(A140="","",INDEX('입고대장'!$M$7:$M$1006,MATCH(A140,'입고대장'!$A$7:$A$1006,0)))</x:f>
      </x:c>
      <x:c r="N140" s="9"/>
    </x:row>
    <x:row r="141" ht="23" customHeight="1">
      <x:c r="A141" s="9"/>
      <x:c r="B141" s="10"/>
      <x:c r="C141" s="11"/>
      <x:c r="D141" s="11"/>
      <x:c r="E141" s="11"/>
      <x:c r="F141" s="11"/>
      <x:c r="G141" s="11"/>
      <x:c r="H141" s="11"/>
      <x:c r="I141" s="11"/>
      <x:c r="J141" s="11"/>
      <x:c r="K141" s="12" t="str">
        <x:f>IF(A141="","",E141*F141+G141*H141+I141*J141)</x:f>
      </x:c>
      <x:c r="L141" s="9"/>
      <x:c r="M141" s="9" t="str">
        <x:f>IF(A141="","",INDEX('입고대장'!$M$7:$M$1006,MATCH(A141,'입고대장'!$A$7:$A$1006,0)))</x:f>
      </x:c>
      <x:c r="N141" s="9"/>
    </x:row>
    <x:row r="142" ht="23" customHeight="1">
      <x:c r="A142" s="9"/>
      <x:c r="B142" s="10"/>
      <x:c r="C142" s="11"/>
      <x:c r="D142" s="11"/>
      <x:c r="E142" s="11"/>
      <x:c r="F142" s="11"/>
      <x:c r="G142" s="11"/>
      <x:c r="H142" s="11"/>
      <x:c r="I142" s="11"/>
      <x:c r="J142" s="11"/>
      <x:c r="K142" s="12" t="str">
        <x:f>IF(A142="","",E142*F142+G142*H142+I142*J142)</x:f>
      </x:c>
      <x:c r="L142" s="9"/>
      <x:c r="M142" s="9" t="str">
        <x:f>IF(A142="","",INDEX('입고대장'!$M$7:$M$1006,MATCH(A142,'입고대장'!$A$7:$A$1006,0)))</x:f>
      </x:c>
      <x:c r="N142" s="9"/>
    </x:row>
    <x:row r="143" ht="23" customHeight="1">
      <x:c r="A143" s="9"/>
      <x:c r="B143" s="10"/>
      <x:c r="C143" s="11"/>
      <x:c r="D143" s="11"/>
      <x:c r="E143" s="11"/>
      <x:c r="F143" s="11"/>
      <x:c r="G143" s="11"/>
      <x:c r="H143" s="11"/>
      <x:c r="I143" s="11"/>
      <x:c r="J143" s="11"/>
      <x:c r="K143" s="12" t="str">
        <x:f>IF(A143="","",E143*F143+G143*H143+I143*J143)</x:f>
      </x:c>
      <x:c r="L143" s="9"/>
      <x:c r="M143" s="9" t="str">
        <x:f>IF(A143="","",INDEX('입고대장'!$M$7:$M$1006,MATCH(A143,'입고대장'!$A$7:$A$1006,0)))</x:f>
      </x:c>
      <x:c r="N143" s="9"/>
    </x:row>
    <x:row r="144" ht="23" customHeight="1">
      <x:c r="A144" s="9"/>
      <x:c r="B144" s="10"/>
      <x:c r="C144" s="11"/>
      <x:c r="D144" s="11"/>
      <x:c r="E144" s="11"/>
      <x:c r="F144" s="11"/>
      <x:c r="G144" s="11"/>
      <x:c r="H144" s="11"/>
      <x:c r="I144" s="11"/>
      <x:c r="J144" s="11"/>
      <x:c r="K144" s="12" t="str">
        <x:f>IF(A144="","",E144*F144+G144*H144+I144*J144)</x:f>
      </x:c>
      <x:c r="L144" s="9"/>
      <x:c r="M144" s="9" t="str">
        <x:f>IF(A144="","",INDEX('입고대장'!$M$7:$M$1006,MATCH(A144,'입고대장'!$A$7:$A$1006,0)))</x:f>
      </x:c>
      <x:c r="N144" s="9"/>
    </x:row>
    <x:row r="145" ht="23" customHeight="1">
      <x:c r="A145" s="9"/>
      <x:c r="B145" s="10"/>
      <x:c r="C145" s="11"/>
      <x:c r="D145" s="11"/>
      <x:c r="E145" s="11"/>
      <x:c r="F145" s="11"/>
      <x:c r="G145" s="11"/>
      <x:c r="H145" s="11"/>
      <x:c r="I145" s="11"/>
      <x:c r="J145" s="11"/>
      <x:c r="K145" s="12" t="str">
        <x:f>IF(A145="","",E145*F145+G145*H145+I145*J145)</x:f>
      </x:c>
      <x:c r="L145" s="9"/>
      <x:c r="M145" s="9" t="str">
        <x:f>IF(A145="","",INDEX('입고대장'!$M$7:$M$1006,MATCH(A145,'입고대장'!$A$7:$A$1006,0)))</x:f>
      </x:c>
      <x:c r="N145" s="9"/>
    </x:row>
    <x:row r="146" ht="23" customHeight="1">
      <x:c r="A146" s="9"/>
      <x:c r="B146" s="10"/>
      <x:c r="C146" s="11"/>
      <x:c r="D146" s="11"/>
      <x:c r="E146" s="11"/>
      <x:c r="F146" s="11"/>
      <x:c r="G146" s="11"/>
      <x:c r="H146" s="11"/>
      <x:c r="I146" s="11"/>
      <x:c r="J146" s="11"/>
      <x:c r="K146" s="12" t="str">
        <x:f>IF(A146="","",E146*F146+G146*H146+I146*J146)</x:f>
      </x:c>
      <x:c r="L146" s="9"/>
      <x:c r="M146" s="9" t="str">
        <x:f>IF(A146="","",INDEX('입고대장'!$M$7:$M$1006,MATCH(A146,'입고대장'!$A$7:$A$1006,0)))</x:f>
      </x:c>
      <x:c r="N146" s="9"/>
    </x:row>
    <x:row r="147" ht="23" customHeight="1">
      <x:c r="A147" s="9"/>
      <x:c r="B147" s="10"/>
      <x:c r="C147" s="11"/>
      <x:c r="D147" s="11"/>
      <x:c r="E147" s="11"/>
      <x:c r="F147" s="11"/>
      <x:c r="G147" s="11"/>
      <x:c r="H147" s="11"/>
      <x:c r="I147" s="11"/>
      <x:c r="J147" s="11"/>
      <x:c r="K147" s="12" t="str">
        <x:f>IF(A147="","",E147*F147+G147*H147+I147*J147)</x:f>
      </x:c>
      <x:c r="L147" s="9"/>
      <x:c r="M147" s="9" t="str">
        <x:f>IF(A147="","",INDEX('입고대장'!$M$7:$M$1006,MATCH(A147,'입고대장'!$A$7:$A$1006,0)))</x:f>
      </x:c>
      <x:c r="N147" s="9"/>
    </x:row>
    <x:row r="148" ht="23" customHeight="1">
      <x:c r="A148" s="9"/>
      <x:c r="B148" s="10"/>
      <x:c r="C148" s="11"/>
      <x:c r="D148" s="11"/>
      <x:c r="E148" s="11"/>
      <x:c r="F148" s="11"/>
      <x:c r="G148" s="11"/>
      <x:c r="H148" s="11"/>
      <x:c r="I148" s="11"/>
      <x:c r="J148" s="11"/>
      <x:c r="K148" s="12" t="str">
        <x:f>IF(A148="","",E148*F148+G148*H148+I148*J148)</x:f>
      </x:c>
      <x:c r="L148" s="9"/>
      <x:c r="M148" s="9" t="str">
        <x:f>IF(A148="","",INDEX('입고대장'!$M$7:$M$1006,MATCH(A148,'입고대장'!$A$7:$A$1006,0)))</x:f>
      </x:c>
      <x:c r="N148" s="9"/>
    </x:row>
    <x:row r="149" ht="23" customHeight="1">
      <x:c r="A149" s="9"/>
      <x:c r="B149" s="10"/>
      <x:c r="C149" s="11"/>
      <x:c r="D149" s="11"/>
      <x:c r="E149" s="11"/>
      <x:c r="F149" s="11"/>
      <x:c r="G149" s="11"/>
      <x:c r="H149" s="11"/>
      <x:c r="I149" s="11"/>
      <x:c r="J149" s="11"/>
      <x:c r="K149" s="12" t="str">
        <x:f>IF(A149="","",E149*F149+G149*H149+I149*J149)</x:f>
      </x:c>
      <x:c r="L149" s="9"/>
      <x:c r="M149" s="9" t="str">
        <x:f>IF(A149="","",INDEX('입고대장'!$M$7:$M$1006,MATCH(A149,'입고대장'!$A$7:$A$1006,0)))</x:f>
      </x:c>
      <x:c r="N149" s="9"/>
    </x:row>
    <x:row r="150" ht="23" customHeight="1">
      <x:c r="A150" s="9"/>
      <x:c r="B150" s="10"/>
      <x:c r="C150" s="11"/>
      <x:c r="D150" s="11"/>
      <x:c r="E150" s="11"/>
      <x:c r="F150" s="11"/>
      <x:c r="G150" s="11"/>
      <x:c r="H150" s="11"/>
      <x:c r="I150" s="11"/>
      <x:c r="J150" s="11"/>
      <x:c r="K150" s="12" t="str">
        <x:f>IF(A150="","",E150*F150+G150*H150+I150*J150)</x:f>
      </x:c>
      <x:c r="L150" s="9"/>
      <x:c r="M150" s="9" t="str">
        <x:f>IF(A150="","",INDEX('입고대장'!$M$7:$M$1006,MATCH(A150,'입고대장'!$A$7:$A$1006,0)))</x:f>
      </x:c>
      <x:c r="N150" s="9"/>
    </x:row>
    <x:row r="151" ht="23" customHeight="1">
      <x:c r="A151" s="9"/>
      <x:c r="B151" s="10"/>
      <x:c r="C151" s="11"/>
      <x:c r="D151" s="11"/>
      <x:c r="E151" s="11"/>
      <x:c r="F151" s="11"/>
      <x:c r="G151" s="11"/>
      <x:c r="H151" s="11"/>
      <x:c r="I151" s="11"/>
      <x:c r="J151" s="11"/>
      <x:c r="K151" s="12" t="str">
        <x:f>IF(A151="","",E151*F151+G151*H151+I151*J151)</x:f>
      </x:c>
      <x:c r="L151" s="9"/>
      <x:c r="M151" s="9" t="str">
        <x:f>IF(A151="","",INDEX('입고대장'!$M$7:$M$1006,MATCH(A151,'입고대장'!$A$7:$A$1006,0)))</x:f>
      </x:c>
      <x:c r="N151" s="9"/>
    </x:row>
    <x:row r="152" ht="23" customHeight="1">
      <x:c r="A152" s="9"/>
      <x:c r="B152" s="10"/>
      <x:c r="C152" s="11"/>
      <x:c r="D152" s="11"/>
      <x:c r="E152" s="11"/>
      <x:c r="F152" s="11"/>
      <x:c r="G152" s="11"/>
      <x:c r="H152" s="11"/>
      <x:c r="I152" s="11"/>
      <x:c r="J152" s="11"/>
      <x:c r="K152" s="12" t="str">
        <x:f>IF(A152="","",E152*F152+G152*H152+I152*J152)</x:f>
      </x:c>
      <x:c r="L152" s="9"/>
      <x:c r="M152" s="9" t="str">
        <x:f>IF(A152="","",INDEX('입고대장'!$M$7:$M$1006,MATCH(A152,'입고대장'!$A$7:$A$1006,0)))</x:f>
      </x:c>
      <x:c r="N152" s="9"/>
    </x:row>
    <x:row r="153" ht="23" customHeight="1">
      <x:c r="A153" s="9"/>
      <x:c r="B153" s="10"/>
      <x:c r="C153" s="11"/>
      <x:c r="D153" s="11"/>
      <x:c r="E153" s="11"/>
      <x:c r="F153" s="11"/>
      <x:c r="G153" s="11"/>
      <x:c r="H153" s="11"/>
      <x:c r="I153" s="11"/>
      <x:c r="J153" s="11"/>
      <x:c r="K153" s="12" t="str">
        <x:f>IF(A153="","",E153*F153+G153*H153+I153*J153)</x:f>
      </x:c>
      <x:c r="L153" s="9"/>
      <x:c r="M153" s="9" t="str">
        <x:f>IF(A153="","",INDEX('입고대장'!$M$7:$M$1006,MATCH(A153,'입고대장'!$A$7:$A$1006,0)))</x:f>
      </x:c>
      <x:c r="N153" s="9"/>
    </x:row>
    <x:row r="154" ht="23" customHeight="1">
      <x:c r="A154" s="9"/>
      <x:c r="B154" s="10"/>
      <x:c r="C154" s="11"/>
      <x:c r="D154" s="11"/>
      <x:c r="E154" s="11"/>
      <x:c r="F154" s="11"/>
      <x:c r="G154" s="11"/>
      <x:c r="H154" s="11"/>
      <x:c r="I154" s="11"/>
      <x:c r="J154" s="11"/>
      <x:c r="K154" s="12" t="str">
        <x:f>IF(A154="","",E154*F154+G154*H154+I154*J154)</x:f>
      </x:c>
      <x:c r="L154" s="9"/>
      <x:c r="M154" s="9" t="str">
        <x:f>IF(A154="","",INDEX('입고대장'!$M$7:$M$1006,MATCH(A154,'입고대장'!$A$7:$A$1006,0)))</x:f>
      </x:c>
      <x:c r="N154" s="9"/>
    </x:row>
    <x:row r="155" ht="23" customHeight="1">
      <x:c r="A155" s="9"/>
      <x:c r="B155" s="10"/>
      <x:c r="C155" s="11"/>
      <x:c r="D155" s="11"/>
      <x:c r="E155" s="11"/>
      <x:c r="F155" s="11"/>
      <x:c r="G155" s="11"/>
      <x:c r="H155" s="11"/>
      <x:c r="I155" s="11"/>
      <x:c r="J155" s="11"/>
      <x:c r="K155" s="12" t="str">
        <x:f>IF(A155="","",E155*F155+G155*H155+I155*J155)</x:f>
      </x:c>
      <x:c r="L155" s="9"/>
      <x:c r="M155" s="9" t="str">
        <x:f>IF(A155="","",INDEX('입고대장'!$M$7:$M$1006,MATCH(A155,'입고대장'!$A$7:$A$1006,0)))</x:f>
      </x:c>
      <x:c r="N155" s="9"/>
    </x:row>
    <x:row r="156" ht="23" customHeight="1">
      <x:c r="A156" s="9"/>
      <x:c r="B156" s="10"/>
      <x:c r="C156" s="11"/>
      <x:c r="D156" s="11"/>
      <x:c r="E156" s="11"/>
      <x:c r="F156" s="11"/>
      <x:c r="G156" s="11"/>
      <x:c r="H156" s="11"/>
      <x:c r="I156" s="11"/>
      <x:c r="J156" s="11"/>
      <x:c r="K156" s="12" t="str">
        <x:f>IF(A156="","",E156*F156+G156*H156+I156*J156)</x:f>
      </x:c>
      <x:c r="L156" s="9"/>
      <x:c r="M156" s="9" t="str">
        <x:f>IF(A156="","",INDEX('입고대장'!$M$7:$M$1006,MATCH(A156,'입고대장'!$A$7:$A$1006,0)))</x:f>
      </x:c>
      <x:c r="N156" s="9"/>
    </x:row>
    <x:row r="157" ht="23" customHeight="1">
      <x:c r="A157" s="9"/>
      <x:c r="B157" s="10"/>
      <x:c r="C157" s="11"/>
      <x:c r="D157" s="11"/>
      <x:c r="E157" s="11"/>
      <x:c r="F157" s="11"/>
      <x:c r="G157" s="11"/>
      <x:c r="H157" s="11"/>
      <x:c r="I157" s="11"/>
      <x:c r="J157" s="11"/>
      <x:c r="K157" s="12" t="str">
        <x:f>IF(A157="","",E157*F157+G157*H157+I157*J157)</x:f>
      </x:c>
      <x:c r="L157" s="9"/>
      <x:c r="M157" s="9" t="str">
        <x:f>IF(A157="","",INDEX('입고대장'!$M$7:$M$1006,MATCH(A157,'입고대장'!$A$7:$A$1006,0)))</x:f>
      </x:c>
      <x:c r="N157" s="9"/>
    </x:row>
    <x:row r="158" ht="23" customHeight="1">
      <x:c r="A158" s="9"/>
      <x:c r="B158" s="10"/>
      <x:c r="C158" s="11"/>
      <x:c r="D158" s="11"/>
      <x:c r="E158" s="11"/>
      <x:c r="F158" s="11"/>
      <x:c r="G158" s="11"/>
      <x:c r="H158" s="11"/>
      <x:c r="I158" s="11"/>
      <x:c r="J158" s="11"/>
      <x:c r="K158" s="12" t="str">
        <x:f>IF(A158="","",E158*F158+G158*H158+I158*J158)</x:f>
      </x:c>
      <x:c r="L158" s="9"/>
      <x:c r="M158" s="9" t="str">
        <x:f>IF(A158="","",INDEX('입고대장'!$M$7:$M$1006,MATCH(A158,'입고대장'!$A$7:$A$1006,0)))</x:f>
      </x:c>
      <x:c r="N158" s="9"/>
    </x:row>
    <x:row r="159" ht="23" customHeight="1">
      <x:c r="A159" s="9"/>
      <x:c r="B159" s="10"/>
      <x:c r="C159" s="11"/>
      <x:c r="D159" s="11"/>
      <x:c r="E159" s="11"/>
      <x:c r="F159" s="11"/>
      <x:c r="G159" s="11"/>
      <x:c r="H159" s="11"/>
      <x:c r="I159" s="11"/>
      <x:c r="J159" s="11"/>
      <x:c r="K159" s="12" t="str">
        <x:f>IF(A159="","",E159*F159+G159*H159+I159*J159)</x:f>
      </x:c>
      <x:c r="L159" s="9"/>
      <x:c r="M159" s="9" t="str">
        <x:f>IF(A159="","",INDEX('입고대장'!$M$7:$M$1006,MATCH(A159,'입고대장'!$A$7:$A$1006,0)))</x:f>
      </x:c>
      <x:c r="N159" s="9"/>
    </x:row>
    <x:row r="160" ht="23" customHeight="1">
      <x:c r="A160" s="9"/>
      <x:c r="B160" s="10"/>
      <x:c r="C160" s="11"/>
      <x:c r="D160" s="11"/>
      <x:c r="E160" s="11"/>
      <x:c r="F160" s="11"/>
      <x:c r="G160" s="11"/>
      <x:c r="H160" s="11"/>
      <x:c r="I160" s="11"/>
      <x:c r="J160" s="11"/>
      <x:c r="K160" s="12" t="str">
        <x:f>IF(A160="","",E160*F160+G160*H160+I160*J160)</x:f>
      </x:c>
      <x:c r="L160" s="9"/>
      <x:c r="M160" s="9" t="str">
        <x:f>IF(A160="","",INDEX('입고대장'!$M$7:$M$1006,MATCH(A160,'입고대장'!$A$7:$A$1006,0)))</x:f>
      </x:c>
      <x:c r="N160" s="9"/>
    </x:row>
    <x:row r="161" ht="23" customHeight="1">
      <x:c r="A161" s="9"/>
      <x:c r="B161" s="10"/>
      <x:c r="C161" s="11"/>
      <x:c r="D161" s="11"/>
      <x:c r="E161" s="11"/>
      <x:c r="F161" s="11"/>
      <x:c r="G161" s="11"/>
      <x:c r="H161" s="11"/>
      <x:c r="I161" s="11"/>
      <x:c r="J161" s="11"/>
      <x:c r="K161" s="12" t="str">
        <x:f>IF(A161="","",E161*F161+G161*H161+I161*J161)</x:f>
      </x:c>
      <x:c r="L161" s="9"/>
      <x:c r="M161" s="9" t="str">
        <x:f>IF(A161="","",INDEX('입고대장'!$M$7:$M$1006,MATCH(A161,'입고대장'!$A$7:$A$1006,0)))</x:f>
      </x:c>
      <x:c r="N161" s="9"/>
    </x:row>
    <x:row r="162" ht="23" customHeight="1">
      <x:c r="A162" s="9"/>
      <x:c r="B162" s="10"/>
      <x:c r="C162" s="11"/>
      <x:c r="D162" s="11"/>
      <x:c r="E162" s="11"/>
      <x:c r="F162" s="11"/>
      <x:c r="G162" s="11"/>
      <x:c r="H162" s="11"/>
      <x:c r="I162" s="11"/>
      <x:c r="J162" s="11"/>
      <x:c r="K162" s="12" t="str">
        <x:f>IF(A162="","",E162*F162+G162*H162+I162*J162)</x:f>
      </x:c>
      <x:c r="L162" s="9"/>
      <x:c r="M162" s="9" t="str">
        <x:f>IF(A162="","",INDEX('입고대장'!$M$7:$M$1006,MATCH(A162,'입고대장'!$A$7:$A$1006,0)))</x:f>
      </x:c>
      <x:c r="N162" s="9"/>
    </x:row>
    <x:row r="163" ht="23" customHeight="1">
      <x:c r="A163" s="9"/>
      <x:c r="B163" s="10"/>
      <x:c r="C163" s="11"/>
      <x:c r="D163" s="11"/>
      <x:c r="E163" s="11"/>
      <x:c r="F163" s="11"/>
      <x:c r="G163" s="11"/>
      <x:c r="H163" s="11"/>
      <x:c r="I163" s="11"/>
      <x:c r="J163" s="11"/>
      <x:c r="K163" s="12" t="str">
        <x:f>IF(A163="","",E163*F163+G163*H163+I163*J163)</x:f>
      </x:c>
      <x:c r="L163" s="9"/>
      <x:c r="M163" s="9" t="str">
        <x:f>IF(A163="","",INDEX('입고대장'!$M$7:$M$1006,MATCH(A163,'입고대장'!$A$7:$A$1006,0)))</x:f>
      </x:c>
      <x:c r="N163" s="9"/>
    </x:row>
    <x:row r="164" ht="23" customHeight="1">
      <x:c r="A164" s="9"/>
      <x:c r="B164" s="10"/>
      <x:c r="C164" s="11"/>
      <x:c r="D164" s="11"/>
      <x:c r="E164" s="11"/>
      <x:c r="F164" s="11"/>
      <x:c r="G164" s="11"/>
      <x:c r="H164" s="11"/>
      <x:c r="I164" s="11"/>
      <x:c r="J164" s="11"/>
      <x:c r="K164" s="12" t="str">
        <x:f>IF(A164="","",E164*F164+G164*H164+I164*J164)</x:f>
      </x:c>
      <x:c r="L164" s="9"/>
      <x:c r="M164" s="9" t="str">
        <x:f>IF(A164="","",INDEX('입고대장'!$M$7:$M$1006,MATCH(A164,'입고대장'!$A$7:$A$1006,0)))</x:f>
      </x:c>
      <x:c r="N164" s="9"/>
    </x:row>
    <x:row r="165" ht="23" customHeight="1">
      <x:c r="A165" s="9"/>
      <x:c r="B165" s="10"/>
      <x:c r="C165" s="11"/>
      <x:c r="D165" s="11"/>
      <x:c r="E165" s="11"/>
      <x:c r="F165" s="11"/>
      <x:c r="G165" s="11"/>
      <x:c r="H165" s="11"/>
      <x:c r="I165" s="11"/>
      <x:c r="J165" s="11"/>
      <x:c r="K165" s="12" t="str">
        <x:f>IF(A165="","",E165*F165+G165*H165+I165*J165)</x:f>
      </x:c>
      <x:c r="L165" s="9"/>
      <x:c r="M165" s="9" t="str">
        <x:f>IF(A165="","",INDEX('입고대장'!$M$7:$M$1006,MATCH(A165,'입고대장'!$A$7:$A$1006,0)))</x:f>
      </x:c>
      <x:c r="N165" s="9"/>
    </x:row>
    <x:row r="166" ht="23" customHeight="1">
      <x:c r="A166" s="9"/>
      <x:c r="B166" s="10"/>
      <x:c r="C166" s="11"/>
      <x:c r="D166" s="11"/>
      <x:c r="E166" s="11"/>
      <x:c r="F166" s="11"/>
      <x:c r="G166" s="11"/>
      <x:c r="H166" s="11"/>
      <x:c r="I166" s="11"/>
      <x:c r="J166" s="11"/>
      <x:c r="K166" s="12" t="str">
        <x:f>IF(A166="","",E166*F166+G166*H166+I166*J166)</x:f>
      </x:c>
      <x:c r="L166" s="9"/>
      <x:c r="M166" s="9" t="str">
        <x:f>IF(A166="","",INDEX('입고대장'!$M$7:$M$1006,MATCH(A166,'입고대장'!$A$7:$A$1006,0)))</x:f>
      </x:c>
      <x:c r="N166" s="9"/>
    </x:row>
    <x:row r="167" ht="23" customHeight="1">
      <x:c r="A167" s="9"/>
      <x:c r="B167" s="10"/>
      <x:c r="C167" s="11"/>
      <x:c r="D167" s="11"/>
      <x:c r="E167" s="11"/>
      <x:c r="F167" s="11"/>
      <x:c r="G167" s="11"/>
      <x:c r="H167" s="11"/>
      <x:c r="I167" s="11"/>
      <x:c r="J167" s="11"/>
      <x:c r="K167" s="12" t="str">
        <x:f>IF(A167="","",E167*F167+G167*H167+I167*J167)</x:f>
      </x:c>
      <x:c r="L167" s="9"/>
      <x:c r="M167" s="9" t="str">
        <x:f>IF(A167="","",INDEX('입고대장'!$M$7:$M$1006,MATCH(A167,'입고대장'!$A$7:$A$1006,0)))</x:f>
      </x:c>
      <x:c r="N167" s="9"/>
    </x:row>
    <x:row r="168" ht="23" customHeight="1">
      <x:c r="A168" s="9"/>
      <x:c r="B168" s="10"/>
      <x:c r="C168" s="11"/>
      <x:c r="D168" s="11"/>
      <x:c r="E168" s="11"/>
      <x:c r="F168" s="11"/>
      <x:c r="G168" s="11"/>
      <x:c r="H168" s="11"/>
      <x:c r="I168" s="11"/>
      <x:c r="J168" s="11"/>
      <x:c r="K168" s="12" t="str">
        <x:f>IF(A168="","",E168*F168+G168*H168+I168*J168)</x:f>
      </x:c>
      <x:c r="L168" s="9"/>
      <x:c r="M168" s="9" t="str">
        <x:f>IF(A168="","",INDEX('입고대장'!$M$7:$M$1006,MATCH(A168,'입고대장'!$A$7:$A$1006,0)))</x:f>
      </x:c>
      <x:c r="N168" s="9"/>
    </x:row>
    <x:row r="169" ht="23" customHeight="1">
      <x:c r="A169" s="9"/>
      <x:c r="B169" s="10"/>
      <x:c r="C169" s="11"/>
      <x:c r="D169" s="11"/>
      <x:c r="E169" s="11"/>
      <x:c r="F169" s="11"/>
      <x:c r="G169" s="11"/>
      <x:c r="H169" s="11"/>
      <x:c r="I169" s="11"/>
      <x:c r="J169" s="11"/>
      <x:c r="K169" s="12" t="str">
        <x:f>IF(A169="","",E169*F169+G169*H169+I169*J169)</x:f>
      </x:c>
      <x:c r="L169" s="9"/>
      <x:c r="M169" s="9" t="str">
        <x:f>IF(A169="","",INDEX('입고대장'!$M$7:$M$1006,MATCH(A169,'입고대장'!$A$7:$A$1006,0)))</x:f>
      </x:c>
      <x:c r="N169" s="9"/>
    </x:row>
    <x:row r="170" ht="23" customHeight="1">
      <x:c r="A170" s="9"/>
      <x:c r="B170" s="10"/>
      <x:c r="C170" s="11"/>
      <x:c r="D170" s="11"/>
      <x:c r="E170" s="11"/>
      <x:c r="F170" s="11"/>
      <x:c r="G170" s="11"/>
      <x:c r="H170" s="11"/>
      <x:c r="I170" s="11"/>
      <x:c r="J170" s="11"/>
      <x:c r="K170" s="12" t="str">
        <x:f>IF(A170="","",E170*F170+G170*H170+I170*J170)</x:f>
      </x:c>
      <x:c r="L170" s="9"/>
      <x:c r="M170" s="9" t="str">
        <x:f>IF(A170="","",INDEX('입고대장'!$M$7:$M$1006,MATCH(A170,'입고대장'!$A$7:$A$1006,0)))</x:f>
      </x:c>
      <x:c r="N170" s="9"/>
    </x:row>
    <x:row r="171" ht="23" customHeight="1">
      <x:c r="A171" s="9"/>
      <x:c r="B171" s="10"/>
      <x:c r="C171" s="11"/>
      <x:c r="D171" s="11"/>
      <x:c r="E171" s="11"/>
      <x:c r="F171" s="11"/>
      <x:c r="G171" s="11"/>
      <x:c r="H171" s="11"/>
      <x:c r="I171" s="11"/>
      <x:c r="J171" s="11"/>
      <x:c r="K171" s="12" t="str">
        <x:f>IF(A171="","",E171*F171+G171*H171+I171*J171)</x:f>
      </x:c>
      <x:c r="L171" s="9"/>
      <x:c r="M171" s="9" t="str">
        <x:f>IF(A171="","",INDEX('입고대장'!$M$7:$M$1006,MATCH(A171,'입고대장'!$A$7:$A$1006,0)))</x:f>
      </x:c>
      <x:c r="N171" s="9"/>
    </x:row>
    <x:row r="172" ht="23" customHeight="1">
      <x:c r="A172" s="9"/>
      <x:c r="B172" s="10"/>
      <x:c r="C172" s="11"/>
      <x:c r="D172" s="11"/>
      <x:c r="E172" s="11"/>
      <x:c r="F172" s="11"/>
      <x:c r="G172" s="11"/>
      <x:c r="H172" s="11"/>
      <x:c r="I172" s="11"/>
      <x:c r="J172" s="11"/>
      <x:c r="K172" s="12" t="str">
        <x:f>IF(A172="","",E172*F172+G172*H172+I172*J172)</x:f>
      </x:c>
      <x:c r="L172" s="9"/>
      <x:c r="M172" s="9" t="str">
        <x:f>IF(A172="","",INDEX('입고대장'!$M$7:$M$1006,MATCH(A172,'입고대장'!$A$7:$A$1006,0)))</x:f>
      </x:c>
      <x:c r="N172" s="9"/>
    </x:row>
    <x:row r="173" ht="23" customHeight="1">
      <x:c r="A173" s="9"/>
      <x:c r="B173" s="10"/>
      <x:c r="C173" s="11"/>
      <x:c r="D173" s="11"/>
      <x:c r="E173" s="11"/>
      <x:c r="F173" s="11"/>
      <x:c r="G173" s="11"/>
      <x:c r="H173" s="11"/>
      <x:c r="I173" s="11"/>
      <x:c r="J173" s="11"/>
      <x:c r="K173" s="12" t="str">
        <x:f>IF(A173="","",E173*F173+G173*H173+I173*J173)</x:f>
      </x:c>
      <x:c r="L173" s="9"/>
      <x:c r="M173" s="9" t="str">
        <x:f>IF(A173="","",INDEX('입고대장'!$M$7:$M$1006,MATCH(A173,'입고대장'!$A$7:$A$1006,0)))</x:f>
      </x:c>
      <x:c r="N173" s="9"/>
    </x:row>
    <x:row r="174" ht="23" customHeight="1">
      <x:c r="A174" s="9"/>
      <x:c r="B174" s="10"/>
      <x:c r="C174" s="11"/>
      <x:c r="D174" s="11"/>
      <x:c r="E174" s="11"/>
      <x:c r="F174" s="11"/>
      <x:c r="G174" s="11"/>
      <x:c r="H174" s="11"/>
      <x:c r="I174" s="11"/>
      <x:c r="J174" s="11"/>
      <x:c r="K174" s="12" t="str">
        <x:f>IF(A174="","",E174*F174+G174*H174+I174*J174)</x:f>
      </x:c>
      <x:c r="L174" s="9"/>
      <x:c r="M174" s="9" t="str">
        <x:f>IF(A174="","",INDEX('입고대장'!$M$7:$M$1006,MATCH(A174,'입고대장'!$A$7:$A$1006,0)))</x:f>
      </x:c>
      <x:c r="N174" s="9"/>
    </x:row>
    <x:row r="175" ht="23" customHeight="1">
      <x:c r="A175" s="9"/>
      <x:c r="B175" s="10"/>
      <x:c r="C175" s="11"/>
      <x:c r="D175" s="11"/>
      <x:c r="E175" s="11"/>
      <x:c r="F175" s="11"/>
      <x:c r="G175" s="11"/>
      <x:c r="H175" s="11"/>
      <x:c r="I175" s="11"/>
      <x:c r="J175" s="11"/>
      <x:c r="K175" s="12" t="str">
        <x:f>IF(A175="","",E175*F175+G175*H175+I175*J175)</x:f>
      </x:c>
      <x:c r="L175" s="9"/>
      <x:c r="M175" s="9" t="str">
        <x:f>IF(A175="","",INDEX('입고대장'!$M$7:$M$1006,MATCH(A175,'입고대장'!$A$7:$A$1006,0)))</x:f>
      </x:c>
      <x:c r="N175" s="9"/>
    </x:row>
    <x:row r="176" ht="23" customHeight="1">
      <x:c r="A176" s="9"/>
      <x:c r="B176" s="10"/>
      <x:c r="C176" s="11"/>
      <x:c r="D176" s="11"/>
      <x:c r="E176" s="11"/>
      <x:c r="F176" s="11"/>
      <x:c r="G176" s="11"/>
      <x:c r="H176" s="11"/>
      <x:c r="I176" s="11"/>
      <x:c r="J176" s="11"/>
      <x:c r="K176" s="12" t="str">
        <x:f>IF(A176="","",E176*F176+G176*H176+I176*J176)</x:f>
      </x:c>
      <x:c r="L176" s="9"/>
      <x:c r="M176" s="9" t="str">
        <x:f>IF(A176="","",INDEX('입고대장'!$M$7:$M$1006,MATCH(A176,'입고대장'!$A$7:$A$1006,0)))</x:f>
      </x:c>
      <x:c r="N176" s="9"/>
    </x:row>
    <x:row r="177" ht="23" customHeight="1">
      <x:c r="A177" s="9"/>
      <x:c r="B177" s="10"/>
      <x:c r="C177" s="11"/>
      <x:c r="D177" s="11"/>
      <x:c r="E177" s="11"/>
      <x:c r="F177" s="11"/>
      <x:c r="G177" s="11"/>
      <x:c r="H177" s="11"/>
      <x:c r="I177" s="11"/>
      <x:c r="J177" s="11"/>
      <x:c r="K177" s="12" t="str">
        <x:f>IF(A177="","",E177*F177+G177*H177+I177*J177)</x:f>
      </x:c>
      <x:c r="L177" s="9"/>
      <x:c r="M177" s="9" t="str">
        <x:f>IF(A177="","",INDEX('입고대장'!$M$7:$M$1006,MATCH(A177,'입고대장'!$A$7:$A$1006,0)))</x:f>
      </x:c>
      <x:c r="N177" s="9"/>
    </x:row>
    <x:row r="178" ht="23" customHeight="1">
      <x:c r="A178" s="9"/>
      <x:c r="B178" s="10"/>
      <x:c r="C178" s="11"/>
      <x:c r="D178" s="11"/>
      <x:c r="E178" s="11"/>
      <x:c r="F178" s="11"/>
      <x:c r="G178" s="11"/>
      <x:c r="H178" s="11"/>
      <x:c r="I178" s="11"/>
      <x:c r="J178" s="11"/>
      <x:c r="K178" s="12" t="str">
        <x:f>IF(A178="","",E178*F178+G178*H178+I178*J178)</x:f>
      </x:c>
      <x:c r="L178" s="9"/>
      <x:c r="M178" s="9" t="str">
        <x:f>IF(A178="","",INDEX('입고대장'!$M$7:$M$1006,MATCH(A178,'입고대장'!$A$7:$A$1006,0)))</x:f>
      </x:c>
      <x:c r="N178" s="9"/>
    </x:row>
    <x:row r="179" ht="23" customHeight="1">
      <x:c r="A179" s="9"/>
      <x:c r="B179" s="10"/>
      <x:c r="C179" s="11"/>
      <x:c r="D179" s="11"/>
      <x:c r="E179" s="11"/>
      <x:c r="F179" s="11"/>
      <x:c r="G179" s="11"/>
      <x:c r="H179" s="11"/>
      <x:c r="I179" s="11"/>
      <x:c r="J179" s="11"/>
      <x:c r="K179" s="12" t="str">
        <x:f>IF(A179="","",E179*F179+G179*H179+I179*J179)</x:f>
      </x:c>
      <x:c r="L179" s="9"/>
      <x:c r="M179" s="9" t="str">
        <x:f>IF(A179="","",INDEX('입고대장'!$M$7:$M$1006,MATCH(A179,'입고대장'!$A$7:$A$1006,0)))</x:f>
      </x:c>
      <x:c r="N179" s="9"/>
    </x:row>
    <x:row r="180" ht="23" customHeight="1">
      <x:c r="A180" s="9"/>
      <x:c r="B180" s="10"/>
      <x:c r="C180" s="11"/>
      <x:c r="D180" s="11"/>
      <x:c r="E180" s="11"/>
      <x:c r="F180" s="11"/>
      <x:c r="G180" s="11"/>
      <x:c r="H180" s="11"/>
      <x:c r="I180" s="11"/>
      <x:c r="J180" s="11"/>
      <x:c r="K180" s="12" t="str">
        <x:f>IF(A180="","",E180*F180+G180*H180+I180*J180)</x:f>
      </x:c>
      <x:c r="L180" s="9"/>
      <x:c r="M180" s="9" t="str">
        <x:f>IF(A180="","",INDEX('입고대장'!$M$7:$M$1006,MATCH(A180,'입고대장'!$A$7:$A$1006,0)))</x:f>
      </x:c>
      <x:c r="N180" s="9"/>
    </x:row>
    <x:row r="181" ht="23" customHeight="1">
      <x:c r="A181" s="9"/>
      <x:c r="B181" s="10"/>
      <x:c r="C181" s="11"/>
      <x:c r="D181" s="11"/>
      <x:c r="E181" s="11"/>
      <x:c r="F181" s="11"/>
      <x:c r="G181" s="11"/>
      <x:c r="H181" s="11"/>
      <x:c r="I181" s="11"/>
      <x:c r="J181" s="11"/>
      <x:c r="K181" s="12" t="str">
        <x:f>IF(A181="","",E181*F181+G181*H181+I181*J181)</x:f>
      </x:c>
      <x:c r="L181" s="9"/>
      <x:c r="M181" s="9" t="str">
        <x:f>IF(A181="","",INDEX('입고대장'!$M$7:$M$1006,MATCH(A181,'입고대장'!$A$7:$A$1006,0)))</x:f>
      </x:c>
      <x:c r="N181" s="9"/>
    </x:row>
    <x:row r="182" ht="23" customHeight="1">
      <x:c r="A182" s="9"/>
      <x:c r="B182" s="10"/>
      <x:c r="C182" s="11"/>
      <x:c r="D182" s="11"/>
      <x:c r="E182" s="11"/>
      <x:c r="F182" s="11"/>
      <x:c r="G182" s="11"/>
      <x:c r="H182" s="11"/>
      <x:c r="I182" s="11"/>
      <x:c r="J182" s="11"/>
      <x:c r="K182" s="12" t="str">
        <x:f>IF(A182="","",E182*F182+G182*H182+I182*J182)</x:f>
      </x:c>
      <x:c r="L182" s="9"/>
      <x:c r="M182" s="9" t="str">
        <x:f>IF(A182="","",INDEX('입고대장'!$M$7:$M$1006,MATCH(A182,'입고대장'!$A$7:$A$1006,0)))</x:f>
      </x:c>
      <x:c r="N182" s="9"/>
    </x:row>
    <x:row r="183" ht="23" customHeight="1">
      <x:c r="A183" s="9"/>
      <x:c r="B183" s="10"/>
      <x:c r="C183" s="11"/>
      <x:c r="D183" s="11"/>
      <x:c r="E183" s="11"/>
      <x:c r="F183" s="11"/>
      <x:c r="G183" s="11"/>
      <x:c r="H183" s="11"/>
      <x:c r="I183" s="11"/>
      <x:c r="J183" s="11"/>
      <x:c r="K183" s="12" t="str">
        <x:f>IF(A183="","",E183*F183+G183*H183+I183*J183)</x:f>
      </x:c>
      <x:c r="L183" s="9"/>
      <x:c r="M183" s="9" t="str">
        <x:f>IF(A183="","",INDEX('입고대장'!$M$7:$M$1006,MATCH(A183,'입고대장'!$A$7:$A$1006,0)))</x:f>
      </x:c>
      <x:c r="N183" s="9"/>
    </x:row>
    <x:row r="184" ht="23" customHeight="1">
      <x:c r="A184" s="9"/>
      <x:c r="B184" s="10"/>
      <x:c r="C184" s="11"/>
      <x:c r="D184" s="11"/>
      <x:c r="E184" s="11"/>
      <x:c r="F184" s="11"/>
      <x:c r="G184" s="11"/>
      <x:c r="H184" s="11"/>
      <x:c r="I184" s="11"/>
      <x:c r="J184" s="11"/>
      <x:c r="K184" s="12" t="str">
        <x:f>IF(A184="","",E184*F184+G184*H184+I184*J184)</x:f>
      </x:c>
      <x:c r="L184" s="9"/>
      <x:c r="M184" s="9" t="str">
        <x:f>IF(A184="","",INDEX('입고대장'!$M$7:$M$1006,MATCH(A184,'입고대장'!$A$7:$A$1006,0)))</x:f>
      </x:c>
      <x:c r="N184" s="9"/>
    </x:row>
    <x:row r="185" ht="23" customHeight="1">
      <x:c r="A185" s="9"/>
      <x:c r="B185" s="10"/>
      <x:c r="C185" s="11"/>
      <x:c r="D185" s="11"/>
      <x:c r="E185" s="11"/>
      <x:c r="F185" s="11"/>
      <x:c r="G185" s="11"/>
      <x:c r="H185" s="11"/>
      <x:c r="I185" s="11"/>
      <x:c r="J185" s="11"/>
      <x:c r="K185" s="12" t="str">
        <x:f>IF(A185="","",E185*F185+G185*H185+I185*J185)</x:f>
      </x:c>
      <x:c r="L185" s="9"/>
      <x:c r="M185" s="9" t="str">
        <x:f>IF(A185="","",INDEX('입고대장'!$M$7:$M$1006,MATCH(A185,'입고대장'!$A$7:$A$1006,0)))</x:f>
      </x:c>
      <x:c r="N185" s="9"/>
    </x:row>
    <x:row r="186" ht="23" customHeight="1">
      <x:c r="A186" s="9"/>
      <x:c r="B186" s="10"/>
      <x:c r="C186" s="11"/>
      <x:c r="D186" s="11"/>
      <x:c r="E186" s="11"/>
      <x:c r="F186" s="11"/>
      <x:c r="G186" s="11"/>
      <x:c r="H186" s="11"/>
      <x:c r="I186" s="11"/>
      <x:c r="J186" s="11"/>
      <x:c r="K186" s="12" t="str">
        <x:f>IF(A186="","",E186*F186+G186*H186+I186*J186)</x:f>
      </x:c>
      <x:c r="L186" s="9"/>
      <x:c r="M186" s="9" t="str">
        <x:f>IF(A186="","",INDEX('입고대장'!$M$7:$M$1006,MATCH(A186,'입고대장'!$A$7:$A$1006,0)))</x:f>
      </x:c>
      <x:c r="N186" s="9"/>
    </x:row>
    <x:row r="187" ht="23" customHeight="1">
      <x:c r="A187" s="9"/>
      <x:c r="B187" s="10"/>
      <x:c r="C187" s="11"/>
      <x:c r="D187" s="11"/>
      <x:c r="E187" s="11"/>
      <x:c r="F187" s="11"/>
      <x:c r="G187" s="11"/>
      <x:c r="H187" s="11"/>
      <x:c r="I187" s="11"/>
      <x:c r="J187" s="11"/>
      <x:c r="K187" s="12" t="str">
        <x:f>IF(A187="","",E187*F187+G187*H187+I187*J187)</x:f>
      </x:c>
      <x:c r="L187" s="9"/>
      <x:c r="M187" s="9" t="str">
        <x:f>IF(A187="","",INDEX('입고대장'!$M$7:$M$1006,MATCH(A187,'입고대장'!$A$7:$A$1006,0)))</x:f>
      </x:c>
      <x:c r="N187" s="9"/>
    </x:row>
    <x:row r="188" ht="23" customHeight="1">
      <x:c r="A188" s="9"/>
      <x:c r="B188" s="10"/>
      <x:c r="C188" s="11"/>
      <x:c r="D188" s="11"/>
      <x:c r="E188" s="11"/>
      <x:c r="F188" s="11"/>
      <x:c r="G188" s="11"/>
      <x:c r="H188" s="11"/>
      <x:c r="I188" s="11"/>
      <x:c r="J188" s="11"/>
      <x:c r="K188" s="12" t="str">
        <x:f>IF(A188="","",E188*F188+G188*H188+I188*J188)</x:f>
      </x:c>
      <x:c r="L188" s="9"/>
      <x:c r="M188" s="9" t="str">
        <x:f>IF(A188="","",INDEX('입고대장'!$M$7:$M$1006,MATCH(A188,'입고대장'!$A$7:$A$1006,0)))</x:f>
      </x:c>
      <x:c r="N188" s="9"/>
    </x:row>
    <x:row r="189" ht="23" customHeight="1">
      <x:c r="A189" s="9"/>
      <x:c r="B189" s="10"/>
      <x:c r="C189" s="11"/>
      <x:c r="D189" s="11"/>
      <x:c r="E189" s="11"/>
      <x:c r="F189" s="11"/>
      <x:c r="G189" s="11"/>
      <x:c r="H189" s="11"/>
      <x:c r="I189" s="11"/>
      <x:c r="J189" s="11"/>
      <x:c r="K189" s="12" t="str">
        <x:f>IF(A189="","",E189*F189+G189*H189+I189*J189)</x:f>
      </x:c>
      <x:c r="L189" s="9"/>
      <x:c r="M189" s="9" t="str">
        <x:f>IF(A189="","",INDEX('입고대장'!$M$7:$M$1006,MATCH(A189,'입고대장'!$A$7:$A$1006,0)))</x:f>
      </x:c>
      <x:c r="N189" s="9"/>
    </x:row>
    <x:row r="190" ht="23" customHeight="1">
      <x:c r="A190" s="9"/>
      <x:c r="B190" s="10"/>
      <x:c r="C190" s="11"/>
      <x:c r="D190" s="11"/>
      <x:c r="E190" s="11"/>
      <x:c r="F190" s="11"/>
      <x:c r="G190" s="11"/>
      <x:c r="H190" s="11"/>
      <x:c r="I190" s="11"/>
      <x:c r="J190" s="11"/>
      <x:c r="K190" s="12" t="str">
        <x:f>IF(A190="","",E190*F190+G190*H190+I190*J190)</x:f>
      </x:c>
      <x:c r="L190" s="9"/>
      <x:c r="M190" s="9" t="str">
        <x:f>IF(A190="","",INDEX('입고대장'!$M$7:$M$1006,MATCH(A190,'입고대장'!$A$7:$A$1006,0)))</x:f>
      </x:c>
      <x:c r="N190" s="9"/>
    </x:row>
    <x:row r="191" ht="23" customHeight="1">
      <x:c r="A191" s="9"/>
      <x:c r="B191" s="10"/>
      <x:c r="C191" s="11"/>
      <x:c r="D191" s="11"/>
      <x:c r="E191" s="11"/>
      <x:c r="F191" s="11"/>
      <x:c r="G191" s="11"/>
      <x:c r="H191" s="11"/>
      <x:c r="I191" s="11"/>
      <x:c r="J191" s="11"/>
      <x:c r="K191" s="12" t="str">
        <x:f>IF(A191="","",E191*F191+G191*H191+I191*J191)</x:f>
      </x:c>
      <x:c r="L191" s="9"/>
      <x:c r="M191" s="9" t="str">
        <x:f>IF(A191="","",INDEX('입고대장'!$M$7:$M$1006,MATCH(A191,'입고대장'!$A$7:$A$1006,0)))</x:f>
      </x:c>
      <x:c r="N191" s="9"/>
    </x:row>
    <x:row r="192" ht="23" customHeight="1">
      <x:c r="A192" s="9"/>
      <x:c r="B192" s="10"/>
      <x:c r="C192" s="11"/>
      <x:c r="D192" s="11"/>
      <x:c r="E192" s="11"/>
      <x:c r="F192" s="11"/>
      <x:c r="G192" s="11"/>
      <x:c r="H192" s="11"/>
      <x:c r="I192" s="11"/>
      <x:c r="J192" s="11"/>
      <x:c r="K192" s="12" t="str">
        <x:f>IF(A192="","",E192*F192+G192*H192+I192*J192)</x:f>
      </x:c>
      <x:c r="L192" s="9"/>
      <x:c r="M192" s="9" t="str">
        <x:f>IF(A192="","",INDEX('입고대장'!$M$7:$M$1006,MATCH(A192,'입고대장'!$A$7:$A$1006,0)))</x:f>
      </x:c>
      <x:c r="N192" s="9"/>
    </x:row>
    <x:row r="193" ht="23" customHeight="1">
      <x:c r="A193" s="9"/>
      <x:c r="B193" s="10"/>
      <x:c r="C193" s="11"/>
      <x:c r="D193" s="11"/>
      <x:c r="E193" s="11"/>
      <x:c r="F193" s="11"/>
      <x:c r="G193" s="11"/>
      <x:c r="H193" s="11"/>
      <x:c r="I193" s="11"/>
      <x:c r="J193" s="11"/>
      <x:c r="K193" s="12" t="str">
        <x:f>IF(A193="","",E193*F193+G193*H193+I193*J193)</x:f>
      </x:c>
      <x:c r="L193" s="9"/>
      <x:c r="M193" s="9" t="str">
        <x:f>IF(A193="","",INDEX('입고대장'!$M$7:$M$1006,MATCH(A193,'입고대장'!$A$7:$A$1006,0)))</x:f>
      </x:c>
      <x:c r="N193" s="9"/>
    </x:row>
    <x:row r="194" ht="23" customHeight="1">
      <x:c r="A194" s="9"/>
      <x:c r="B194" s="10"/>
      <x:c r="C194" s="11"/>
      <x:c r="D194" s="11"/>
      <x:c r="E194" s="11"/>
      <x:c r="F194" s="11"/>
      <x:c r="G194" s="11"/>
      <x:c r="H194" s="11"/>
      <x:c r="I194" s="11"/>
      <x:c r="J194" s="11"/>
      <x:c r="K194" s="12" t="str">
        <x:f>IF(A194="","",E194*F194+G194*H194+I194*J194)</x:f>
      </x:c>
      <x:c r="L194" s="9"/>
      <x:c r="M194" s="9" t="str">
        <x:f>IF(A194="","",INDEX('입고대장'!$M$7:$M$1006,MATCH(A194,'입고대장'!$A$7:$A$1006,0)))</x:f>
      </x:c>
      <x:c r="N194" s="9"/>
    </x:row>
    <x:row r="195" ht="23" customHeight="1">
      <x:c r="A195" s="9"/>
      <x:c r="B195" s="10"/>
      <x:c r="C195" s="11"/>
      <x:c r="D195" s="11"/>
      <x:c r="E195" s="11"/>
      <x:c r="F195" s="11"/>
      <x:c r="G195" s="11"/>
      <x:c r="H195" s="11"/>
      <x:c r="I195" s="11"/>
      <x:c r="J195" s="11"/>
      <x:c r="K195" s="12" t="str">
        <x:f>IF(A195="","",E195*F195+G195*H195+I195*J195)</x:f>
      </x:c>
      <x:c r="L195" s="9"/>
      <x:c r="M195" s="9" t="str">
        <x:f>IF(A195="","",INDEX('입고대장'!$M$7:$M$1006,MATCH(A195,'입고대장'!$A$7:$A$1006,0)))</x:f>
      </x:c>
      <x:c r="N195" s="9"/>
    </x:row>
    <x:row r="196" ht="23" customHeight="1">
      <x:c r="A196" s="9"/>
      <x:c r="B196" s="10"/>
      <x:c r="C196" s="11"/>
      <x:c r="D196" s="11"/>
      <x:c r="E196" s="11"/>
      <x:c r="F196" s="11"/>
      <x:c r="G196" s="11"/>
      <x:c r="H196" s="11"/>
      <x:c r="I196" s="11"/>
      <x:c r="J196" s="11"/>
      <x:c r="K196" s="12" t="str">
        <x:f>IF(A196="","",E196*F196+G196*H196+I196*J196)</x:f>
      </x:c>
      <x:c r="L196" s="9"/>
      <x:c r="M196" s="9" t="str">
        <x:f>IF(A196="","",INDEX('입고대장'!$M$7:$M$1006,MATCH(A196,'입고대장'!$A$7:$A$1006,0)))</x:f>
      </x:c>
      <x:c r="N196" s="9"/>
    </x:row>
    <x:row r="197" ht="23" customHeight="1">
      <x:c r="A197" s="9"/>
      <x:c r="B197" s="10"/>
      <x:c r="C197" s="11"/>
      <x:c r="D197" s="11"/>
      <x:c r="E197" s="11"/>
      <x:c r="F197" s="11"/>
      <x:c r="G197" s="11"/>
      <x:c r="H197" s="11"/>
      <x:c r="I197" s="11"/>
      <x:c r="J197" s="11"/>
      <x:c r="K197" s="12" t="str">
        <x:f>IF(A197="","",E197*F197+G197*H197+I197*J197)</x:f>
      </x:c>
      <x:c r="L197" s="9"/>
      <x:c r="M197" s="9" t="str">
        <x:f>IF(A197="","",INDEX('입고대장'!$M$7:$M$1006,MATCH(A197,'입고대장'!$A$7:$A$1006,0)))</x:f>
      </x:c>
      <x:c r="N197" s="9"/>
    </x:row>
    <x:row r="198" ht="23" customHeight="1">
      <x:c r="A198" s="9"/>
      <x:c r="B198" s="10"/>
      <x:c r="C198" s="11"/>
      <x:c r="D198" s="11"/>
      <x:c r="E198" s="11"/>
      <x:c r="F198" s="11"/>
      <x:c r="G198" s="11"/>
      <x:c r="H198" s="11"/>
      <x:c r="I198" s="11"/>
      <x:c r="J198" s="11"/>
      <x:c r="K198" s="12" t="str">
        <x:f>IF(A198="","",E198*F198+G198*H198+I198*J198)</x:f>
      </x:c>
      <x:c r="L198" s="9"/>
      <x:c r="M198" s="9" t="str">
        <x:f>IF(A198="","",INDEX('입고대장'!$M$7:$M$1006,MATCH(A198,'입고대장'!$A$7:$A$1006,0)))</x:f>
      </x:c>
      <x:c r="N198" s="9"/>
    </x:row>
    <x:row r="199" ht="23" customHeight="1">
      <x:c r="A199" s="9"/>
      <x:c r="B199" s="10"/>
      <x:c r="C199" s="11"/>
      <x:c r="D199" s="11"/>
      <x:c r="E199" s="11"/>
      <x:c r="F199" s="11"/>
      <x:c r="G199" s="11"/>
      <x:c r="H199" s="11"/>
      <x:c r="I199" s="11"/>
      <x:c r="J199" s="11"/>
      <x:c r="K199" s="12" t="str">
        <x:f>IF(A199="","",E199*F199+G199*H199+I199*J199)</x:f>
      </x:c>
      <x:c r="L199" s="9"/>
      <x:c r="M199" s="9" t="str">
        <x:f>IF(A199="","",INDEX('입고대장'!$M$7:$M$1006,MATCH(A199,'입고대장'!$A$7:$A$1006,0)))</x:f>
      </x:c>
      <x:c r="N199" s="9"/>
    </x:row>
    <x:row r="200" ht="23" customHeight="1">
      <x:c r="A200" s="9"/>
      <x:c r="B200" s="10"/>
      <x:c r="C200" s="11"/>
      <x:c r="D200" s="11"/>
      <x:c r="E200" s="11"/>
      <x:c r="F200" s="11"/>
      <x:c r="G200" s="11"/>
      <x:c r="H200" s="11"/>
      <x:c r="I200" s="11"/>
      <x:c r="J200" s="11"/>
      <x:c r="K200" s="12" t="str">
        <x:f>IF(A200="","",E200*F200+G200*H200+I200*J200)</x:f>
      </x:c>
      <x:c r="L200" s="9"/>
      <x:c r="M200" s="9" t="str">
        <x:f>IF(A200="","",INDEX('입고대장'!$M$7:$M$1006,MATCH(A200,'입고대장'!$A$7:$A$1006,0)))</x:f>
      </x:c>
      <x:c r="N200" s="9"/>
    </x:row>
    <x:row r="201" ht="23" customHeight="1">
      <x:c r="A201" s="9"/>
      <x:c r="B201" s="10"/>
      <x:c r="C201" s="11"/>
      <x:c r="D201" s="11"/>
      <x:c r="E201" s="11"/>
      <x:c r="F201" s="11"/>
      <x:c r="G201" s="11"/>
      <x:c r="H201" s="11"/>
      <x:c r="I201" s="11"/>
      <x:c r="J201" s="11"/>
      <x:c r="K201" s="12" t="str">
        <x:f>IF(A201="","",E201*F201+G201*H201+I201*J201)</x:f>
      </x:c>
      <x:c r="L201" s="9"/>
      <x:c r="M201" s="9" t="str">
        <x:f>IF(A201="","",INDEX('입고대장'!$M$7:$M$1006,MATCH(A201,'입고대장'!$A$7:$A$1006,0)))</x:f>
      </x:c>
      <x:c r="N201" s="9"/>
    </x:row>
    <x:row r="202" ht="23" customHeight="1">
      <x:c r="A202" s="9"/>
      <x:c r="B202" s="10"/>
      <x:c r="C202" s="11"/>
      <x:c r="D202" s="11"/>
      <x:c r="E202" s="11"/>
      <x:c r="F202" s="11"/>
      <x:c r="G202" s="11"/>
      <x:c r="H202" s="11"/>
      <x:c r="I202" s="11"/>
      <x:c r="J202" s="11"/>
      <x:c r="K202" s="12" t="str">
        <x:f>IF(A202="","",E202*F202+G202*H202+I202*J202)</x:f>
      </x:c>
      <x:c r="L202" s="9"/>
      <x:c r="M202" s="9" t="str">
        <x:f>IF(A202="","",INDEX('입고대장'!$M$7:$M$1006,MATCH(A202,'입고대장'!$A$7:$A$1006,0)))</x:f>
      </x:c>
      <x:c r="N202" s="9"/>
    </x:row>
    <x:row r="203" ht="23" customHeight="1">
      <x:c r="A203" s="9"/>
      <x:c r="B203" s="10"/>
      <x:c r="C203" s="11"/>
      <x:c r="D203" s="11"/>
      <x:c r="E203" s="11"/>
      <x:c r="F203" s="11"/>
      <x:c r="G203" s="11"/>
      <x:c r="H203" s="11"/>
      <x:c r="I203" s="11"/>
      <x:c r="J203" s="11"/>
      <x:c r="K203" s="12" t="str">
        <x:f>IF(A203="","",E203*F203+G203*H203+I203*J203)</x:f>
      </x:c>
      <x:c r="L203" s="9"/>
      <x:c r="M203" s="9" t="str">
        <x:f>IF(A203="","",INDEX('입고대장'!$M$7:$M$1006,MATCH(A203,'입고대장'!$A$7:$A$1006,0)))</x:f>
      </x:c>
      <x:c r="N203" s="9"/>
    </x:row>
    <x:row r="204" ht="23" customHeight="1">
      <x:c r="A204" s="9"/>
      <x:c r="B204" s="10"/>
      <x:c r="C204" s="11"/>
      <x:c r="D204" s="11"/>
      <x:c r="E204" s="11"/>
      <x:c r="F204" s="11"/>
      <x:c r="G204" s="11"/>
      <x:c r="H204" s="11"/>
      <x:c r="I204" s="11"/>
      <x:c r="J204" s="11"/>
      <x:c r="K204" s="12" t="str">
        <x:f>IF(A204="","",E204*F204+G204*H204+I204*J204)</x:f>
      </x:c>
      <x:c r="L204" s="9"/>
      <x:c r="M204" s="9" t="str">
        <x:f>IF(A204="","",INDEX('입고대장'!$M$7:$M$1006,MATCH(A204,'입고대장'!$A$7:$A$1006,0)))</x:f>
      </x:c>
      <x:c r="N204" s="9"/>
    </x:row>
    <x:row r="205" ht="23" customHeight="1">
      <x:c r="A205" s="9"/>
      <x:c r="B205" s="10"/>
      <x:c r="C205" s="11"/>
      <x:c r="D205" s="11"/>
      <x:c r="E205" s="11"/>
      <x:c r="F205" s="11"/>
      <x:c r="G205" s="11"/>
      <x:c r="H205" s="11"/>
      <x:c r="I205" s="11"/>
      <x:c r="J205" s="11"/>
      <x:c r="K205" s="12" t="str">
        <x:f>IF(A205="","",E205*F205+G205*H205+I205*J205)</x:f>
      </x:c>
      <x:c r="L205" s="9"/>
      <x:c r="M205" s="9" t="str">
        <x:f>IF(A205="","",INDEX('입고대장'!$M$7:$M$1006,MATCH(A205,'입고대장'!$A$7:$A$1006,0)))</x:f>
      </x:c>
      <x:c r="N205" s="9"/>
    </x:row>
    <x:row r="206" ht="23" customHeight="1">
      <x:c r="A206" s="9"/>
      <x:c r="B206" s="10"/>
      <x:c r="C206" s="11"/>
      <x:c r="D206" s="11"/>
      <x:c r="E206" s="11"/>
      <x:c r="F206" s="11"/>
      <x:c r="G206" s="11"/>
      <x:c r="H206" s="11"/>
      <x:c r="I206" s="11"/>
      <x:c r="J206" s="11"/>
      <x:c r="K206" s="12" t="str">
        <x:f>IF(A206="","",E206*F206+G206*H206+I206*J206)</x:f>
      </x:c>
      <x:c r="L206" s="9"/>
      <x:c r="M206" s="9" t="str">
        <x:f>IF(A206="","",INDEX('입고대장'!$M$7:$M$1006,MATCH(A206,'입고대장'!$A$7:$A$1006,0)))</x:f>
      </x:c>
      <x:c r="N206" s="9"/>
    </x:row>
    <x:row r="207" ht="23" customHeight="1">
      <x:c r="A207" s="9"/>
      <x:c r="B207" s="10"/>
      <x:c r="C207" s="11"/>
      <x:c r="D207" s="11"/>
      <x:c r="E207" s="11"/>
      <x:c r="F207" s="11"/>
      <x:c r="G207" s="11"/>
      <x:c r="H207" s="11"/>
      <x:c r="I207" s="11"/>
      <x:c r="J207" s="11"/>
      <x:c r="K207" s="12" t="str">
        <x:f>IF(A207="","",E207*F207+G207*H207+I207*J207)</x:f>
      </x:c>
      <x:c r="L207" s="9"/>
      <x:c r="M207" s="9" t="str">
        <x:f>IF(A207="","",INDEX('입고대장'!$M$7:$M$1006,MATCH(A207,'입고대장'!$A$7:$A$1006,0)))</x:f>
      </x:c>
      <x:c r="N207" s="9"/>
    </x:row>
    <x:row r="208" ht="23" customHeight="1">
      <x:c r="A208" s="9"/>
      <x:c r="B208" s="10"/>
      <x:c r="C208" s="11"/>
      <x:c r="D208" s="11"/>
      <x:c r="E208" s="11"/>
      <x:c r="F208" s="11"/>
      <x:c r="G208" s="11"/>
      <x:c r="H208" s="11"/>
      <x:c r="I208" s="11"/>
      <x:c r="J208" s="11"/>
      <x:c r="K208" s="12" t="str">
        <x:f>IF(A208="","",E208*F208+G208*H208+I208*J208)</x:f>
      </x:c>
      <x:c r="L208" s="9"/>
      <x:c r="M208" s="9" t="str">
        <x:f>IF(A208="","",INDEX('입고대장'!$M$7:$M$1006,MATCH(A208,'입고대장'!$A$7:$A$1006,0)))</x:f>
      </x:c>
      <x:c r="N208" s="9"/>
    </x:row>
    <x:row r="209" ht="23" customHeight="1">
      <x:c r="A209" s="9"/>
      <x:c r="B209" s="10"/>
      <x:c r="C209" s="11"/>
      <x:c r="D209" s="11"/>
      <x:c r="E209" s="11"/>
      <x:c r="F209" s="11"/>
      <x:c r="G209" s="11"/>
      <x:c r="H209" s="11"/>
      <x:c r="I209" s="11"/>
      <x:c r="J209" s="11"/>
      <x:c r="K209" s="12" t="str">
        <x:f>IF(A209="","",E209*F209+G209*H209+I209*J209)</x:f>
      </x:c>
      <x:c r="L209" s="9"/>
      <x:c r="M209" s="9" t="str">
        <x:f>IF(A209="","",INDEX('입고대장'!$M$7:$M$1006,MATCH(A209,'입고대장'!$A$7:$A$1006,0)))</x:f>
      </x:c>
      <x:c r="N209" s="9"/>
    </x:row>
    <x:row r="210" ht="23" customHeight="1">
      <x:c r="A210" s="9"/>
      <x:c r="B210" s="10"/>
      <x:c r="C210" s="11"/>
      <x:c r="D210" s="11"/>
      <x:c r="E210" s="11"/>
      <x:c r="F210" s="11"/>
      <x:c r="G210" s="11"/>
      <x:c r="H210" s="11"/>
      <x:c r="I210" s="11"/>
      <x:c r="J210" s="11"/>
      <x:c r="K210" s="12" t="str">
        <x:f>IF(A210="","",E210*F210+G210*H210+I210*J210)</x:f>
      </x:c>
      <x:c r="L210" s="9"/>
      <x:c r="M210" s="9" t="str">
        <x:f>IF(A210="","",INDEX('입고대장'!$M$7:$M$1006,MATCH(A210,'입고대장'!$A$7:$A$1006,0)))</x:f>
      </x:c>
      <x:c r="N210" s="9"/>
    </x:row>
    <x:row r="211" ht="23" customHeight="1">
      <x:c r="A211" s="9"/>
      <x:c r="B211" s="10"/>
      <x:c r="C211" s="11"/>
      <x:c r="D211" s="11"/>
      <x:c r="E211" s="11"/>
      <x:c r="F211" s="11"/>
      <x:c r="G211" s="11"/>
      <x:c r="H211" s="11"/>
      <x:c r="I211" s="11"/>
      <x:c r="J211" s="11"/>
      <x:c r="K211" s="12" t="str">
        <x:f>IF(A211="","",E211*F211+G211*H211+I211*J211)</x:f>
      </x:c>
      <x:c r="L211" s="9"/>
      <x:c r="M211" s="9" t="str">
        <x:f>IF(A211="","",INDEX('입고대장'!$M$7:$M$1006,MATCH(A211,'입고대장'!$A$7:$A$1006,0)))</x:f>
      </x:c>
      <x:c r="N211" s="9"/>
    </x:row>
    <x:row r="212" ht="23" customHeight="1">
      <x:c r="A212" s="9"/>
      <x:c r="B212" s="10"/>
      <x:c r="C212" s="11"/>
      <x:c r="D212" s="11"/>
      <x:c r="E212" s="11"/>
      <x:c r="F212" s="11"/>
      <x:c r="G212" s="11"/>
      <x:c r="H212" s="11"/>
      <x:c r="I212" s="11"/>
      <x:c r="J212" s="11"/>
      <x:c r="K212" s="12" t="str">
        <x:f>IF(A212="","",E212*F212+G212*H212+I212*J212)</x:f>
      </x:c>
      <x:c r="L212" s="9"/>
      <x:c r="M212" s="9" t="str">
        <x:f>IF(A212="","",INDEX('입고대장'!$M$7:$M$1006,MATCH(A212,'입고대장'!$A$7:$A$1006,0)))</x:f>
      </x:c>
      <x:c r="N212" s="9"/>
    </x:row>
    <x:row r="213" ht="23" customHeight="1">
      <x:c r="A213" s="9"/>
      <x:c r="B213" s="10"/>
      <x:c r="C213" s="11"/>
      <x:c r="D213" s="11"/>
      <x:c r="E213" s="11"/>
      <x:c r="F213" s="11"/>
      <x:c r="G213" s="11"/>
      <x:c r="H213" s="11"/>
      <x:c r="I213" s="11"/>
      <x:c r="J213" s="11"/>
      <x:c r="K213" s="12" t="str">
        <x:f>IF(A213="","",E213*F213+G213*H213+I213*J213)</x:f>
      </x:c>
      <x:c r="L213" s="9"/>
      <x:c r="M213" s="9" t="str">
        <x:f>IF(A213="","",INDEX('입고대장'!$M$7:$M$1006,MATCH(A213,'입고대장'!$A$7:$A$1006,0)))</x:f>
      </x:c>
      <x:c r="N213" s="9"/>
    </x:row>
    <x:row r="214" ht="23" customHeight="1">
      <x:c r="A214" s="9"/>
      <x:c r="B214" s="10"/>
      <x:c r="C214" s="11"/>
      <x:c r="D214" s="11"/>
      <x:c r="E214" s="11"/>
      <x:c r="F214" s="11"/>
      <x:c r="G214" s="11"/>
      <x:c r="H214" s="11"/>
      <x:c r="I214" s="11"/>
      <x:c r="J214" s="11"/>
      <x:c r="K214" s="12" t="str">
        <x:f>IF(A214="","",E214*F214+G214*H214+I214*J214)</x:f>
      </x:c>
      <x:c r="L214" s="9"/>
      <x:c r="M214" s="9" t="str">
        <x:f>IF(A214="","",INDEX('입고대장'!$M$7:$M$1006,MATCH(A214,'입고대장'!$A$7:$A$1006,0)))</x:f>
      </x:c>
      <x:c r="N214" s="9"/>
    </x:row>
    <x:row r="215" ht="23" customHeight="1">
      <x:c r="A215" s="9"/>
      <x:c r="B215" s="10"/>
      <x:c r="C215" s="11"/>
      <x:c r="D215" s="11"/>
      <x:c r="E215" s="11"/>
      <x:c r="F215" s="11"/>
      <x:c r="G215" s="11"/>
      <x:c r="H215" s="11"/>
      <x:c r="I215" s="11"/>
      <x:c r="J215" s="11"/>
      <x:c r="K215" s="12" t="str">
        <x:f>IF(A215="","",E215*F215+G215*H215+I215*J215)</x:f>
      </x:c>
      <x:c r="L215" s="9"/>
      <x:c r="M215" s="9" t="str">
        <x:f>IF(A215="","",INDEX('입고대장'!$M$7:$M$1006,MATCH(A215,'입고대장'!$A$7:$A$1006,0)))</x:f>
      </x:c>
      <x:c r="N215" s="9"/>
    </x:row>
    <x:row r="216" ht="23" customHeight="1">
      <x:c r="A216" s="9"/>
      <x:c r="B216" s="10"/>
      <x:c r="C216" s="11"/>
      <x:c r="D216" s="11"/>
      <x:c r="E216" s="11"/>
      <x:c r="F216" s="11"/>
      <x:c r="G216" s="11"/>
      <x:c r="H216" s="11"/>
      <x:c r="I216" s="11"/>
      <x:c r="J216" s="11"/>
      <x:c r="K216" s="12" t="str">
        <x:f>IF(A216="","",E216*F216+G216*H216+I216*J216)</x:f>
      </x:c>
      <x:c r="L216" s="9"/>
      <x:c r="M216" s="9" t="str">
        <x:f>IF(A216="","",INDEX('입고대장'!$M$7:$M$1006,MATCH(A216,'입고대장'!$A$7:$A$1006,0)))</x:f>
      </x:c>
      <x:c r="N216" s="9"/>
    </x:row>
    <x:row r="217" ht="23" customHeight="1">
      <x:c r="A217" s="9"/>
      <x:c r="B217" s="10"/>
      <x:c r="C217" s="11"/>
      <x:c r="D217" s="11"/>
      <x:c r="E217" s="11"/>
      <x:c r="F217" s="11"/>
      <x:c r="G217" s="11"/>
      <x:c r="H217" s="11"/>
      <x:c r="I217" s="11"/>
      <x:c r="J217" s="11"/>
      <x:c r="K217" s="12" t="str">
        <x:f>IF(A217="","",E217*F217+G217*H217+I217*J217)</x:f>
      </x:c>
      <x:c r="L217" s="9"/>
      <x:c r="M217" s="9" t="str">
        <x:f>IF(A217="","",INDEX('입고대장'!$M$7:$M$1006,MATCH(A217,'입고대장'!$A$7:$A$1006,0)))</x:f>
      </x:c>
      <x:c r="N217" s="9"/>
    </x:row>
    <x:row r="218" ht="23" customHeight="1">
      <x:c r="A218" s="9"/>
      <x:c r="B218" s="10"/>
      <x:c r="C218" s="11"/>
      <x:c r="D218" s="11"/>
      <x:c r="E218" s="11"/>
      <x:c r="F218" s="11"/>
      <x:c r="G218" s="11"/>
      <x:c r="H218" s="11"/>
      <x:c r="I218" s="11"/>
      <x:c r="J218" s="11"/>
      <x:c r="K218" s="12" t="str">
        <x:f>IF(A218="","",E218*F218+G218*H218+I218*J218)</x:f>
      </x:c>
      <x:c r="L218" s="9"/>
      <x:c r="M218" s="9" t="str">
        <x:f>IF(A218="","",INDEX('입고대장'!$M$7:$M$1006,MATCH(A218,'입고대장'!$A$7:$A$1006,0)))</x:f>
      </x:c>
      <x:c r="N218" s="9"/>
    </x:row>
    <x:row r="219" ht="23" customHeight="1">
      <x:c r="A219" s="9"/>
      <x:c r="B219" s="10"/>
      <x:c r="C219" s="11"/>
      <x:c r="D219" s="11"/>
      <x:c r="E219" s="11"/>
      <x:c r="F219" s="11"/>
      <x:c r="G219" s="11"/>
      <x:c r="H219" s="11"/>
      <x:c r="I219" s="11"/>
      <x:c r="J219" s="11"/>
      <x:c r="K219" s="12" t="str">
        <x:f>IF(A219="","",E219*F219+G219*H219+I219*J219)</x:f>
      </x:c>
      <x:c r="L219" s="9"/>
      <x:c r="M219" s="9" t="str">
        <x:f>IF(A219="","",INDEX('입고대장'!$M$7:$M$1006,MATCH(A219,'입고대장'!$A$7:$A$1006,0)))</x:f>
      </x:c>
      <x:c r="N219" s="9"/>
    </x:row>
    <x:row r="220" ht="23" customHeight="1">
      <x:c r="A220" s="9"/>
      <x:c r="B220" s="10"/>
      <x:c r="C220" s="11"/>
      <x:c r="D220" s="11"/>
      <x:c r="E220" s="11"/>
      <x:c r="F220" s="11"/>
      <x:c r="G220" s="11"/>
      <x:c r="H220" s="11"/>
      <x:c r="I220" s="11"/>
      <x:c r="J220" s="11"/>
      <x:c r="K220" s="12" t="str">
        <x:f>IF(A220="","",E220*F220+G220*H220+I220*J220)</x:f>
      </x:c>
      <x:c r="L220" s="9"/>
      <x:c r="M220" s="9" t="str">
        <x:f>IF(A220="","",INDEX('입고대장'!$M$7:$M$1006,MATCH(A220,'입고대장'!$A$7:$A$1006,0)))</x:f>
      </x:c>
      <x:c r="N220" s="9"/>
    </x:row>
    <x:row r="221" ht="23" customHeight="1">
      <x:c r="A221" s="9"/>
      <x:c r="B221" s="10"/>
      <x:c r="C221" s="11"/>
      <x:c r="D221" s="11"/>
      <x:c r="E221" s="11"/>
      <x:c r="F221" s="11"/>
      <x:c r="G221" s="11"/>
      <x:c r="H221" s="11"/>
      <x:c r="I221" s="11"/>
      <x:c r="J221" s="11"/>
      <x:c r="K221" s="12" t="str">
        <x:f>IF(A221="","",E221*F221+G221*H221+I221*J221)</x:f>
      </x:c>
      <x:c r="L221" s="9"/>
      <x:c r="M221" s="9" t="str">
        <x:f>IF(A221="","",INDEX('입고대장'!$M$7:$M$1006,MATCH(A221,'입고대장'!$A$7:$A$1006,0)))</x:f>
      </x:c>
      <x:c r="N221" s="9"/>
    </x:row>
    <x:row r="222" ht="23" customHeight="1">
      <x:c r="A222" s="9"/>
      <x:c r="B222" s="10"/>
      <x:c r="C222" s="11"/>
      <x:c r="D222" s="11"/>
      <x:c r="E222" s="11"/>
      <x:c r="F222" s="11"/>
      <x:c r="G222" s="11"/>
      <x:c r="H222" s="11"/>
      <x:c r="I222" s="11"/>
      <x:c r="J222" s="11"/>
      <x:c r="K222" s="12" t="str">
        <x:f>IF(A222="","",E222*F222+G222*H222+I222*J222)</x:f>
      </x:c>
      <x:c r="L222" s="9"/>
      <x:c r="M222" s="9" t="str">
        <x:f>IF(A222="","",INDEX('입고대장'!$M$7:$M$1006,MATCH(A222,'입고대장'!$A$7:$A$1006,0)))</x:f>
      </x:c>
      <x:c r="N222" s="9"/>
    </x:row>
    <x:row r="223" ht="23" customHeight="1">
      <x:c r="A223" s="9"/>
      <x:c r="B223" s="10"/>
      <x:c r="C223" s="11"/>
      <x:c r="D223" s="11"/>
      <x:c r="E223" s="11"/>
      <x:c r="F223" s="11"/>
      <x:c r="G223" s="11"/>
      <x:c r="H223" s="11"/>
      <x:c r="I223" s="11"/>
      <x:c r="J223" s="11"/>
      <x:c r="K223" s="12" t="str">
        <x:f>IF(A223="","",E223*F223+G223*H223+I223*J223)</x:f>
      </x:c>
      <x:c r="L223" s="9"/>
      <x:c r="M223" s="9" t="str">
        <x:f>IF(A223="","",INDEX('입고대장'!$M$7:$M$1006,MATCH(A223,'입고대장'!$A$7:$A$1006,0)))</x:f>
      </x:c>
      <x:c r="N223" s="9"/>
    </x:row>
    <x:row r="224" ht="23" customHeight="1">
      <x:c r="A224" s="9"/>
      <x:c r="B224" s="10"/>
      <x:c r="C224" s="11"/>
      <x:c r="D224" s="11"/>
      <x:c r="E224" s="11"/>
      <x:c r="F224" s="11"/>
      <x:c r="G224" s="11"/>
      <x:c r="H224" s="11"/>
      <x:c r="I224" s="11"/>
      <x:c r="J224" s="11"/>
      <x:c r="K224" s="12" t="str">
        <x:f>IF(A224="","",E224*F224+G224*H224+I224*J224)</x:f>
      </x:c>
      <x:c r="L224" s="9"/>
      <x:c r="M224" s="9" t="str">
        <x:f>IF(A224="","",INDEX('입고대장'!$M$7:$M$1006,MATCH(A224,'입고대장'!$A$7:$A$1006,0)))</x:f>
      </x:c>
      <x:c r="N224" s="9"/>
    </x:row>
    <x:row r="225" ht="23" customHeight="1">
      <x:c r="A225" s="9"/>
      <x:c r="B225" s="10"/>
      <x:c r="C225" s="11"/>
      <x:c r="D225" s="11"/>
      <x:c r="E225" s="11"/>
      <x:c r="F225" s="11"/>
      <x:c r="G225" s="11"/>
      <x:c r="H225" s="11"/>
      <x:c r="I225" s="11"/>
      <x:c r="J225" s="11"/>
      <x:c r="K225" s="12" t="str">
        <x:f>IF(A225="","",E225*F225+G225*H225+I225*J225)</x:f>
      </x:c>
      <x:c r="L225" s="9"/>
      <x:c r="M225" s="9" t="str">
        <x:f>IF(A225="","",INDEX('입고대장'!$M$7:$M$1006,MATCH(A225,'입고대장'!$A$7:$A$1006,0)))</x:f>
      </x:c>
      <x:c r="N225" s="9"/>
    </x:row>
    <x:row r="226" ht="23" customHeight="1">
      <x:c r="A226" s="9"/>
      <x:c r="B226" s="10"/>
      <x:c r="C226" s="11"/>
      <x:c r="D226" s="11"/>
      <x:c r="E226" s="11"/>
      <x:c r="F226" s="11"/>
      <x:c r="G226" s="11"/>
      <x:c r="H226" s="11"/>
      <x:c r="I226" s="11"/>
      <x:c r="J226" s="11"/>
      <x:c r="K226" s="12" t="str">
        <x:f>IF(A226="","",E226*F226+G226*H226+I226*J226)</x:f>
      </x:c>
      <x:c r="L226" s="9"/>
      <x:c r="M226" s="9" t="str">
        <x:f>IF(A226="","",INDEX('입고대장'!$M$7:$M$1006,MATCH(A226,'입고대장'!$A$7:$A$1006,0)))</x:f>
      </x:c>
      <x:c r="N226" s="9"/>
    </x:row>
    <x:row r="227" ht="23" customHeight="1">
      <x:c r="A227" s="9"/>
      <x:c r="B227" s="10"/>
      <x:c r="C227" s="11"/>
      <x:c r="D227" s="11"/>
      <x:c r="E227" s="11"/>
      <x:c r="F227" s="11"/>
      <x:c r="G227" s="11"/>
      <x:c r="H227" s="11"/>
      <x:c r="I227" s="11"/>
      <x:c r="J227" s="11"/>
      <x:c r="K227" s="12" t="str">
        <x:f>IF(A227="","",E227*F227+G227*H227+I227*J227)</x:f>
      </x:c>
      <x:c r="L227" s="9"/>
      <x:c r="M227" s="9" t="str">
        <x:f>IF(A227="","",INDEX('입고대장'!$M$7:$M$1006,MATCH(A227,'입고대장'!$A$7:$A$1006,0)))</x:f>
      </x:c>
      <x:c r="N227" s="9"/>
    </x:row>
    <x:row r="228" ht="23" customHeight="1">
      <x:c r="A228" s="9"/>
      <x:c r="B228" s="10"/>
      <x:c r="C228" s="11"/>
      <x:c r="D228" s="11"/>
      <x:c r="E228" s="11"/>
      <x:c r="F228" s="11"/>
      <x:c r="G228" s="11"/>
      <x:c r="H228" s="11"/>
      <x:c r="I228" s="11"/>
      <x:c r="J228" s="11"/>
      <x:c r="K228" s="12" t="str">
        <x:f>IF(A228="","",E228*F228+G228*H228+I228*J228)</x:f>
      </x:c>
      <x:c r="L228" s="9"/>
      <x:c r="M228" s="9" t="str">
        <x:f>IF(A228="","",INDEX('입고대장'!$M$7:$M$1006,MATCH(A228,'입고대장'!$A$7:$A$1006,0)))</x:f>
      </x:c>
      <x:c r="N228" s="9"/>
    </x:row>
    <x:row r="229" ht="23" customHeight="1">
      <x:c r="A229" s="9"/>
      <x:c r="B229" s="10"/>
      <x:c r="C229" s="11"/>
      <x:c r="D229" s="11"/>
      <x:c r="E229" s="11"/>
      <x:c r="F229" s="11"/>
      <x:c r="G229" s="11"/>
      <x:c r="H229" s="11"/>
      <x:c r="I229" s="11"/>
      <x:c r="J229" s="11"/>
      <x:c r="K229" s="12" t="str">
        <x:f>IF(A229="","",E229*F229+G229*H229+I229*J229)</x:f>
      </x:c>
      <x:c r="L229" s="9"/>
      <x:c r="M229" s="9" t="str">
        <x:f>IF(A229="","",INDEX('입고대장'!$M$7:$M$1006,MATCH(A229,'입고대장'!$A$7:$A$1006,0)))</x:f>
      </x:c>
      <x:c r="N229" s="9"/>
    </x:row>
    <x:row r="230" ht="23" customHeight="1">
      <x:c r="A230" s="9"/>
      <x:c r="B230" s="10"/>
      <x:c r="C230" s="11"/>
      <x:c r="D230" s="11"/>
      <x:c r="E230" s="11"/>
      <x:c r="F230" s="11"/>
      <x:c r="G230" s="11"/>
      <x:c r="H230" s="11"/>
      <x:c r="I230" s="11"/>
      <x:c r="J230" s="11"/>
      <x:c r="K230" s="12" t="str">
        <x:f>IF(A230="","",E230*F230+G230*H230+I230*J230)</x:f>
      </x:c>
      <x:c r="L230" s="9"/>
      <x:c r="M230" s="9" t="str">
        <x:f>IF(A230="","",INDEX('입고대장'!$M$7:$M$1006,MATCH(A230,'입고대장'!$A$7:$A$1006,0)))</x:f>
      </x:c>
      <x:c r="N230" s="9"/>
    </x:row>
    <x:row r="231" ht="23" customHeight="1">
      <x:c r="A231" s="9"/>
      <x:c r="B231" s="10"/>
      <x:c r="C231" s="11"/>
      <x:c r="D231" s="11"/>
      <x:c r="E231" s="11"/>
      <x:c r="F231" s="11"/>
      <x:c r="G231" s="11"/>
      <x:c r="H231" s="11"/>
      <x:c r="I231" s="11"/>
      <x:c r="J231" s="11"/>
      <x:c r="K231" s="12" t="str">
        <x:f>IF(A231="","",E231*F231+G231*H231+I231*J231)</x:f>
      </x:c>
      <x:c r="L231" s="9"/>
      <x:c r="M231" s="9" t="str">
        <x:f>IF(A231="","",INDEX('입고대장'!$M$7:$M$1006,MATCH(A231,'입고대장'!$A$7:$A$1006,0)))</x:f>
      </x:c>
      <x:c r="N231" s="9"/>
    </x:row>
    <x:row r="232" ht="23" customHeight="1">
      <x:c r="A232" s="9"/>
      <x:c r="B232" s="10"/>
      <x:c r="C232" s="11"/>
      <x:c r="D232" s="11"/>
      <x:c r="E232" s="11"/>
      <x:c r="F232" s="11"/>
      <x:c r="G232" s="11"/>
      <x:c r="H232" s="11"/>
      <x:c r="I232" s="11"/>
      <x:c r="J232" s="11"/>
      <x:c r="K232" s="12" t="str">
        <x:f>IF(A232="","",E232*F232+G232*H232+I232*J232)</x:f>
      </x:c>
      <x:c r="L232" s="9"/>
      <x:c r="M232" s="9" t="str">
        <x:f>IF(A232="","",INDEX('입고대장'!$M$7:$M$1006,MATCH(A232,'입고대장'!$A$7:$A$1006,0)))</x:f>
      </x:c>
      <x:c r="N232" s="9"/>
    </x:row>
    <x:row r="233" ht="23" customHeight="1">
      <x:c r="A233" s="9"/>
      <x:c r="B233" s="10"/>
      <x:c r="C233" s="11"/>
      <x:c r="D233" s="11"/>
      <x:c r="E233" s="11"/>
      <x:c r="F233" s="11"/>
      <x:c r="G233" s="11"/>
      <x:c r="H233" s="11"/>
      <x:c r="I233" s="11"/>
      <x:c r="J233" s="11"/>
      <x:c r="K233" s="12" t="str">
        <x:f>IF(A233="","",E233*F233+G233*H233+I233*J233)</x:f>
      </x:c>
      <x:c r="L233" s="9"/>
      <x:c r="M233" s="9" t="str">
        <x:f>IF(A233="","",INDEX('입고대장'!$M$7:$M$1006,MATCH(A233,'입고대장'!$A$7:$A$1006,0)))</x:f>
      </x:c>
      <x:c r="N233" s="9"/>
    </x:row>
    <x:row r="234" ht="23" customHeight="1">
      <x:c r="A234" s="9"/>
      <x:c r="B234" s="10"/>
      <x:c r="C234" s="11"/>
      <x:c r="D234" s="11"/>
      <x:c r="E234" s="11"/>
      <x:c r="F234" s="11"/>
      <x:c r="G234" s="11"/>
      <x:c r="H234" s="11"/>
      <x:c r="I234" s="11"/>
      <x:c r="J234" s="11"/>
      <x:c r="K234" s="12" t="str">
        <x:f>IF(A234="","",E234*F234+G234*H234+I234*J234)</x:f>
      </x:c>
      <x:c r="L234" s="9"/>
      <x:c r="M234" s="9" t="str">
        <x:f>IF(A234="","",INDEX('입고대장'!$M$7:$M$1006,MATCH(A234,'입고대장'!$A$7:$A$1006,0)))</x:f>
      </x:c>
      <x:c r="N234" s="9"/>
    </x:row>
    <x:row r="235" ht="23" customHeight="1">
      <x:c r="A235" s="9"/>
      <x:c r="B235" s="10"/>
      <x:c r="C235" s="11"/>
      <x:c r="D235" s="11"/>
      <x:c r="E235" s="11"/>
      <x:c r="F235" s="11"/>
      <x:c r="G235" s="11"/>
      <x:c r="H235" s="11"/>
      <x:c r="I235" s="11"/>
      <x:c r="J235" s="11"/>
      <x:c r="K235" s="12" t="str">
        <x:f>IF(A235="","",E235*F235+G235*H235+I235*J235)</x:f>
      </x:c>
      <x:c r="L235" s="9"/>
      <x:c r="M235" s="9" t="str">
        <x:f>IF(A235="","",INDEX('입고대장'!$M$7:$M$1006,MATCH(A235,'입고대장'!$A$7:$A$1006,0)))</x:f>
      </x:c>
      <x:c r="N235" s="9"/>
    </x:row>
    <x:row r="236" ht="23" customHeight="1">
      <x:c r="A236" s="9"/>
      <x:c r="B236" s="10"/>
      <x:c r="C236" s="11"/>
      <x:c r="D236" s="11"/>
      <x:c r="E236" s="11"/>
      <x:c r="F236" s="11"/>
      <x:c r="G236" s="11"/>
      <x:c r="H236" s="11"/>
      <x:c r="I236" s="11"/>
      <x:c r="J236" s="11"/>
      <x:c r="K236" s="12" t="str">
        <x:f>IF(A236="","",E236*F236+G236*H236+I236*J236)</x:f>
      </x:c>
      <x:c r="L236" s="9"/>
      <x:c r="M236" s="9" t="str">
        <x:f>IF(A236="","",INDEX('입고대장'!$M$7:$M$1006,MATCH(A236,'입고대장'!$A$7:$A$1006,0)))</x:f>
      </x:c>
      <x:c r="N236" s="9"/>
    </x:row>
    <x:row r="237" ht="23" customHeight="1">
      <x:c r="A237" s="9"/>
      <x:c r="B237" s="10"/>
      <x:c r="C237" s="11"/>
      <x:c r="D237" s="11"/>
      <x:c r="E237" s="11"/>
      <x:c r="F237" s="11"/>
      <x:c r="G237" s="11"/>
      <x:c r="H237" s="11"/>
      <x:c r="I237" s="11"/>
      <x:c r="J237" s="11"/>
      <x:c r="K237" s="12" t="str">
        <x:f>IF(A237="","",E237*F237+G237*H237+I237*J237)</x:f>
      </x:c>
      <x:c r="L237" s="9"/>
      <x:c r="M237" s="9" t="str">
        <x:f>IF(A237="","",INDEX('입고대장'!$M$7:$M$1006,MATCH(A237,'입고대장'!$A$7:$A$1006,0)))</x:f>
      </x:c>
      <x:c r="N237" s="9"/>
    </x:row>
    <x:row r="238" ht="23" customHeight="1">
      <x:c r="A238" s="9"/>
      <x:c r="B238" s="10"/>
      <x:c r="C238" s="11"/>
      <x:c r="D238" s="11"/>
      <x:c r="E238" s="11"/>
      <x:c r="F238" s="11"/>
      <x:c r="G238" s="11"/>
      <x:c r="H238" s="11"/>
      <x:c r="I238" s="11"/>
      <x:c r="J238" s="11"/>
      <x:c r="K238" s="12" t="str">
        <x:f>IF(A238="","",E238*F238+G238*H238+I238*J238)</x:f>
      </x:c>
      <x:c r="L238" s="9"/>
      <x:c r="M238" s="9" t="str">
        <x:f>IF(A238="","",INDEX('입고대장'!$M$7:$M$1006,MATCH(A238,'입고대장'!$A$7:$A$1006,0)))</x:f>
      </x:c>
      <x:c r="N238" s="9"/>
    </x:row>
    <x:row r="239" ht="23" customHeight="1">
      <x:c r="A239" s="9"/>
      <x:c r="B239" s="10"/>
      <x:c r="C239" s="11"/>
      <x:c r="D239" s="11"/>
      <x:c r="E239" s="11"/>
      <x:c r="F239" s="11"/>
      <x:c r="G239" s="11"/>
      <x:c r="H239" s="11"/>
      <x:c r="I239" s="11"/>
      <x:c r="J239" s="11"/>
      <x:c r="K239" s="12" t="str">
        <x:f>IF(A239="","",E239*F239+G239*H239+I239*J239)</x:f>
      </x:c>
      <x:c r="L239" s="9"/>
      <x:c r="M239" s="9" t="str">
        <x:f>IF(A239="","",INDEX('입고대장'!$M$7:$M$1006,MATCH(A239,'입고대장'!$A$7:$A$1006,0)))</x:f>
      </x:c>
      <x:c r="N239" s="9"/>
    </x:row>
    <x:row r="240" ht="23" customHeight="1">
      <x:c r="A240" s="9"/>
      <x:c r="B240" s="10"/>
      <x:c r="C240" s="11"/>
      <x:c r="D240" s="11"/>
      <x:c r="E240" s="11"/>
      <x:c r="F240" s="11"/>
      <x:c r="G240" s="11"/>
      <x:c r="H240" s="11"/>
      <x:c r="I240" s="11"/>
      <x:c r="J240" s="11"/>
      <x:c r="K240" s="12" t="str">
        <x:f>IF(A240="","",E240*F240+G240*H240+I240*J240)</x:f>
      </x:c>
      <x:c r="L240" s="9"/>
      <x:c r="M240" s="9" t="str">
        <x:f>IF(A240="","",INDEX('입고대장'!$M$7:$M$1006,MATCH(A240,'입고대장'!$A$7:$A$1006,0)))</x:f>
      </x:c>
      <x:c r="N240" s="9"/>
    </x:row>
    <x:row r="241" ht="23" customHeight="1">
      <x:c r="A241" s="9"/>
      <x:c r="B241" s="10"/>
      <x:c r="C241" s="11"/>
      <x:c r="D241" s="11"/>
      <x:c r="E241" s="11"/>
      <x:c r="F241" s="11"/>
      <x:c r="G241" s="11"/>
      <x:c r="H241" s="11"/>
      <x:c r="I241" s="11"/>
      <x:c r="J241" s="11"/>
      <x:c r="K241" s="12" t="str">
        <x:f>IF(A241="","",E241*F241+G241*H241+I241*J241)</x:f>
      </x:c>
      <x:c r="L241" s="9"/>
      <x:c r="M241" s="9" t="str">
        <x:f>IF(A241="","",INDEX('입고대장'!$M$7:$M$1006,MATCH(A241,'입고대장'!$A$7:$A$1006,0)))</x:f>
      </x:c>
      <x:c r="N241" s="9"/>
    </x:row>
    <x:row r="242" ht="23" customHeight="1">
      <x:c r="A242" s="9"/>
      <x:c r="B242" s="10"/>
      <x:c r="C242" s="11"/>
      <x:c r="D242" s="11"/>
      <x:c r="E242" s="11"/>
      <x:c r="F242" s="11"/>
      <x:c r="G242" s="11"/>
      <x:c r="H242" s="11"/>
      <x:c r="I242" s="11"/>
      <x:c r="J242" s="11"/>
      <x:c r="K242" s="12" t="str">
        <x:f>IF(A242="","",E242*F242+G242*H242+I242*J242)</x:f>
      </x:c>
      <x:c r="L242" s="9"/>
      <x:c r="M242" s="9" t="str">
        <x:f>IF(A242="","",INDEX('입고대장'!$M$7:$M$1006,MATCH(A242,'입고대장'!$A$7:$A$1006,0)))</x:f>
      </x:c>
      <x:c r="N242" s="9"/>
    </x:row>
    <x:row r="243" ht="23" customHeight="1">
      <x:c r="A243" s="9"/>
      <x:c r="B243" s="10"/>
      <x:c r="C243" s="11"/>
      <x:c r="D243" s="11"/>
      <x:c r="E243" s="11"/>
      <x:c r="F243" s="11"/>
      <x:c r="G243" s="11"/>
      <x:c r="H243" s="11"/>
      <x:c r="I243" s="11"/>
      <x:c r="J243" s="11"/>
      <x:c r="K243" s="12" t="str">
        <x:f>IF(A243="","",E243*F243+G243*H243+I243*J243)</x:f>
      </x:c>
      <x:c r="L243" s="9"/>
      <x:c r="M243" s="9" t="str">
        <x:f>IF(A243="","",INDEX('입고대장'!$M$7:$M$1006,MATCH(A243,'입고대장'!$A$7:$A$1006,0)))</x:f>
      </x:c>
      <x:c r="N243" s="9"/>
    </x:row>
    <x:row r="244" ht="23" customHeight="1">
      <x:c r="A244" s="9"/>
      <x:c r="B244" s="10"/>
      <x:c r="C244" s="11"/>
      <x:c r="D244" s="11"/>
      <x:c r="E244" s="11"/>
      <x:c r="F244" s="11"/>
      <x:c r="G244" s="11"/>
      <x:c r="H244" s="11"/>
      <x:c r="I244" s="11"/>
      <x:c r="J244" s="11"/>
      <x:c r="K244" s="12" t="str">
        <x:f>IF(A244="","",E244*F244+G244*H244+I244*J244)</x:f>
      </x:c>
      <x:c r="L244" s="9"/>
      <x:c r="M244" s="9" t="str">
        <x:f>IF(A244="","",INDEX('입고대장'!$M$7:$M$1006,MATCH(A244,'입고대장'!$A$7:$A$1006,0)))</x:f>
      </x:c>
      <x:c r="N244" s="9"/>
    </x:row>
    <x:row r="245" ht="23" customHeight="1">
      <x:c r="A245" s="9"/>
      <x:c r="B245" s="10"/>
      <x:c r="C245" s="11"/>
      <x:c r="D245" s="11"/>
      <x:c r="E245" s="11"/>
      <x:c r="F245" s="11"/>
      <x:c r="G245" s="11"/>
      <x:c r="H245" s="11"/>
      <x:c r="I245" s="11"/>
      <x:c r="J245" s="11"/>
      <x:c r="K245" s="12" t="str">
        <x:f>IF(A245="","",E245*F245+G245*H245+I245*J245)</x:f>
      </x:c>
      <x:c r="L245" s="9"/>
      <x:c r="M245" s="9" t="str">
        <x:f>IF(A245="","",INDEX('입고대장'!$M$7:$M$1006,MATCH(A245,'입고대장'!$A$7:$A$1006,0)))</x:f>
      </x:c>
      <x:c r="N245" s="9"/>
    </x:row>
    <x:row r="246" ht="23" customHeight="1">
      <x:c r="A246" s="9"/>
      <x:c r="B246" s="10"/>
      <x:c r="C246" s="11"/>
      <x:c r="D246" s="11"/>
      <x:c r="E246" s="11"/>
      <x:c r="F246" s="11"/>
      <x:c r="G246" s="11"/>
      <x:c r="H246" s="11"/>
      <x:c r="I246" s="11"/>
      <x:c r="J246" s="11"/>
      <x:c r="K246" s="12" t="str">
        <x:f>IF(A246="","",E246*F246+G246*H246+I246*J246)</x:f>
      </x:c>
      <x:c r="L246" s="9"/>
      <x:c r="M246" s="9" t="str">
        <x:f>IF(A246="","",INDEX('입고대장'!$M$7:$M$1006,MATCH(A246,'입고대장'!$A$7:$A$1006,0)))</x:f>
      </x:c>
      <x:c r="N246" s="9"/>
    </x:row>
    <x:row r="247" ht="23" customHeight="1">
      <x:c r="A247" s="9"/>
      <x:c r="B247" s="10"/>
      <x:c r="C247" s="11"/>
      <x:c r="D247" s="11"/>
      <x:c r="E247" s="11"/>
      <x:c r="F247" s="11"/>
      <x:c r="G247" s="11"/>
      <x:c r="H247" s="11"/>
      <x:c r="I247" s="11"/>
      <x:c r="J247" s="11"/>
      <x:c r="K247" s="12" t="str">
        <x:f>IF(A247="","",E247*F247+G247*H247+I247*J247)</x:f>
      </x:c>
      <x:c r="L247" s="9"/>
      <x:c r="M247" s="9" t="str">
        <x:f>IF(A247="","",INDEX('입고대장'!$M$7:$M$1006,MATCH(A247,'입고대장'!$A$7:$A$1006,0)))</x:f>
      </x:c>
      <x:c r="N247" s="9"/>
    </x:row>
    <x:row r="248" ht="23" customHeight="1">
      <x:c r="A248" s="9"/>
      <x:c r="B248" s="10"/>
      <x:c r="C248" s="11"/>
      <x:c r="D248" s="11"/>
      <x:c r="E248" s="11"/>
      <x:c r="F248" s="11"/>
      <x:c r="G248" s="11"/>
      <x:c r="H248" s="11"/>
      <x:c r="I248" s="11"/>
      <x:c r="J248" s="11"/>
      <x:c r="K248" s="12" t="str">
        <x:f>IF(A248="","",E248*F248+G248*H248+I248*J248)</x:f>
      </x:c>
      <x:c r="L248" s="9"/>
      <x:c r="M248" s="9" t="str">
        <x:f>IF(A248="","",INDEX('입고대장'!$M$7:$M$1006,MATCH(A248,'입고대장'!$A$7:$A$1006,0)))</x:f>
      </x:c>
      <x:c r="N248" s="9"/>
    </x:row>
    <x:row r="249" ht="23" customHeight="1">
      <x:c r="A249" s="9"/>
      <x:c r="B249" s="10"/>
      <x:c r="C249" s="11"/>
      <x:c r="D249" s="11"/>
      <x:c r="E249" s="11"/>
      <x:c r="F249" s="11"/>
      <x:c r="G249" s="11"/>
      <x:c r="H249" s="11"/>
      <x:c r="I249" s="11"/>
      <x:c r="J249" s="11"/>
      <x:c r="K249" s="12" t="str">
        <x:f>IF(A249="","",E249*F249+G249*H249+I249*J249)</x:f>
      </x:c>
      <x:c r="L249" s="9"/>
      <x:c r="M249" s="9" t="str">
        <x:f>IF(A249="","",INDEX('입고대장'!$M$7:$M$1006,MATCH(A249,'입고대장'!$A$7:$A$1006,0)))</x:f>
      </x:c>
      <x:c r="N249" s="9"/>
    </x:row>
    <x:row r="250" ht="23" customHeight="1">
      <x:c r="A250" s="9"/>
      <x:c r="B250" s="10"/>
      <x:c r="C250" s="11"/>
      <x:c r="D250" s="11"/>
      <x:c r="E250" s="11"/>
      <x:c r="F250" s="11"/>
      <x:c r="G250" s="11"/>
      <x:c r="H250" s="11"/>
      <x:c r="I250" s="11"/>
      <x:c r="J250" s="11"/>
      <x:c r="K250" s="12" t="str">
        <x:f>IF(A250="","",E250*F250+G250*H250+I250*J250)</x:f>
      </x:c>
      <x:c r="L250" s="9"/>
      <x:c r="M250" s="9" t="str">
        <x:f>IF(A250="","",INDEX('입고대장'!$M$7:$M$1006,MATCH(A250,'입고대장'!$A$7:$A$1006,0)))</x:f>
      </x:c>
      <x:c r="N250" s="9"/>
    </x:row>
    <x:row r="251" ht="23" customHeight="1">
      <x:c r="A251" s="9"/>
      <x:c r="B251" s="10"/>
      <x:c r="C251" s="11"/>
      <x:c r="D251" s="11"/>
      <x:c r="E251" s="11"/>
      <x:c r="F251" s="11"/>
      <x:c r="G251" s="11"/>
      <x:c r="H251" s="11"/>
      <x:c r="I251" s="11"/>
      <x:c r="J251" s="11"/>
      <x:c r="K251" s="12" t="str">
        <x:f>IF(A251="","",E251*F251+G251*H251+I251*J251)</x:f>
      </x:c>
      <x:c r="L251" s="9"/>
      <x:c r="M251" s="9" t="str">
        <x:f>IF(A251="","",INDEX('입고대장'!$M$7:$M$1006,MATCH(A251,'입고대장'!$A$7:$A$1006,0)))</x:f>
      </x:c>
      <x:c r="N251" s="9"/>
    </x:row>
    <x:row r="252" ht="23" customHeight="1">
      <x:c r="A252" s="9"/>
      <x:c r="B252" s="10"/>
      <x:c r="C252" s="11"/>
      <x:c r="D252" s="11"/>
      <x:c r="E252" s="11"/>
      <x:c r="F252" s="11"/>
      <x:c r="G252" s="11"/>
      <x:c r="H252" s="11"/>
      <x:c r="I252" s="11"/>
      <x:c r="J252" s="11"/>
      <x:c r="K252" s="12" t="str">
        <x:f>IF(A252="","",E252*F252+G252*H252+I252*J252)</x:f>
      </x:c>
      <x:c r="L252" s="9"/>
      <x:c r="M252" s="9" t="str">
        <x:f>IF(A252="","",INDEX('입고대장'!$M$7:$M$1006,MATCH(A252,'입고대장'!$A$7:$A$1006,0)))</x:f>
      </x:c>
      <x:c r="N252" s="9"/>
    </x:row>
    <x:row r="253" ht="23" customHeight="1">
      <x:c r="A253" s="9"/>
      <x:c r="B253" s="10"/>
      <x:c r="C253" s="11"/>
      <x:c r="D253" s="11"/>
      <x:c r="E253" s="11"/>
      <x:c r="F253" s="11"/>
      <x:c r="G253" s="11"/>
      <x:c r="H253" s="11"/>
      <x:c r="I253" s="11"/>
      <x:c r="J253" s="11"/>
      <x:c r="K253" s="12" t="str">
        <x:f>IF(A253="","",E253*F253+G253*H253+I253*J253)</x:f>
      </x:c>
      <x:c r="L253" s="9"/>
      <x:c r="M253" s="9" t="str">
        <x:f>IF(A253="","",INDEX('입고대장'!$M$7:$M$1006,MATCH(A253,'입고대장'!$A$7:$A$1006,0)))</x:f>
      </x:c>
      <x:c r="N253" s="9"/>
    </x:row>
    <x:row r="254" ht="23" customHeight="1">
      <x:c r="A254" s="9"/>
      <x:c r="B254" s="10"/>
      <x:c r="C254" s="11"/>
      <x:c r="D254" s="11"/>
      <x:c r="E254" s="11"/>
      <x:c r="F254" s="11"/>
      <x:c r="G254" s="11"/>
      <x:c r="H254" s="11"/>
      <x:c r="I254" s="11"/>
      <x:c r="J254" s="11"/>
      <x:c r="K254" s="12" t="str">
        <x:f>IF(A254="","",E254*F254+G254*H254+I254*J254)</x:f>
      </x:c>
      <x:c r="L254" s="9"/>
      <x:c r="M254" s="9" t="str">
        <x:f>IF(A254="","",INDEX('입고대장'!$M$7:$M$1006,MATCH(A254,'입고대장'!$A$7:$A$1006,0)))</x:f>
      </x:c>
      <x:c r="N254" s="9"/>
    </x:row>
    <x:row r="255" ht="23" customHeight="1">
      <x:c r="A255" s="9"/>
      <x:c r="B255" s="10"/>
      <x:c r="C255" s="11"/>
      <x:c r="D255" s="11"/>
      <x:c r="E255" s="11"/>
      <x:c r="F255" s="11"/>
      <x:c r="G255" s="11"/>
      <x:c r="H255" s="11"/>
      <x:c r="I255" s="11"/>
      <x:c r="J255" s="11"/>
      <x:c r="K255" s="12" t="str">
        <x:f>IF(A255="","",E255*F255+G255*H255+I255*J255)</x:f>
      </x:c>
      <x:c r="L255" s="9"/>
      <x:c r="M255" s="9" t="str">
        <x:f>IF(A255="","",INDEX('입고대장'!$M$7:$M$1006,MATCH(A255,'입고대장'!$A$7:$A$1006,0)))</x:f>
      </x:c>
      <x:c r="N255" s="9"/>
    </x:row>
    <x:row r="256" ht="23" customHeight="1">
      <x:c r="A256" s="9"/>
      <x:c r="B256" s="10"/>
      <x:c r="C256" s="11"/>
      <x:c r="D256" s="11"/>
      <x:c r="E256" s="11"/>
      <x:c r="F256" s="11"/>
      <x:c r="G256" s="11"/>
      <x:c r="H256" s="11"/>
      <x:c r="I256" s="11"/>
      <x:c r="J256" s="11"/>
      <x:c r="K256" s="12" t="str">
        <x:f>IF(A256="","",E256*F256+G256*H256+I256*J256)</x:f>
      </x:c>
      <x:c r="L256" s="9"/>
      <x:c r="M256" s="9" t="str">
        <x:f>IF(A256="","",INDEX('입고대장'!$M$7:$M$1006,MATCH(A256,'입고대장'!$A$7:$A$1006,0)))</x:f>
      </x:c>
      <x:c r="N256" s="9"/>
    </x:row>
    <x:row r="257" ht="23" customHeight="1">
      <x:c r="A257" s="9"/>
      <x:c r="B257" s="10"/>
      <x:c r="C257" s="11"/>
      <x:c r="D257" s="11"/>
      <x:c r="E257" s="11"/>
      <x:c r="F257" s="11"/>
      <x:c r="G257" s="11"/>
      <x:c r="H257" s="11"/>
      <x:c r="I257" s="11"/>
      <x:c r="J257" s="11"/>
      <x:c r="K257" s="12" t="str">
        <x:f>IF(A257="","",E257*F257+G257*H257+I257*J257)</x:f>
      </x:c>
      <x:c r="L257" s="9"/>
      <x:c r="M257" s="9" t="str">
        <x:f>IF(A257="","",INDEX('입고대장'!$M$7:$M$1006,MATCH(A257,'입고대장'!$A$7:$A$1006,0)))</x:f>
      </x:c>
      <x:c r="N257" s="9"/>
    </x:row>
    <x:row r="258" ht="23" customHeight="1">
      <x:c r="A258" s="9"/>
      <x:c r="B258" s="10"/>
      <x:c r="C258" s="11"/>
      <x:c r="D258" s="11"/>
      <x:c r="E258" s="11"/>
      <x:c r="F258" s="11"/>
      <x:c r="G258" s="11"/>
      <x:c r="H258" s="11"/>
      <x:c r="I258" s="11"/>
      <x:c r="J258" s="11"/>
      <x:c r="K258" s="12" t="str">
        <x:f>IF(A258="","",E258*F258+G258*H258+I258*J258)</x:f>
      </x:c>
      <x:c r="L258" s="9"/>
      <x:c r="M258" s="9" t="str">
        <x:f>IF(A258="","",INDEX('입고대장'!$M$7:$M$1006,MATCH(A258,'입고대장'!$A$7:$A$1006,0)))</x:f>
      </x:c>
      <x:c r="N258" s="9"/>
    </x:row>
    <x:row r="259" ht="23" customHeight="1">
      <x:c r="A259" s="9"/>
      <x:c r="B259" s="10"/>
      <x:c r="C259" s="11"/>
      <x:c r="D259" s="11"/>
      <x:c r="E259" s="11"/>
      <x:c r="F259" s="11"/>
      <x:c r="G259" s="11"/>
      <x:c r="H259" s="11"/>
      <x:c r="I259" s="11"/>
      <x:c r="J259" s="11"/>
      <x:c r="K259" s="12" t="str">
        <x:f>IF(A259="","",E259*F259+G259*H259+I259*J259)</x:f>
      </x:c>
      <x:c r="L259" s="9"/>
      <x:c r="M259" s="9" t="str">
        <x:f>IF(A259="","",INDEX('입고대장'!$M$7:$M$1006,MATCH(A259,'입고대장'!$A$7:$A$1006,0)))</x:f>
      </x:c>
      <x:c r="N259" s="9"/>
    </x:row>
    <x:row r="260" ht="23" customHeight="1">
      <x:c r="A260" s="9"/>
      <x:c r="B260" s="10"/>
      <x:c r="C260" s="11"/>
      <x:c r="D260" s="11"/>
      <x:c r="E260" s="11"/>
      <x:c r="F260" s="11"/>
      <x:c r="G260" s="11"/>
      <x:c r="H260" s="11"/>
      <x:c r="I260" s="11"/>
      <x:c r="J260" s="11"/>
      <x:c r="K260" s="12" t="str">
        <x:f>IF(A260="","",E260*F260+G260*H260+I260*J260)</x:f>
      </x:c>
      <x:c r="L260" s="9"/>
      <x:c r="M260" s="9" t="str">
        <x:f>IF(A260="","",INDEX('입고대장'!$M$7:$M$1006,MATCH(A260,'입고대장'!$A$7:$A$1006,0)))</x:f>
      </x:c>
      <x:c r="N260" s="9"/>
    </x:row>
    <x:row r="261" ht="23" customHeight="1">
      <x:c r="A261" s="9"/>
      <x:c r="B261" s="10"/>
      <x:c r="C261" s="11"/>
      <x:c r="D261" s="11"/>
      <x:c r="E261" s="11"/>
      <x:c r="F261" s="11"/>
      <x:c r="G261" s="11"/>
      <x:c r="H261" s="11"/>
      <x:c r="I261" s="11"/>
      <x:c r="J261" s="11"/>
      <x:c r="K261" s="12" t="str">
        <x:f>IF(A261="","",E261*F261+G261*H261+I261*J261)</x:f>
      </x:c>
      <x:c r="L261" s="9"/>
      <x:c r="M261" s="9" t="str">
        <x:f>IF(A261="","",INDEX('입고대장'!$M$7:$M$1006,MATCH(A261,'입고대장'!$A$7:$A$1006,0)))</x:f>
      </x:c>
      <x:c r="N261" s="9"/>
    </x:row>
    <x:row r="262" ht="23" customHeight="1">
      <x:c r="A262" s="9"/>
      <x:c r="B262" s="10"/>
      <x:c r="C262" s="11"/>
      <x:c r="D262" s="11"/>
      <x:c r="E262" s="11"/>
      <x:c r="F262" s="11"/>
      <x:c r="G262" s="11"/>
      <x:c r="H262" s="11"/>
      <x:c r="I262" s="11"/>
      <x:c r="J262" s="11"/>
      <x:c r="K262" s="12" t="str">
        <x:f>IF(A262="","",E262*F262+G262*H262+I262*J262)</x:f>
      </x:c>
      <x:c r="L262" s="9"/>
      <x:c r="M262" s="9" t="str">
        <x:f>IF(A262="","",INDEX('입고대장'!$M$7:$M$1006,MATCH(A262,'입고대장'!$A$7:$A$1006,0)))</x:f>
      </x:c>
      <x:c r="N262" s="9"/>
    </x:row>
    <x:row r="263" ht="23" customHeight="1">
      <x:c r="A263" s="9"/>
      <x:c r="B263" s="10"/>
      <x:c r="C263" s="11"/>
      <x:c r="D263" s="11"/>
      <x:c r="E263" s="11"/>
      <x:c r="F263" s="11"/>
      <x:c r="G263" s="11"/>
      <x:c r="H263" s="11"/>
      <x:c r="I263" s="11"/>
      <x:c r="J263" s="11"/>
      <x:c r="K263" s="12" t="str">
        <x:f>IF(A263="","",E263*F263+G263*H263+I263*J263)</x:f>
      </x:c>
      <x:c r="L263" s="9"/>
      <x:c r="M263" s="9" t="str">
        <x:f>IF(A263="","",INDEX('입고대장'!$M$7:$M$1006,MATCH(A263,'입고대장'!$A$7:$A$1006,0)))</x:f>
      </x:c>
      <x:c r="N263" s="9"/>
    </x:row>
    <x:row r="264" ht="23" customHeight="1">
      <x:c r="A264" s="9"/>
      <x:c r="B264" s="10"/>
      <x:c r="C264" s="11"/>
      <x:c r="D264" s="11"/>
      <x:c r="E264" s="11"/>
      <x:c r="F264" s="11"/>
      <x:c r="G264" s="11"/>
      <x:c r="H264" s="11"/>
      <x:c r="I264" s="11"/>
      <x:c r="J264" s="11"/>
      <x:c r="K264" s="12" t="str">
        <x:f>IF(A264="","",E264*F264+G264*H264+I264*J264)</x:f>
      </x:c>
      <x:c r="L264" s="9"/>
      <x:c r="M264" s="9" t="str">
        <x:f>IF(A264="","",INDEX('입고대장'!$M$7:$M$1006,MATCH(A264,'입고대장'!$A$7:$A$1006,0)))</x:f>
      </x:c>
      <x:c r="N264" s="9"/>
    </x:row>
    <x:row r="265" ht="23" customHeight="1">
      <x:c r="A265" s="9"/>
      <x:c r="B265" s="10"/>
      <x:c r="C265" s="11"/>
      <x:c r="D265" s="11"/>
      <x:c r="E265" s="11"/>
      <x:c r="F265" s="11"/>
      <x:c r="G265" s="11"/>
      <x:c r="H265" s="11"/>
      <x:c r="I265" s="11"/>
      <x:c r="J265" s="11"/>
      <x:c r="K265" s="12" t="str">
        <x:f>IF(A265="","",E265*F265+G265*H265+I265*J265)</x:f>
      </x:c>
      <x:c r="L265" s="9"/>
      <x:c r="M265" s="9" t="str">
        <x:f>IF(A265="","",INDEX('입고대장'!$M$7:$M$1006,MATCH(A265,'입고대장'!$A$7:$A$1006,0)))</x:f>
      </x:c>
      <x:c r="N265" s="9"/>
    </x:row>
    <x:row r="266" ht="23" customHeight="1">
      <x:c r="A266" s="9"/>
      <x:c r="B266" s="10"/>
      <x:c r="C266" s="11"/>
      <x:c r="D266" s="11"/>
      <x:c r="E266" s="11"/>
      <x:c r="F266" s="11"/>
      <x:c r="G266" s="11"/>
      <x:c r="H266" s="11"/>
      <x:c r="I266" s="11"/>
      <x:c r="J266" s="11"/>
      <x:c r="K266" s="12" t="str">
        <x:f>IF(A266="","",E266*F266+G266*H266+I266*J266)</x:f>
      </x:c>
      <x:c r="L266" s="9"/>
      <x:c r="M266" s="9" t="str">
        <x:f>IF(A266="","",INDEX('입고대장'!$M$7:$M$1006,MATCH(A266,'입고대장'!$A$7:$A$1006,0)))</x:f>
      </x:c>
      <x:c r="N266" s="9"/>
    </x:row>
    <x:row r="267" ht="23" customHeight="1">
      <x:c r="A267" s="9"/>
      <x:c r="B267" s="10"/>
      <x:c r="C267" s="11"/>
      <x:c r="D267" s="11"/>
      <x:c r="E267" s="11"/>
      <x:c r="F267" s="11"/>
      <x:c r="G267" s="11"/>
      <x:c r="H267" s="11"/>
      <x:c r="I267" s="11"/>
      <x:c r="J267" s="11"/>
      <x:c r="K267" s="12" t="str">
        <x:f>IF(A267="","",E267*F267+G267*H267+I267*J267)</x:f>
      </x:c>
      <x:c r="L267" s="9"/>
      <x:c r="M267" s="9" t="str">
        <x:f>IF(A267="","",INDEX('입고대장'!$M$7:$M$1006,MATCH(A267,'입고대장'!$A$7:$A$1006,0)))</x:f>
      </x:c>
      <x:c r="N267" s="9"/>
    </x:row>
    <x:row r="268" ht="23" customHeight="1">
      <x:c r="A268" s="9"/>
      <x:c r="B268" s="10"/>
      <x:c r="C268" s="11"/>
      <x:c r="D268" s="11"/>
      <x:c r="E268" s="11"/>
      <x:c r="F268" s="11"/>
      <x:c r="G268" s="11"/>
      <x:c r="H268" s="11"/>
      <x:c r="I268" s="11"/>
      <x:c r="J268" s="11"/>
      <x:c r="K268" s="12" t="str">
        <x:f>IF(A268="","",E268*F268+G268*H268+I268*J268)</x:f>
      </x:c>
      <x:c r="L268" s="9"/>
      <x:c r="M268" s="9" t="str">
        <x:f>IF(A268="","",INDEX('입고대장'!$M$7:$M$1006,MATCH(A268,'입고대장'!$A$7:$A$1006,0)))</x:f>
      </x:c>
      <x:c r="N268" s="9"/>
    </x:row>
    <x:row r="269" ht="23" customHeight="1">
      <x:c r="A269" s="9"/>
      <x:c r="B269" s="10"/>
      <x:c r="C269" s="11"/>
      <x:c r="D269" s="11"/>
      <x:c r="E269" s="11"/>
      <x:c r="F269" s="11"/>
      <x:c r="G269" s="11"/>
      <x:c r="H269" s="11"/>
      <x:c r="I269" s="11"/>
      <x:c r="J269" s="11"/>
      <x:c r="K269" s="12" t="str">
        <x:f>IF(A269="","",E269*F269+G269*H269+I269*J269)</x:f>
      </x:c>
      <x:c r="L269" s="9"/>
      <x:c r="M269" s="9" t="str">
        <x:f>IF(A269="","",INDEX('입고대장'!$M$7:$M$1006,MATCH(A269,'입고대장'!$A$7:$A$1006,0)))</x:f>
      </x:c>
      <x:c r="N269" s="9"/>
    </x:row>
    <x:row r="270" ht="23" customHeight="1">
      <x:c r="A270" s="9"/>
      <x:c r="B270" s="10"/>
      <x:c r="C270" s="11"/>
      <x:c r="D270" s="11"/>
      <x:c r="E270" s="11"/>
      <x:c r="F270" s="11"/>
      <x:c r="G270" s="11"/>
      <x:c r="H270" s="11"/>
      <x:c r="I270" s="11"/>
      <x:c r="J270" s="11"/>
      <x:c r="K270" s="12" t="str">
        <x:f>IF(A270="","",E270*F270+G270*H270+I270*J270)</x:f>
      </x:c>
      <x:c r="L270" s="9"/>
      <x:c r="M270" s="9" t="str">
        <x:f>IF(A270="","",INDEX('입고대장'!$M$7:$M$1006,MATCH(A270,'입고대장'!$A$7:$A$1006,0)))</x:f>
      </x:c>
      <x:c r="N270" s="9"/>
    </x:row>
    <x:row r="271" ht="23" customHeight="1">
      <x:c r="A271" s="9"/>
      <x:c r="B271" s="10"/>
      <x:c r="C271" s="11"/>
      <x:c r="D271" s="11"/>
      <x:c r="E271" s="11"/>
      <x:c r="F271" s="11"/>
      <x:c r="G271" s="11"/>
      <x:c r="H271" s="11"/>
      <x:c r="I271" s="11"/>
      <x:c r="J271" s="11"/>
      <x:c r="K271" s="12" t="str">
        <x:f>IF(A271="","",E271*F271+G271*H271+I271*J271)</x:f>
      </x:c>
      <x:c r="L271" s="9"/>
      <x:c r="M271" s="9" t="str">
        <x:f>IF(A271="","",INDEX('입고대장'!$M$7:$M$1006,MATCH(A271,'입고대장'!$A$7:$A$1006,0)))</x:f>
      </x:c>
      <x:c r="N271" s="9"/>
    </x:row>
    <x:row r="272" ht="23" customHeight="1">
      <x:c r="A272" s="9"/>
      <x:c r="B272" s="10"/>
      <x:c r="C272" s="11"/>
      <x:c r="D272" s="11"/>
      <x:c r="E272" s="11"/>
      <x:c r="F272" s="11"/>
      <x:c r="G272" s="11"/>
      <x:c r="H272" s="11"/>
      <x:c r="I272" s="11"/>
      <x:c r="J272" s="11"/>
      <x:c r="K272" s="12" t="str">
        <x:f>IF(A272="","",E272*F272+G272*H272+I272*J272)</x:f>
      </x:c>
      <x:c r="L272" s="9"/>
      <x:c r="M272" s="9" t="str">
        <x:f>IF(A272="","",INDEX('입고대장'!$M$7:$M$1006,MATCH(A272,'입고대장'!$A$7:$A$1006,0)))</x:f>
      </x:c>
      <x:c r="N272" s="9"/>
    </x:row>
    <x:row r="273" ht="23" customHeight="1">
      <x:c r="A273" s="9"/>
      <x:c r="B273" s="10"/>
      <x:c r="C273" s="11"/>
      <x:c r="D273" s="11"/>
      <x:c r="E273" s="11"/>
      <x:c r="F273" s="11"/>
      <x:c r="G273" s="11"/>
      <x:c r="H273" s="11"/>
      <x:c r="I273" s="11"/>
      <x:c r="J273" s="11"/>
      <x:c r="K273" s="12" t="str">
        <x:f>IF(A273="","",E273*F273+G273*H273+I273*J273)</x:f>
      </x:c>
      <x:c r="L273" s="9"/>
      <x:c r="M273" s="9" t="str">
        <x:f>IF(A273="","",INDEX('입고대장'!$M$7:$M$1006,MATCH(A273,'입고대장'!$A$7:$A$1006,0)))</x:f>
      </x:c>
      <x:c r="N273" s="9"/>
    </x:row>
    <x:row r="274" ht="23" customHeight="1">
      <x:c r="A274" s="9"/>
      <x:c r="B274" s="10"/>
      <x:c r="C274" s="11"/>
      <x:c r="D274" s="11"/>
      <x:c r="E274" s="11"/>
      <x:c r="F274" s="11"/>
      <x:c r="G274" s="11"/>
      <x:c r="H274" s="11"/>
      <x:c r="I274" s="11"/>
      <x:c r="J274" s="11"/>
      <x:c r="K274" s="12" t="str">
        <x:f>IF(A274="","",E274*F274+G274*H274+I274*J274)</x:f>
      </x:c>
      <x:c r="L274" s="9"/>
      <x:c r="M274" s="9" t="str">
        <x:f>IF(A274="","",INDEX('입고대장'!$M$7:$M$1006,MATCH(A274,'입고대장'!$A$7:$A$1006,0)))</x:f>
      </x:c>
      <x:c r="N274" s="9"/>
    </x:row>
    <x:row r="275" ht="23" customHeight="1">
      <x:c r="A275" s="9"/>
      <x:c r="B275" s="10"/>
      <x:c r="C275" s="11"/>
      <x:c r="D275" s="11"/>
      <x:c r="E275" s="11"/>
      <x:c r="F275" s="11"/>
      <x:c r="G275" s="11"/>
      <x:c r="H275" s="11"/>
      <x:c r="I275" s="11"/>
      <x:c r="J275" s="11"/>
      <x:c r="K275" s="12" t="str">
        <x:f>IF(A275="","",E275*F275+G275*H275+I275*J275)</x:f>
      </x:c>
      <x:c r="L275" s="9"/>
      <x:c r="M275" s="9" t="str">
        <x:f>IF(A275="","",INDEX('입고대장'!$M$7:$M$1006,MATCH(A275,'입고대장'!$A$7:$A$1006,0)))</x:f>
      </x:c>
      <x:c r="N275" s="9"/>
    </x:row>
    <x:row r="276" ht="23" customHeight="1">
      <x:c r="A276" s="9"/>
      <x:c r="B276" s="10"/>
      <x:c r="C276" s="11"/>
      <x:c r="D276" s="11"/>
      <x:c r="E276" s="11"/>
      <x:c r="F276" s="11"/>
      <x:c r="G276" s="11"/>
      <x:c r="H276" s="11"/>
      <x:c r="I276" s="11"/>
      <x:c r="J276" s="11"/>
      <x:c r="K276" s="12" t="str">
        <x:f>IF(A276="","",E276*F276+G276*H276+I276*J276)</x:f>
      </x:c>
      <x:c r="L276" s="9"/>
      <x:c r="M276" s="9" t="str">
        <x:f>IF(A276="","",INDEX('입고대장'!$M$7:$M$1006,MATCH(A276,'입고대장'!$A$7:$A$1006,0)))</x:f>
      </x:c>
      <x:c r="N276" s="9"/>
    </x:row>
    <x:row r="277" ht="23" customHeight="1">
      <x:c r="A277" s="9"/>
      <x:c r="B277" s="10"/>
      <x:c r="C277" s="11"/>
      <x:c r="D277" s="11"/>
      <x:c r="E277" s="11"/>
      <x:c r="F277" s="11"/>
      <x:c r="G277" s="11"/>
      <x:c r="H277" s="11"/>
      <x:c r="I277" s="11"/>
      <x:c r="J277" s="11"/>
      <x:c r="K277" s="12" t="str">
        <x:f>IF(A277="","",E277*F277+G277*H277+I277*J277)</x:f>
      </x:c>
      <x:c r="L277" s="9"/>
      <x:c r="M277" s="9" t="str">
        <x:f>IF(A277="","",INDEX('입고대장'!$M$7:$M$1006,MATCH(A277,'입고대장'!$A$7:$A$1006,0)))</x:f>
      </x:c>
      <x:c r="N277" s="9"/>
    </x:row>
    <x:row r="278" ht="23" customHeight="1">
      <x:c r="A278" s="9"/>
      <x:c r="B278" s="10"/>
      <x:c r="C278" s="11"/>
      <x:c r="D278" s="11"/>
      <x:c r="E278" s="11"/>
      <x:c r="F278" s="11"/>
      <x:c r="G278" s="11"/>
      <x:c r="H278" s="11"/>
      <x:c r="I278" s="11"/>
      <x:c r="J278" s="11"/>
      <x:c r="K278" s="12" t="str">
        <x:f>IF(A278="","",E278*F278+G278*H278+I278*J278)</x:f>
      </x:c>
      <x:c r="L278" s="9"/>
      <x:c r="M278" s="9" t="str">
        <x:f>IF(A278="","",INDEX('입고대장'!$M$7:$M$1006,MATCH(A278,'입고대장'!$A$7:$A$1006,0)))</x:f>
      </x:c>
      <x:c r="N278" s="9"/>
    </x:row>
    <x:row r="279" ht="23" customHeight="1">
      <x:c r="A279" s="9"/>
      <x:c r="B279" s="10"/>
      <x:c r="C279" s="11"/>
      <x:c r="D279" s="11"/>
      <x:c r="E279" s="11"/>
      <x:c r="F279" s="11"/>
      <x:c r="G279" s="11"/>
      <x:c r="H279" s="11"/>
      <x:c r="I279" s="11"/>
      <x:c r="J279" s="11"/>
      <x:c r="K279" s="12" t="str">
        <x:f>IF(A279="","",E279*F279+G279*H279+I279*J279)</x:f>
      </x:c>
      <x:c r="L279" s="9"/>
      <x:c r="M279" s="9" t="str">
        <x:f>IF(A279="","",INDEX('입고대장'!$M$7:$M$1006,MATCH(A279,'입고대장'!$A$7:$A$1006,0)))</x:f>
      </x:c>
      <x:c r="N279" s="9"/>
    </x:row>
    <x:row r="280" ht="23" customHeight="1">
      <x:c r="A280" s="9"/>
      <x:c r="B280" s="10"/>
      <x:c r="C280" s="11"/>
      <x:c r="D280" s="11"/>
      <x:c r="E280" s="11"/>
      <x:c r="F280" s="11"/>
      <x:c r="G280" s="11"/>
      <x:c r="H280" s="11"/>
      <x:c r="I280" s="11"/>
      <x:c r="J280" s="11"/>
      <x:c r="K280" s="12" t="str">
        <x:f>IF(A280="","",E280*F280+G280*H280+I280*J280)</x:f>
      </x:c>
      <x:c r="L280" s="9"/>
      <x:c r="M280" s="9" t="str">
        <x:f>IF(A280="","",INDEX('입고대장'!$M$7:$M$1006,MATCH(A280,'입고대장'!$A$7:$A$1006,0)))</x:f>
      </x:c>
      <x:c r="N280" s="9"/>
    </x:row>
    <x:row r="281" ht="23" customHeight="1">
      <x:c r="A281" s="9"/>
      <x:c r="B281" s="10"/>
      <x:c r="C281" s="11"/>
      <x:c r="D281" s="11"/>
      <x:c r="E281" s="11"/>
      <x:c r="F281" s="11"/>
      <x:c r="G281" s="11"/>
      <x:c r="H281" s="11"/>
      <x:c r="I281" s="11"/>
      <x:c r="J281" s="11"/>
      <x:c r="K281" s="12" t="str">
        <x:f>IF(A281="","",E281*F281+G281*H281+I281*J281)</x:f>
      </x:c>
      <x:c r="L281" s="9"/>
      <x:c r="M281" s="9" t="str">
        <x:f>IF(A281="","",INDEX('입고대장'!$M$7:$M$1006,MATCH(A281,'입고대장'!$A$7:$A$1006,0)))</x:f>
      </x:c>
      <x:c r="N281" s="9"/>
    </x:row>
    <x:row r="282" ht="23" customHeight="1">
      <x:c r="A282" s="9"/>
      <x:c r="B282" s="10"/>
      <x:c r="C282" s="11"/>
      <x:c r="D282" s="11"/>
      <x:c r="E282" s="11"/>
      <x:c r="F282" s="11"/>
      <x:c r="G282" s="11"/>
      <x:c r="H282" s="11"/>
      <x:c r="I282" s="11"/>
      <x:c r="J282" s="11"/>
      <x:c r="K282" s="12" t="str">
        <x:f>IF(A282="","",E282*F282+G282*H282+I282*J282)</x:f>
      </x:c>
      <x:c r="L282" s="9"/>
      <x:c r="M282" s="9" t="str">
        <x:f>IF(A282="","",INDEX('입고대장'!$M$7:$M$1006,MATCH(A282,'입고대장'!$A$7:$A$1006,0)))</x:f>
      </x:c>
      <x:c r="N282" s="9"/>
    </x:row>
    <x:row r="283" ht="23" customHeight="1">
      <x:c r="A283" s="9"/>
      <x:c r="B283" s="10"/>
      <x:c r="C283" s="11"/>
      <x:c r="D283" s="11"/>
      <x:c r="E283" s="11"/>
      <x:c r="F283" s="11"/>
      <x:c r="G283" s="11"/>
      <x:c r="H283" s="11"/>
      <x:c r="I283" s="11"/>
      <x:c r="J283" s="11"/>
      <x:c r="K283" s="12" t="str">
        <x:f>IF(A283="","",E283*F283+G283*H283+I283*J283)</x:f>
      </x:c>
      <x:c r="L283" s="9"/>
      <x:c r="M283" s="9" t="str">
        <x:f>IF(A283="","",INDEX('입고대장'!$M$7:$M$1006,MATCH(A283,'입고대장'!$A$7:$A$1006,0)))</x:f>
      </x:c>
      <x:c r="N283" s="9"/>
    </x:row>
    <x:row r="284" ht="23" customHeight="1">
      <x:c r="A284" s="9"/>
      <x:c r="B284" s="10"/>
      <x:c r="C284" s="11"/>
      <x:c r="D284" s="11"/>
      <x:c r="E284" s="11"/>
      <x:c r="F284" s="11"/>
      <x:c r="G284" s="11"/>
      <x:c r="H284" s="11"/>
      <x:c r="I284" s="11"/>
      <x:c r="J284" s="11"/>
      <x:c r="K284" s="12" t="str">
        <x:f>IF(A284="","",E284*F284+G284*H284+I284*J284)</x:f>
      </x:c>
      <x:c r="L284" s="9"/>
      <x:c r="M284" s="9" t="str">
        <x:f>IF(A284="","",INDEX('입고대장'!$M$7:$M$1006,MATCH(A284,'입고대장'!$A$7:$A$1006,0)))</x:f>
      </x:c>
      <x:c r="N284" s="9"/>
    </x:row>
    <x:row r="285" ht="23" customHeight="1">
      <x:c r="A285" s="9"/>
      <x:c r="B285" s="10"/>
      <x:c r="C285" s="11"/>
      <x:c r="D285" s="11"/>
      <x:c r="E285" s="11"/>
      <x:c r="F285" s="11"/>
      <x:c r="G285" s="11"/>
      <x:c r="H285" s="11"/>
      <x:c r="I285" s="11"/>
      <x:c r="J285" s="11"/>
      <x:c r="K285" s="12" t="str">
        <x:f>IF(A285="","",E285*F285+G285*H285+I285*J285)</x:f>
      </x:c>
      <x:c r="L285" s="9"/>
      <x:c r="M285" s="9" t="str">
        <x:f>IF(A285="","",INDEX('입고대장'!$M$7:$M$1006,MATCH(A285,'입고대장'!$A$7:$A$1006,0)))</x:f>
      </x:c>
      <x:c r="N285" s="9"/>
    </x:row>
    <x:row r="286" ht="23" customHeight="1">
      <x:c r="A286" s="9"/>
      <x:c r="B286" s="10"/>
      <x:c r="C286" s="11"/>
      <x:c r="D286" s="11"/>
      <x:c r="E286" s="11"/>
      <x:c r="F286" s="11"/>
      <x:c r="G286" s="11"/>
      <x:c r="H286" s="11"/>
      <x:c r="I286" s="11"/>
      <x:c r="J286" s="11"/>
      <x:c r="K286" s="12" t="str">
        <x:f>IF(A286="","",E286*F286+G286*H286+I286*J286)</x:f>
      </x:c>
      <x:c r="L286" s="9"/>
      <x:c r="M286" s="9" t="str">
        <x:f>IF(A286="","",INDEX('입고대장'!$M$7:$M$1006,MATCH(A286,'입고대장'!$A$7:$A$1006,0)))</x:f>
      </x:c>
      <x:c r="N286" s="9"/>
    </x:row>
    <x:row r="287" ht="23" customHeight="1">
      <x:c r="A287" s="9"/>
      <x:c r="B287" s="10"/>
      <x:c r="C287" s="11"/>
      <x:c r="D287" s="11"/>
      <x:c r="E287" s="11"/>
      <x:c r="F287" s="11"/>
      <x:c r="G287" s="11"/>
      <x:c r="H287" s="11"/>
      <x:c r="I287" s="11"/>
      <x:c r="J287" s="11"/>
      <x:c r="K287" s="12" t="str">
        <x:f>IF(A287="","",E287*F287+G287*H287+I287*J287)</x:f>
      </x:c>
      <x:c r="L287" s="9"/>
      <x:c r="M287" s="9" t="str">
        <x:f>IF(A287="","",INDEX('입고대장'!$M$7:$M$1006,MATCH(A287,'입고대장'!$A$7:$A$1006,0)))</x:f>
      </x:c>
      <x:c r="N287" s="9"/>
    </x:row>
    <x:row r="288" ht="23" customHeight="1">
      <x:c r="A288" s="9"/>
      <x:c r="B288" s="10"/>
      <x:c r="C288" s="11"/>
      <x:c r="D288" s="11"/>
      <x:c r="E288" s="11"/>
      <x:c r="F288" s="11"/>
      <x:c r="G288" s="11"/>
      <x:c r="H288" s="11"/>
      <x:c r="I288" s="11"/>
      <x:c r="J288" s="11"/>
      <x:c r="K288" s="12" t="str">
        <x:f>IF(A288="","",E288*F288+G288*H288+I288*J288)</x:f>
      </x:c>
      <x:c r="L288" s="9"/>
      <x:c r="M288" s="9" t="str">
        <x:f>IF(A288="","",INDEX('입고대장'!$M$7:$M$1006,MATCH(A288,'입고대장'!$A$7:$A$1006,0)))</x:f>
      </x:c>
      <x:c r="N288" s="9"/>
    </x:row>
    <x:row r="289" ht="23" customHeight="1">
      <x:c r="A289" s="9"/>
      <x:c r="B289" s="10"/>
      <x:c r="C289" s="11"/>
      <x:c r="D289" s="11"/>
      <x:c r="E289" s="11"/>
      <x:c r="F289" s="11"/>
      <x:c r="G289" s="11"/>
      <x:c r="H289" s="11"/>
      <x:c r="I289" s="11"/>
      <x:c r="J289" s="11"/>
      <x:c r="K289" s="12" t="str">
        <x:f>IF(A289="","",E289*F289+G289*H289+I289*J289)</x:f>
      </x:c>
      <x:c r="L289" s="9"/>
      <x:c r="M289" s="9" t="str">
        <x:f>IF(A289="","",INDEX('입고대장'!$M$7:$M$1006,MATCH(A289,'입고대장'!$A$7:$A$1006,0)))</x:f>
      </x:c>
      <x:c r="N289" s="9"/>
    </x:row>
    <x:row r="290" ht="23" customHeight="1">
      <x:c r="A290" s="9"/>
      <x:c r="B290" s="10"/>
      <x:c r="C290" s="11"/>
      <x:c r="D290" s="11"/>
      <x:c r="E290" s="11"/>
      <x:c r="F290" s="11"/>
      <x:c r="G290" s="11"/>
      <x:c r="H290" s="11"/>
      <x:c r="I290" s="11"/>
      <x:c r="J290" s="11"/>
      <x:c r="K290" s="12" t="str">
        <x:f>IF(A290="","",E290*F290+G290*H290+I290*J290)</x:f>
      </x:c>
      <x:c r="L290" s="9"/>
      <x:c r="M290" s="9" t="str">
        <x:f>IF(A290="","",INDEX('입고대장'!$M$7:$M$1006,MATCH(A290,'입고대장'!$A$7:$A$1006,0)))</x:f>
      </x:c>
      <x:c r="N290" s="9"/>
    </x:row>
    <x:row r="291" ht="23" customHeight="1">
      <x:c r="A291" s="9"/>
      <x:c r="B291" s="10"/>
      <x:c r="C291" s="11"/>
      <x:c r="D291" s="11"/>
      <x:c r="E291" s="11"/>
      <x:c r="F291" s="11"/>
      <x:c r="G291" s="11"/>
      <x:c r="H291" s="11"/>
      <x:c r="I291" s="11"/>
      <x:c r="J291" s="11"/>
      <x:c r="K291" s="12" t="str">
        <x:f>IF(A291="","",E291*F291+G291*H291+I291*J291)</x:f>
      </x:c>
      <x:c r="L291" s="9"/>
      <x:c r="M291" s="9" t="str">
        <x:f>IF(A291="","",INDEX('입고대장'!$M$7:$M$1006,MATCH(A291,'입고대장'!$A$7:$A$1006,0)))</x:f>
      </x:c>
      <x:c r="N291" s="9"/>
    </x:row>
    <x:row r="292" ht="23" customHeight="1">
      <x:c r="A292" s="9"/>
      <x:c r="B292" s="10"/>
      <x:c r="C292" s="11"/>
      <x:c r="D292" s="11"/>
      <x:c r="E292" s="11"/>
      <x:c r="F292" s="11"/>
      <x:c r="G292" s="11"/>
      <x:c r="H292" s="11"/>
      <x:c r="I292" s="11"/>
      <x:c r="J292" s="11"/>
      <x:c r="K292" s="12" t="str">
        <x:f>IF(A292="","",E292*F292+G292*H292+I292*J292)</x:f>
      </x:c>
      <x:c r="L292" s="9"/>
      <x:c r="M292" s="9" t="str">
        <x:f>IF(A292="","",INDEX('입고대장'!$M$7:$M$1006,MATCH(A292,'입고대장'!$A$7:$A$1006,0)))</x:f>
      </x:c>
      <x:c r="N292" s="9"/>
    </x:row>
    <x:row r="293" ht="23" customHeight="1">
      <x:c r="A293" s="9"/>
      <x:c r="B293" s="10"/>
      <x:c r="C293" s="11"/>
      <x:c r="D293" s="11"/>
      <x:c r="E293" s="11"/>
      <x:c r="F293" s="11"/>
      <x:c r="G293" s="11"/>
      <x:c r="H293" s="11"/>
      <x:c r="I293" s="11"/>
      <x:c r="J293" s="11"/>
      <x:c r="K293" s="12" t="str">
        <x:f>IF(A293="","",E293*F293+G293*H293+I293*J293)</x:f>
      </x:c>
      <x:c r="L293" s="9"/>
      <x:c r="M293" s="9" t="str">
        <x:f>IF(A293="","",INDEX('입고대장'!$M$7:$M$1006,MATCH(A293,'입고대장'!$A$7:$A$1006,0)))</x:f>
      </x:c>
      <x:c r="N293" s="9"/>
    </x:row>
    <x:row r="294" ht="23" customHeight="1">
      <x:c r="A294" s="9"/>
      <x:c r="B294" s="10"/>
      <x:c r="C294" s="11"/>
      <x:c r="D294" s="11"/>
      <x:c r="E294" s="11"/>
      <x:c r="F294" s="11"/>
      <x:c r="G294" s="11"/>
      <x:c r="H294" s="11"/>
      <x:c r="I294" s="11"/>
      <x:c r="J294" s="11"/>
      <x:c r="K294" s="12" t="str">
        <x:f>IF(A294="","",E294*F294+G294*H294+I294*J294)</x:f>
      </x:c>
      <x:c r="L294" s="9"/>
      <x:c r="M294" s="9" t="str">
        <x:f>IF(A294="","",INDEX('입고대장'!$M$7:$M$1006,MATCH(A294,'입고대장'!$A$7:$A$1006,0)))</x:f>
      </x:c>
      <x:c r="N294" s="9"/>
    </x:row>
    <x:row r="295" ht="23" customHeight="1">
      <x:c r="A295" s="9"/>
      <x:c r="B295" s="10"/>
      <x:c r="C295" s="11"/>
      <x:c r="D295" s="11"/>
      <x:c r="E295" s="11"/>
      <x:c r="F295" s="11"/>
      <x:c r="G295" s="11"/>
      <x:c r="H295" s="11"/>
      <x:c r="I295" s="11"/>
      <x:c r="J295" s="11"/>
      <x:c r="K295" s="12" t="str">
        <x:f>IF(A295="","",E295*F295+G295*H295+I295*J295)</x:f>
      </x:c>
      <x:c r="L295" s="9"/>
      <x:c r="M295" s="9" t="str">
        <x:f>IF(A295="","",INDEX('입고대장'!$M$7:$M$1006,MATCH(A295,'입고대장'!$A$7:$A$1006,0)))</x:f>
      </x:c>
      <x:c r="N295" s="9"/>
    </x:row>
    <x:row r="296" ht="23" customHeight="1">
      <x:c r="A296" s="9"/>
      <x:c r="B296" s="10"/>
      <x:c r="C296" s="11"/>
      <x:c r="D296" s="11"/>
      <x:c r="E296" s="11"/>
      <x:c r="F296" s="11"/>
      <x:c r="G296" s="11"/>
      <x:c r="H296" s="11"/>
      <x:c r="I296" s="11"/>
      <x:c r="J296" s="11"/>
      <x:c r="K296" s="12" t="str">
        <x:f>IF(A296="","",E296*F296+G296*H296+I296*J296)</x:f>
      </x:c>
      <x:c r="L296" s="9"/>
      <x:c r="M296" s="9" t="str">
        <x:f>IF(A296="","",INDEX('입고대장'!$M$7:$M$1006,MATCH(A296,'입고대장'!$A$7:$A$1006,0)))</x:f>
      </x:c>
      <x:c r="N296" s="9"/>
    </x:row>
    <x:row r="297" ht="23" customHeight="1">
      <x:c r="A297" s="9"/>
      <x:c r="B297" s="10"/>
      <x:c r="C297" s="11"/>
      <x:c r="D297" s="11"/>
      <x:c r="E297" s="11"/>
      <x:c r="F297" s="11"/>
      <x:c r="G297" s="11"/>
      <x:c r="H297" s="11"/>
      <x:c r="I297" s="11"/>
      <x:c r="J297" s="11"/>
      <x:c r="K297" s="12" t="str">
        <x:f>IF(A297="","",E297*F297+G297*H297+I297*J297)</x:f>
      </x:c>
      <x:c r="L297" s="9"/>
      <x:c r="M297" s="9" t="str">
        <x:f>IF(A297="","",INDEX('입고대장'!$M$7:$M$1006,MATCH(A297,'입고대장'!$A$7:$A$1006,0)))</x:f>
      </x:c>
      <x:c r="N297" s="9"/>
    </x:row>
    <x:row r="298" ht="23" customHeight="1">
      <x:c r="A298" s="9"/>
      <x:c r="B298" s="10"/>
      <x:c r="C298" s="11"/>
      <x:c r="D298" s="11"/>
      <x:c r="E298" s="11"/>
      <x:c r="F298" s="11"/>
      <x:c r="G298" s="11"/>
      <x:c r="H298" s="11"/>
      <x:c r="I298" s="11"/>
      <x:c r="J298" s="11"/>
      <x:c r="K298" s="12" t="str">
        <x:f>IF(A298="","",E298*F298+G298*H298+I298*J298)</x:f>
      </x:c>
      <x:c r="L298" s="9"/>
      <x:c r="M298" s="9" t="str">
        <x:f>IF(A298="","",INDEX('입고대장'!$M$7:$M$1006,MATCH(A298,'입고대장'!$A$7:$A$1006,0)))</x:f>
      </x:c>
      <x:c r="N298" s="9"/>
    </x:row>
    <x:row r="299" ht="23" customHeight="1">
      <x:c r="A299" s="9"/>
      <x:c r="B299" s="10"/>
      <x:c r="C299" s="11"/>
      <x:c r="D299" s="11"/>
      <x:c r="E299" s="11"/>
      <x:c r="F299" s="11"/>
      <x:c r="G299" s="11"/>
      <x:c r="H299" s="11"/>
      <x:c r="I299" s="11"/>
      <x:c r="J299" s="11"/>
      <x:c r="K299" s="12" t="str">
        <x:f>IF(A299="","",E299*F299+G299*H299+I299*J299)</x:f>
      </x:c>
      <x:c r="L299" s="9"/>
      <x:c r="M299" s="9" t="str">
        <x:f>IF(A299="","",INDEX('입고대장'!$M$7:$M$1006,MATCH(A299,'입고대장'!$A$7:$A$1006,0)))</x:f>
      </x:c>
      <x:c r="N299" s="9"/>
    </x:row>
    <x:row r="300" ht="23" customHeight="1">
      <x:c r="A300" s="9"/>
      <x:c r="B300" s="10"/>
      <x:c r="C300" s="11"/>
      <x:c r="D300" s="11"/>
      <x:c r="E300" s="11"/>
      <x:c r="F300" s="11"/>
      <x:c r="G300" s="11"/>
      <x:c r="H300" s="11"/>
      <x:c r="I300" s="11"/>
      <x:c r="J300" s="11"/>
      <x:c r="K300" s="12" t="str">
        <x:f>IF(A300="","",E300*F300+G300*H300+I300*J300)</x:f>
      </x:c>
      <x:c r="L300" s="9"/>
      <x:c r="M300" s="9" t="str">
        <x:f>IF(A300="","",INDEX('입고대장'!$M$7:$M$1006,MATCH(A300,'입고대장'!$A$7:$A$1006,0)))</x:f>
      </x:c>
      <x:c r="N300" s="9"/>
    </x:row>
    <x:row r="301" ht="23" customHeight="1">
      <x:c r="A301" s="9"/>
      <x:c r="B301" s="10"/>
      <x:c r="C301" s="11"/>
      <x:c r="D301" s="11"/>
      <x:c r="E301" s="11"/>
      <x:c r="F301" s="11"/>
      <x:c r="G301" s="11"/>
      <x:c r="H301" s="11"/>
      <x:c r="I301" s="11"/>
      <x:c r="J301" s="11"/>
      <x:c r="K301" s="12" t="str">
        <x:f>IF(A301="","",E301*F301+G301*H301+I301*J301)</x:f>
      </x:c>
      <x:c r="L301" s="9"/>
      <x:c r="M301" s="9" t="str">
        <x:f>IF(A301="","",INDEX('입고대장'!$M$7:$M$1006,MATCH(A301,'입고대장'!$A$7:$A$1006,0)))</x:f>
      </x:c>
      <x:c r="N301" s="9"/>
    </x:row>
    <x:row r="302" ht="23" customHeight="1">
      <x:c r="A302" s="9"/>
      <x:c r="B302" s="10"/>
      <x:c r="C302" s="11"/>
      <x:c r="D302" s="11"/>
      <x:c r="E302" s="11"/>
      <x:c r="F302" s="11"/>
      <x:c r="G302" s="11"/>
      <x:c r="H302" s="11"/>
      <x:c r="I302" s="11"/>
      <x:c r="J302" s="11"/>
      <x:c r="K302" s="12" t="str">
        <x:f>IF(A302="","",E302*F302+G302*H302+I302*J302)</x:f>
      </x:c>
      <x:c r="L302" s="9"/>
      <x:c r="M302" s="9" t="str">
        <x:f>IF(A302="","",INDEX('입고대장'!$M$7:$M$1006,MATCH(A302,'입고대장'!$A$7:$A$1006,0)))</x:f>
      </x:c>
      <x:c r="N302" s="9"/>
    </x:row>
    <x:row r="303" ht="23" customHeight="1">
      <x:c r="A303" s="9"/>
      <x:c r="B303" s="10"/>
      <x:c r="C303" s="11"/>
      <x:c r="D303" s="11"/>
      <x:c r="E303" s="11"/>
      <x:c r="F303" s="11"/>
      <x:c r="G303" s="11"/>
      <x:c r="H303" s="11"/>
      <x:c r="I303" s="11"/>
      <x:c r="J303" s="11"/>
      <x:c r="K303" s="12" t="str">
        <x:f>IF(A303="","",E303*F303+G303*H303+I303*J303)</x:f>
      </x:c>
      <x:c r="L303" s="9"/>
      <x:c r="M303" s="9" t="str">
        <x:f>IF(A303="","",INDEX('입고대장'!$M$7:$M$1006,MATCH(A303,'입고대장'!$A$7:$A$1006,0)))</x:f>
      </x:c>
      <x:c r="N303" s="9"/>
    </x:row>
    <x:row r="304" ht="23" customHeight="1">
      <x:c r="A304" s="9"/>
      <x:c r="B304" s="10"/>
      <x:c r="C304" s="11"/>
      <x:c r="D304" s="11"/>
      <x:c r="E304" s="11"/>
      <x:c r="F304" s="11"/>
      <x:c r="G304" s="11"/>
      <x:c r="H304" s="11"/>
      <x:c r="I304" s="11"/>
      <x:c r="J304" s="11"/>
      <x:c r="K304" s="12" t="str">
        <x:f>IF(A304="","",E304*F304+G304*H304+I304*J304)</x:f>
      </x:c>
      <x:c r="L304" s="9"/>
      <x:c r="M304" s="9" t="str">
        <x:f>IF(A304="","",INDEX('입고대장'!$M$7:$M$1006,MATCH(A304,'입고대장'!$A$7:$A$1006,0)))</x:f>
      </x:c>
      <x:c r="N304" s="9"/>
    </x:row>
    <x:row r="305" ht="23" customHeight="1">
      <x:c r="A305" s="9"/>
      <x:c r="B305" s="10"/>
      <x:c r="C305" s="11"/>
      <x:c r="D305" s="11"/>
      <x:c r="E305" s="11"/>
      <x:c r="F305" s="11"/>
      <x:c r="G305" s="11"/>
      <x:c r="H305" s="11"/>
      <x:c r="I305" s="11"/>
      <x:c r="J305" s="11"/>
      <x:c r="K305" s="12" t="str">
        <x:f>IF(A305="","",E305*F305+G305*H305+I305*J305)</x:f>
      </x:c>
      <x:c r="L305" s="9"/>
      <x:c r="M305" s="9" t="str">
        <x:f>IF(A305="","",INDEX('입고대장'!$M$7:$M$1006,MATCH(A305,'입고대장'!$A$7:$A$1006,0)))</x:f>
      </x:c>
      <x:c r="N305" s="9"/>
    </x:row>
    <x:row r="306" ht="23" customHeight="1">
      <x:c r="A306" s="9"/>
      <x:c r="B306" s="10"/>
      <x:c r="C306" s="11"/>
      <x:c r="D306" s="11"/>
      <x:c r="E306" s="11"/>
      <x:c r="F306" s="11"/>
      <x:c r="G306" s="11"/>
      <x:c r="H306" s="11"/>
      <x:c r="I306" s="11"/>
      <x:c r="J306" s="11"/>
      <x:c r="K306" s="12" t="str">
        <x:f>IF(A306="","",E306*F306+G306*H306+I306*J306)</x:f>
      </x:c>
      <x:c r="L306" s="9"/>
      <x:c r="M306" s="9" t="str">
        <x:f>IF(A306="","",INDEX('입고대장'!$M$7:$M$1006,MATCH(A306,'입고대장'!$A$7:$A$1006,0)))</x:f>
      </x:c>
      <x:c r="N306" s="9"/>
    </x:row>
    <x:row r="307" ht="23" customHeight="1">
      <x:c r="A307" s="9"/>
      <x:c r="B307" s="10"/>
      <x:c r="C307" s="11"/>
      <x:c r="D307" s="11"/>
      <x:c r="E307" s="11"/>
      <x:c r="F307" s="11"/>
      <x:c r="G307" s="11"/>
      <x:c r="H307" s="11"/>
      <x:c r="I307" s="11"/>
      <x:c r="J307" s="11"/>
      <x:c r="K307" s="12" t="str">
        <x:f>IF(A307="","",E307*F307+G307*H307+I307*J307)</x:f>
      </x:c>
      <x:c r="L307" s="9"/>
      <x:c r="M307" s="9" t="str">
        <x:f>IF(A307="","",INDEX('입고대장'!$M$7:$M$1006,MATCH(A307,'입고대장'!$A$7:$A$1006,0)))</x:f>
      </x:c>
      <x:c r="N307" s="9"/>
    </x:row>
    <x:row r="308" ht="23" customHeight="1">
      <x:c r="A308" s="9"/>
      <x:c r="B308" s="10"/>
      <x:c r="C308" s="11"/>
      <x:c r="D308" s="11"/>
      <x:c r="E308" s="11"/>
      <x:c r="F308" s="11"/>
      <x:c r="G308" s="11"/>
      <x:c r="H308" s="11"/>
      <x:c r="I308" s="11"/>
      <x:c r="J308" s="11"/>
      <x:c r="K308" s="12" t="str">
        <x:f>IF(A308="","",E308*F308+G308*H308+I308*J308)</x:f>
      </x:c>
      <x:c r="L308" s="9"/>
      <x:c r="M308" s="9" t="str">
        <x:f>IF(A308="","",INDEX('입고대장'!$M$7:$M$1006,MATCH(A308,'입고대장'!$A$7:$A$1006,0)))</x:f>
      </x:c>
      <x:c r="N308" s="9"/>
    </x:row>
    <x:row r="309" ht="23" customHeight="1">
      <x:c r="A309" s="9"/>
      <x:c r="B309" s="10"/>
      <x:c r="C309" s="11"/>
      <x:c r="D309" s="11"/>
      <x:c r="E309" s="11"/>
      <x:c r="F309" s="11"/>
      <x:c r="G309" s="11"/>
      <x:c r="H309" s="11"/>
      <x:c r="I309" s="11"/>
      <x:c r="J309" s="11"/>
      <x:c r="K309" s="12" t="str">
        <x:f>IF(A309="","",E309*F309+G309*H309+I309*J309)</x:f>
      </x:c>
      <x:c r="L309" s="9"/>
      <x:c r="M309" s="9" t="str">
        <x:f>IF(A309="","",INDEX('입고대장'!$M$7:$M$1006,MATCH(A309,'입고대장'!$A$7:$A$1006,0)))</x:f>
      </x:c>
      <x:c r="N309" s="9"/>
    </x:row>
    <x:row r="310" ht="23" customHeight="1">
      <x:c r="A310" s="9"/>
      <x:c r="B310" s="10"/>
      <x:c r="C310" s="11"/>
      <x:c r="D310" s="11"/>
      <x:c r="E310" s="11"/>
      <x:c r="F310" s="11"/>
      <x:c r="G310" s="11"/>
      <x:c r="H310" s="11"/>
      <x:c r="I310" s="11"/>
      <x:c r="J310" s="11"/>
      <x:c r="K310" s="12" t="str">
        <x:f>IF(A310="","",E310*F310+G310*H310+I310*J310)</x:f>
      </x:c>
      <x:c r="L310" s="9"/>
      <x:c r="M310" s="9" t="str">
        <x:f>IF(A310="","",INDEX('입고대장'!$M$7:$M$1006,MATCH(A310,'입고대장'!$A$7:$A$1006,0)))</x:f>
      </x:c>
      <x:c r="N310" s="9"/>
    </x:row>
    <x:row r="311" ht="23" customHeight="1">
      <x:c r="A311" s="9"/>
      <x:c r="B311" s="10"/>
      <x:c r="C311" s="11"/>
      <x:c r="D311" s="11"/>
      <x:c r="E311" s="11"/>
      <x:c r="F311" s="11"/>
      <x:c r="G311" s="11"/>
      <x:c r="H311" s="11"/>
      <x:c r="I311" s="11"/>
      <x:c r="J311" s="11"/>
      <x:c r="K311" s="12" t="str">
        <x:f>IF(A311="","",E311*F311+G311*H311+I311*J311)</x:f>
      </x:c>
      <x:c r="L311" s="9"/>
      <x:c r="M311" s="9" t="str">
        <x:f>IF(A311="","",INDEX('입고대장'!$M$7:$M$1006,MATCH(A311,'입고대장'!$A$7:$A$1006,0)))</x:f>
      </x:c>
      <x:c r="N311" s="9"/>
    </x:row>
    <x:row r="312" ht="23" customHeight="1">
      <x:c r="A312" s="9"/>
      <x:c r="B312" s="10"/>
      <x:c r="C312" s="11"/>
      <x:c r="D312" s="11"/>
      <x:c r="E312" s="11"/>
      <x:c r="F312" s="11"/>
      <x:c r="G312" s="11"/>
      <x:c r="H312" s="11"/>
      <x:c r="I312" s="11"/>
      <x:c r="J312" s="11"/>
      <x:c r="K312" s="12" t="str">
        <x:f>IF(A312="","",E312*F312+G312*H312+I312*J312)</x:f>
      </x:c>
      <x:c r="L312" s="9"/>
      <x:c r="M312" s="9" t="str">
        <x:f>IF(A312="","",INDEX('입고대장'!$M$7:$M$1006,MATCH(A312,'입고대장'!$A$7:$A$1006,0)))</x:f>
      </x:c>
      <x:c r="N312" s="9"/>
    </x:row>
    <x:row r="313" ht="23" customHeight="1">
      <x:c r="A313" s="9"/>
      <x:c r="B313" s="10"/>
      <x:c r="C313" s="11"/>
      <x:c r="D313" s="11"/>
      <x:c r="E313" s="11"/>
      <x:c r="F313" s="11"/>
      <x:c r="G313" s="11"/>
      <x:c r="H313" s="11"/>
      <x:c r="I313" s="11"/>
      <x:c r="J313" s="11"/>
      <x:c r="K313" s="12" t="str">
        <x:f>IF(A313="","",E313*F313+G313*H313+I313*J313)</x:f>
      </x:c>
      <x:c r="L313" s="9"/>
      <x:c r="M313" s="9" t="str">
        <x:f>IF(A313="","",INDEX('입고대장'!$M$7:$M$1006,MATCH(A313,'입고대장'!$A$7:$A$1006,0)))</x:f>
      </x:c>
      <x:c r="N313" s="9"/>
    </x:row>
    <x:row r="314" ht="23" customHeight="1">
      <x:c r="A314" s="9"/>
      <x:c r="B314" s="10"/>
      <x:c r="C314" s="11"/>
      <x:c r="D314" s="11"/>
      <x:c r="E314" s="11"/>
      <x:c r="F314" s="11"/>
      <x:c r="G314" s="11"/>
      <x:c r="H314" s="11"/>
      <x:c r="I314" s="11"/>
      <x:c r="J314" s="11"/>
      <x:c r="K314" s="12" t="str">
        <x:f>IF(A314="","",E314*F314+G314*H314+I314*J314)</x:f>
      </x:c>
      <x:c r="L314" s="9"/>
      <x:c r="M314" s="9" t="str">
        <x:f>IF(A314="","",INDEX('입고대장'!$M$7:$M$1006,MATCH(A314,'입고대장'!$A$7:$A$1006,0)))</x:f>
      </x:c>
      <x:c r="N314" s="9"/>
    </x:row>
    <x:row r="315" ht="23" customHeight="1">
      <x:c r="A315" s="9"/>
      <x:c r="B315" s="10"/>
      <x:c r="C315" s="11"/>
      <x:c r="D315" s="11"/>
      <x:c r="E315" s="11"/>
      <x:c r="F315" s="11"/>
      <x:c r="G315" s="11"/>
      <x:c r="H315" s="11"/>
      <x:c r="I315" s="11"/>
      <x:c r="J315" s="11"/>
      <x:c r="K315" s="12" t="str">
        <x:f>IF(A315="","",E315*F315+G315*H315+I315*J315)</x:f>
      </x:c>
      <x:c r="L315" s="9"/>
      <x:c r="M315" s="9" t="str">
        <x:f>IF(A315="","",INDEX('입고대장'!$M$7:$M$1006,MATCH(A315,'입고대장'!$A$7:$A$1006,0)))</x:f>
      </x:c>
      <x:c r="N315" s="9"/>
    </x:row>
    <x:row r="316" ht="23" customHeight="1">
      <x:c r="A316" s="9"/>
      <x:c r="B316" s="10"/>
      <x:c r="C316" s="11"/>
      <x:c r="D316" s="11"/>
      <x:c r="E316" s="11"/>
      <x:c r="F316" s="11"/>
      <x:c r="G316" s="11"/>
      <x:c r="H316" s="11"/>
      <x:c r="I316" s="11"/>
      <x:c r="J316" s="11"/>
      <x:c r="K316" s="12" t="str">
        <x:f>IF(A316="","",E316*F316+G316*H316+I316*J316)</x:f>
      </x:c>
      <x:c r="L316" s="9"/>
      <x:c r="M316" s="9" t="str">
        <x:f>IF(A316="","",INDEX('입고대장'!$M$7:$M$1006,MATCH(A316,'입고대장'!$A$7:$A$1006,0)))</x:f>
      </x:c>
      <x:c r="N316" s="9"/>
    </x:row>
    <x:row r="317" ht="23" customHeight="1">
      <x:c r="A317" s="9"/>
      <x:c r="B317" s="10"/>
      <x:c r="C317" s="11"/>
      <x:c r="D317" s="11"/>
      <x:c r="E317" s="11"/>
      <x:c r="F317" s="11"/>
      <x:c r="G317" s="11"/>
      <x:c r="H317" s="11"/>
      <x:c r="I317" s="11"/>
      <x:c r="J317" s="11"/>
      <x:c r="K317" s="12" t="str">
        <x:f>IF(A317="","",E317*F317+G317*H317+I317*J317)</x:f>
      </x:c>
      <x:c r="L317" s="9"/>
      <x:c r="M317" s="9" t="str">
        <x:f>IF(A317="","",INDEX('입고대장'!$M$7:$M$1006,MATCH(A317,'입고대장'!$A$7:$A$1006,0)))</x:f>
      </x:c>
      <x:c r="N317" s="9"/>
    </x:row>
    <x:row r="318" ht="23" customHeight="1">
      <x:c r="A318" s="9"/>
      <x:c r="B318" s="10"/>
      <x:c r="C318" s="11"/>
      <x:c r="D318" s="11"/>
      <x:c r="E318" s="11"/>
      <x:c r="F318" s="11"/>
      <x:c r="G318" s="11"/>
      <x:c r="H318" s="11"/>
      <x:c r="I318" s="11"/>
      <x:c r="J318" s="11"/>
      <x:c r="K318" s="12" t="str">
        <x:f>IF(A318="","",E318*F318+G318*H318+I318*J318)</x:f>
      </x:c>
      <x:c r="L318" s="9"/>
      <x:c r="M318" s="9" t="str">
        <x:f>IF(A318="","",INDEX('입고대장'!$M$7:$M$1006,MATCH(A318,'입고대장'!$A$7:$A$1006,0)))</x:f>
      </x:c>
      <x:c r="N318" s="9"/>
    </x:row>
    <x:row r="319" ht="23" customHeight="1">
      <x:c r="A319" s="9"/>
      <x:c r="B319" s="10"/>
      <x:c r="C319" s="11"/>
      <x:c r="D319" s="11"/>
      <x:c r="E319" s="11"/>
      <x:c r="F319" s="11"/>
      <x:c r="G319" s="11"/>
      <x:c r="H319" s="11"/>
      <x:c r="I319" s="11"/>
      <x:c r="J319" s="11"/>
      <x:c r="K319" s="12" t="str">
        <x:f>IF(A319="","",E319*F319+G319*H319+I319*J319)</x:f>
      </x:c>
      <x:c r="L319" s="9"/>
      <x:c r="M319" s="9" t="str">
        <x:f>IF(A319="","",INDEX('입고대장'!$M$7:$M$1006,MATCH(A319,'입고대장'!$A$7:$A$1006,0)))</x:f>
      </x:c>
      <x:c r="N319" s="9"/>
    </x:row>
    <x:row r="320" ht="23" customHeight="1">
      <x:c r="A320" s="9"/>
      <x:c r="B320" s="10"/>
      <x:c r="C320" s="11"/>
      <x:c r="D320" s="11"/>
      <x:c r="E320" s="11"/>
      <x:c r="F320" s="11"/>
      <x:c r="G320" s="11"/>
      <x:c r="H320" s="11"/>
      <x:c r="I320" s="11"/>
      <x:c r="J320" s="11"/>
      <x:c r="K320" s="12" t="str">
        <x:f>IF(A320="","",E320*F320+G320*H320+I320*J320)</x:f>
      </x:c>
      <x:c r="L320" s="9"/>
      <x:c r="M320" s="9" t="str">
        <x:f>IF(A320="","",INDEX('입고대장'!$M$7:$M$1006,MATCH(A320,'입고대장'!$A$7:$A$1006,0)))</x:f>
      </x:c>
      <x:c r="N320" s="9"/>
    </x:row>
    <x:row r="321" ht="23" customHeight="1">
      <x:c r="A321" s="9"/>
      <x:c r="B321" s="10"/>
      <x:c r="C321" s="11"/>
      <x:c r="D321" s="11"/>
      <x:c r="E321" s="11"/>
      <x:c r="F321" s="11"/>
      <x:c r="G321" s="11"/>
      <x:c r="H321" s="11"/>
      <x:c r="I321" s="11"/>
      <x:c r="J321" s="11"/>
      <x:c r="K321" s="12" t="str">
        <x:f>IF(A321="","",E321*F321+G321*H321+I321*J321)</x:f>
      </x:c>
      <x:c r="L321" s="9"/>
      <x:c r="M321" s="9" t="str">
        <x:f>IF(A321="","",INDEX('입고대장'!$M$7:$M$1006,MATCH(A321,'입고대장'!$A$7:$A$1006,0)))</x:f>
      </x:c>
      <x:c r="N321" s="9"/>
    </x:row>
    <x:row r="322" ht="23" customHeight="1">
      <x:c r="A322" s="9"/>
      <x:c r="B322" s="10"/>
      <x:c r="C322" s="11"/>
      <x:c r="D322" s="11"/>
      <x:c r="E322" s="11"/>
      <x:c r="F322" s="11"/>
      <x:c r="G322" s="11"/>
      <x:c r="H322" s="11"/>
      <x:c r="I322" s="11"/>
      <x:c r="J322" s="11"/>
      <x:c r="K322" s="12" t="str">
        <x:f>IF(A322="","",E322*F322+G322*H322+I322*J322)</x:f>
      </x:c>
      <x:c r="L322" s="9"/>
      <x:c r="M322" s="9" t="str">
        <x:f>IF(A322="","",INDEX('입고대장'!$M$7:$M$1006,MATCH(A322,'입고대장'!$A$7:$A$1006,0)))</x:f>
      </x:c>
      <x:c r="N322" s="9"/>
    </x:row>
    <x:row r="323" ht="23" customHeight="1">
      <x:c r="A323" s="9"/>
      <x:c r="B323" s="10"/>
      <x:c r="C323" s="11"/>
      <x:c r="D323" s="11"/>
      <x:c r="E323" s="11"/>
      <x:c r="F323" s="11"/>
      <x:c r="G323" s="11"/>
      <x:c r="H323" s="11"/>
      <x:c r="I323" s="11"/>
      <x:c r="J323" s="11"/>
      <x:c r="K323" s="12" t="str">
        <x:f>IF(A323="","",E323*F323+G323*H323+I323*J323)</x:f>
      </x:c>
      <x:c r="L323" s="9"/>
      <x:c r="M323" s="9" t="str">
        <x:f>IF(A323="","",INDEX('입고대장'!$M$7:$M$1006,MATCH(A323,'입고대장'!$A$7:$A$1006,0)))</x:f>
      </x:c>
      <x:c r="N323" s="9"/>
    </x:row>
    <x:row r="324" ht="23" customHeight="1">
      <x:c r="A324" s="9"/>
      <x:c r="B324" s="10"/>
      <x:c r="C324" s="11"/>
      <x:c r="D324" s="11"/>
      <x:c r="E324" s="11"/>
      <x:c r="F324" s="11"/>
      <x:c r="G324" s="11"/>
      <x:c r="H324" s="11"/>
      <x:c r="I324" s="11"/>
      <x:c r="J324" s="11"/>
      <x:c r="K324" s="12" t="str">
        <x:f>IF(A324="","",E324*F324+G324*H324+I324*J324)</x:f>
      </x:c>
      <x:c r="L324" s="9"/>
      <x:c r="M324" s="9" t="str">
        <x:f>IF(A324="","",INDEX('입고대장'!$M$7:$M$1006,MATCH(A324,'입고대장'!$A$7:$A$1006,0)))</x:f>
      </x:c>
      <x:c r="N324" s="9"/>
    </x:row>
    <x:row r="325" ht="23" customHeight="1">
      <x:c r="A325" s="9"/>
      <x:c r="B325" s="10"/>
      <x:c r="C325" s="11"/>
      <x:c r="D325" s="11"/>
      <x:c r="E325" s="11"/>
      <x:c r="F325" s="11"/>
      <x:c r="G325" s="11"/>
      <x:c r="H325" s="11"/>
      <x:c r="I325" s="11"/>
      <x:c r="J325" s="11"/>
      <x:c r="K325" s="12" t="str">
        <x:f>IF(A325="","",E325*F325+G325*H325+I325*J325)</x:f>
      </x:c>
      <x:c r="L325" s="9"/>
      <x:c r="M325" s="9" t="str">
        <x:f>IF(A325="","",INDEX('입고대장'!$M$7:$M$1006,MATCH(A325,'입고대장'!$A$7:$A$1006,0)))</x:f>
      </x:c>
      <x:c r="N325" s="9"/>
    </x:row>
    <x:row r="326" ht="23" customHeight="1">
      <x:c r="A326" s="9"/>
      <x:c r="B326" s="10"/>
      <x:c r="C326" s="11"/>
      <x:c r="D326" s="11"/>
      <x:c r="E326" s="11"/>
      <x:c r="F326" s="11"/>
      <x:c r="G326" s="11"/>
      <x:c r="H326" s="11"/>
      <x:c r="I326" s="11"/>
      <x:c r="J326" s="11"/>
      <x:c r="K326" s="12" t="str">
        <x:f>IF(A326="","",E326*F326+G326*H326+I326*J326)</x:f>
      </x:c>
      <x:c r="L326" s="9"/>
      <x:c r="M326" s="9" t="str">
        <x:f>IF(A326="","",INDEX('입고대장'!$M$7:$M$1006,MATCH(A326,'입고대장'!$A$7:$A$1006,0)))</x:f>
      </x:c>
      <x:c r="N326" s="9"/>
    </x:row>
    <x:row r="327" ht="23" customHeight="1">
      <x:c r="A327" s="9"/>
      <x:c r="B327" s="10"/>
      <x:c r="C327" s="11"/>
      <x:c r="D327" s="11"/>
      <x:c r="E327" s="11"/>
      <x:c r="F327" s="11"/>
      <x:c r="G327" s="11"/>
      <x:c r="H327" s="11"/>
      <x:c r="I327" s="11"/>
      <x:c r="J327" s="11"/>
      <x:c r="K327" s="12" t="str">
        <x:f>IF(A327="","",E327*F327+G327*H327+I327*J327)</x:f>
      </x:c>
      <x:c r="L327" s="9"/>
      <x:c r="M327" s="9" t="str">
        <x:f>IF(A327="","",INDEX('입고대장'!$M$7:$M$1006,MATCH(A327,'입고대장'!$A$7:$A$1006,0)))</x:f>
      </x:c>
      <x:c r="N327" s="9"/>
    </x:row>
    <x:row r="328" ht="23" customHeight="1">
      <x:c r="A328" s="9"/>
      <x:c r="B328" s="10"/>
      <x:c r="C328" s="11"/>
      <x:c r="D328" s="11"/>
      <x:c r="E328" s="11"/>
      <x:c r="F328" s="11"/>
      <x:c r="G328" s="11"/>
      <x:c r="H328" s="11"/>
      <x:c r="I328" s="11"/>
      <x:c r="J328" s="11"/>
      <x:c r="K328" s="12" t="str">
        <x:f>IF(A328="","",E328*F328+G328*H328+I328*J328)</x:f>
      </x:c>
      <x:c r="L328" s="9"/>
      <x:c r="M328" s="9" t="str">
        <x:f>IF(A328="","",INDEX('입고대장'!$M$7:$M$1006,MATCH(A328,'입고대장'!$A$7:$A$1006,0)))</x:f>
      </x:c>
      <x:c r="N328" s="9"/>
    </x:row>
    <x:row r="329" ht="23" customHeight="1">
      <x:c r="A329" s="9"/>
      <x:c r="B329" s="10"/>
      <x:c r="C329" s="11"/>
      <x:c r="D329" s="11"/>
      <x:c r="E329" s="11"/>
      <x:c r="F329" s="11"/>
      <x:c r="G329" s="11"/>
      <x:c r="H329" s="11"/>
      <x:c r="I329" s="11"/>
      <x:c r="J329" s="11"/>
      <x:c r="K329" s="12" t="str">
        <x:f>IF(A329="","",E329*F329+G329*H329+I329*J329)</x:f>
      </x:c>
      <x:c r="L329" s="9"/>
      <x:c r="M329" s="9" t="str">
        <x:f>IF(A329="","",INDEX('입고대장'!$M$7:$M$1006,MATCH(A329,'입고대장'!$A$7:$A$1006,0)))</x:f>
      </x:c>
      <x:c r="N329" s="9"/>
    </x:row>
    <x:row r="330" ht="23" customHeight="1">
      <x:c r="A330" s="9"/>
      <x:c r="B330" s="10"/>
      <x:c r="C330" s="11"/>
      <x:c r="D330" s="11"/>
      <x:c r="E330" s="11"/>
      <x:c r="F330" s="11"/>
      <x:c r="G330" s="11"/>
      <x:c r="H330" s="11"/>
      <x:c r="I330" s="11"/>
      <x:c r="J330" s="11"/>
      <x:c r="K330" s="12" t="str">
        <x:f>IF(A330="","",E330*F330+G330*H330+I330*J330)</x:f>
      </x:c>
      <x:c r="L330" s="9"/>
      <x:c r="M330" s="9" t="str">
        <x:f>IF(A330="","",INDEX('입고대장'!$M$7:$M$1006,MATCH(A330,'입고대장'!$A$7:$A$1006,0)))</x:f>
      </x:c>
      <x:c r="N330" s="9"/>
    </x:row>
    <x:row r="331" ht="23" customHeight="1">
      <x:c r="A331" s="9"/>
      <x:c r="B331" s="10"/>
      <x:c r="C331" s="11"/>
      <x:c r="D331" s="11"/>
      <x:c r="E331" s="11"/>
      <x:c r="F331" s="11"/>
      <x:c r="G331" s="11"/>
      <x:c r="H331" s="11"/>
      <x:c r="I331" s="11"/>
      <x:c r="J331" s="11"/>
      <x:c r="K331" s="12" t="str">
        <x:f>IF(A331="","",E331*F331+G331*H331+I331*J331)</x:f>
      </x:c>
      <x:c r="L331" s="9"/>
      <x:c r="M331" s="9" t="str">
        <x:f>IF(A331="","",INDEX('입고대장'!$M$7:$M$1006,MATCH(A331,'입고대장'!$A$7:$A$1006,0)))</x:f>
      </x:c>
      <x:c r="N331" s="9"/>
    </x:row>
    <x:row r="332" ht="23" customHeight="1">
      <x:c r="A332" s="9"/>
      <x:c r="B332" s="10"/>
      <x:c r="C332" s="11"/>
      <x:c r="D332" s="11"/>
      <x:c r="E332" s="11"/>
      <x:c r="F332" s="11"/>
      <x:c r="G332" s="11"/>
      <x:c r="H332" s="11"/>
      <x:c r="I332" s="11"/>
      <x:c r="J332" s="11"/>
      <x:c r="K332" s="12" t="str">
        <x:f>IF(A332="","",E332*F332+G332*H332+I332*J332)</x:f>
      </x:c>
      <x:c r="L332" s="9"/>
      <x:c r="M332" s="9" t="str">
        <x:f>IF(A332="","",INDEX('입고대장'!$M$7:$M$1006,MATCH(A332,'입고대장'!$A$7:$A$1006,0)))</x:f>
      </x:c>
      <x:c r="N332" s="9"/>
    </x:row>
    <x:row r="333" ht="23" customHeight="1">
      <x:c r="A333" s="9"/>
      <x:c r="B333" s="10"/>
      <x:c r="C333" s="11"/>
      <x:c r="D333" s="11"/>
      <x:c r="E333" s="11"/>
      <x:c r="F333" s="11"/>
      <x:c r="G333" s="11"/>
      <x:c r="H333" s="11"/>
      <x:c r="I333" s="11"/>
      <x:c r="J333" s="11"/>
      <x:c r="K333" s="12" t="str">
        <x:f>IF(A333="","",E333*F333+G333*H333+I333*J333)</x:f>
      </x:c>
      <x:c r="L333" s="9"/>
      <x:c r="M333" s="9" t="str">
        <x:f>IF(A333="","",INDEX('입고대장'!$M$7:$M$1006,MATCH(A333,'입고대장'!$A$7:$A$1006,0)))</x:f>
      </x:c>
      <x:c r="N333" s="9"/>
    </x:row>
    <x:row r="334" ht="23" customHeight="1">
      <x:c r="A334" s="9"/>
      <x:c r="B334" s="10"/>
      <x:c r="C334" s="11"/>
      <x:c r="D334" s="11"/>
      <x:c r="E334" s="11"/>
      <x:c r="F334" s="11"/>
      <x:c r="G334" s="11"/>
      <x:c r="H334" s="11"/>
      <x:c r="I334" s="11"/>
      <x:c r="J334" s="11"/>
      <x:c r="K334" s="12" t="str">
        <x:f>IF(A334="","",E334*F334+G334*H334+I334*J334)</x:f>
      </x:c>
      <x:c r="L334" s="9"/>
      <x:c r="M334" s="9" t="str">
        <x:f>IF(A334="","",INDEX('입고대장'!$M$7:$M$1006,MATCH(A334,'입고대장'!$A$7:$A$1006,0)))</x:f>
      </x:c>
      <x:c r="N334" s="9"/>
    </x:row>
    <x:row r="335" ht="23" customHeight="1">
      <x:c r="A335" s="9"/>
      <x:c r="B335" s="10"/>
      <x:c r="C335" s="11"/>
      <x:c r="D335" s="11"/>
      <x:c r="E335" s="11"/>
      <x:c r="F335" s="11"/>
      <x:c r="G335" s="11"/>
      <x:c r="H335" s="11"/>
      <x:c r="I335" s="11"/>
      <x:c r="J335" s="11"/>
      <x:c r="K335" s="12" t="str">
        <x:f>IF(A335="","",E335*F335+G335*H335+I335*J335)</x:f>
      </x:c>
      <x:c r="L335" s="9"/>
      <x:c r="M335" s="9" t="str">
        <x:f>IF(A335="","",INDEX('입고대장'!$M$7:$M$1006,MATCH(A335,'입고대장'!$A$7:$A$1006,0)))</x:f>
      </x:c>
      <x:c r="N335" s="9"/>
    </x:row>
    <x:row r="336" ht="23" customHeight="1">
      <x:c r="A336" s="9"/>
      <x:c r="B336" s="10"/>
      <x:c r="C336" s="11"/>
      <x:c r="D336" s="11"/>
      <x:c r="E336" s="11"/>
      <x:c r="F336" s="11"/>
      <x:c r="G336" s="11"/>
      <x:c r="H336" s="11"/>
      <x:c r="I336" s="11"/>
      <x:c r="J336" s="11"/>
      <x:c r="K336" s="12" t="str">
        <x:f>IF(A336="","",E336*F336+G336*H336+I336*J336)</x:f>
      </x:c>
      <x:c r="L336" s="9"/>
      <x:c r="M336" s="9" t="str">
        <x:f>IF(A336="","",INDEX('입고대장'!$M$7:$M$1006,MATCH(A336,'입고대장'!$A$7:$A$1006,0)))</x:f>
      </x:c>
      <x:c r="N336" s="9"/>
    </x:row>
    <x:row r="337" ht="23" customHeight="1">
      <x:c r="A337" s="9"/>
      <x:c r="B337" s="10"/>
      <x:c r="C337" s="11"/>
      <x:c r="D337" s="11"/>
      <x:c r="E337" s="11"/>
      <x:c r="F337" s="11"/>
      <x:c r="G337" s="11"/>
      <x:c r="H337" s="11"/>
      <x:c r="I337" s="11"/>
      <x:c r="J337" s="11"/>
      <x:c r="K337" s="12" t="str">
        <x:f>IF(A337="","",E337*F337+G337*H337+I337*J337)</x:f>
      </x:c>
      <x:c r="L337" s="9"/>
      <x:c r="M337" s="9" t="str">
        <x:f>IF(A337="","",INDEX('입고대장'!$M$7:$M$1006,MATCH(A337,'입고대장'!$A$7:$A$1006,0)))</x:f>
      </x:c>
      <x:c r="N337" s="9"/>
    </x:row>
    <x:row r="338" ht="23" customHeight="1">
      <x:c r="A338" s="9"/>
      <x:c r="B338" s="10"/>
      <x:c r="C338" s="11"/>
      <x:c r="D338" s="11"/>
      <x:c r="E338" s="11"/>
      <x:c r="F338" s="11"/>
      <x:c r="G338" s="11"/>
      <x:c r="H338" s="11"/>
      <x:c r="I338" s="11"/>
      <x:c r="J338" s="11"/>
      <x:c r="K338" s="12" t="str">
        <x:f>IF(A338="","",E338*F338+G338*H338+I338*J338)</x:f>
      </x:c>
      <x:c r="L338" s="9"/>
      <x:c r="M338" s="9" t="str">
        <x:f>IF(A338="","",INDEX('입고대장'!$M$7:$M$1006,MATCH(A338,'입고대장'!$A$7:$A$1006,0)))</x:f>
      </x:c>
      <x:c r="N338" s="9"/>
    </x:row>
    <x:row r="339" ht="23" customHeight="1">
      <x:c r="A339" s="9"/>
      <x:c r="B339" s="10"/>
      <x:c r="C339" s="11"/>
      <x:c r="D339" s="11"/>
      <x:c r="E339" s="11"/>
      <x:c r="F339" s="11"/>
      <x:c r="G339" s="11"/>
      <x:c r="H339" s="11"/>
      <x:c r="I339" s="11"/>
      <x:c r="J339" s="11"/>
      <x:c r="K339" s="12" t="str">
        <x:f>IF(A339="","",E339*F339+G339*H339+I339*J339)</x:f>
      </x:c>
      <x:c r="L339" s="9"/>
      <x:c r="M339" s="9" t="str">
        <x:f>IF(A339="","",INDEX('입고대장'!$M$7:$M$1006,MATCH(A339,'입고대장'!$A$7:$A$1006,0)))</x:f>
      </x:c>
      <x:c r="N339" s="9"/>
    </x:row>
    <x:row r="340" ht="23" customHeight="1">
      <x:c r="A340" s="9"/>
      <x:c r="B340" s="10"/>
      <x:c r="C340" s="11"/>
      <x:c r="D340" s="11"/>
      <x:c r="E340" s="11"/>
      <x:c r="F340" s="11"/>
      <x:c r="G340" s="11"/>
      <x:c r="H340" s="11"/>
      <x:c r="I340" s="11"/>
      <x:c r="J340" s="11"/>
      <x:c r="K340" s="12" t="str">
        <x:f>IF(A340="","",E340*F340+G340*H340+I340*J340)</x:f>
      </x:c>
      <x:c r="L340" s="9"/>
      <x:c r="M340" s="9" t="str">
        <x:f>IF(A340="","",INDEX('입고대장'!$M$7:$M$1006,MATCH(A340,'입고대장'!$A$7:$A$1006,0)))</x:f>
      </x:c>
      <x:c r="N340" s="9"/>
    </x:row>
    <x:row r="341" ht="23" customHeight="1">
      <x:c r="A341" s="9"/>
      <x:c r="B341" s="10"/>
      <x:c r="C341" s="11"/>
      <x:c r="D341" s="11"/>
      <x:c r="E341" s="11"/>
      <x:c r="F341" s="11"/>
      <x:c r="G341" s="11"/>
      <x:c r="H341" s="11"/>
      <x:c r="I341" s="11"/>
      <x:c r="J341" s="11"/>
      <x:c r="K341" s="12" t="str">
        <x:f>IF(A341="","",E341*F341+G341*H341+I341*J341)</x:f>
      </x:c>
      <x:c r="L341" s="9"/>
      <x:c r="M341" s="9" t="str">
        <x:f>IF(A341="","",INDEX('입고대장'!$M$7:$M$1006,MATCH(A341,'입고대장'!$A$7:$A$1006,0)))</x:f>
      </x:c>
      <x:c r="N341" s="9"/>
    </x:row>
    <x:row r="342" ht="23" customHeight="1">
      <x:c r="A342" s="9"/>
      <x:c r="B342" s="10"/>
      <x:c r="C342" s="11"/>
      <x:c r="D342" s="11"/>
      <x:c r="E342" s="11"/>
      <x:c r="F342" s="11"/>
      <x:c r="G342" s="11"/>
      <x:c r="H342" s="11"/>
      <x:c r="I342" s="11"/>
      <x:c r="J342" s="11"/>
      <x:c r="K342" s="12" t="str">
        <x:f>IF(A342="","",E342*F342+G342*H342+I342*J342)</x:f>
      </x:c>
      <x:c r="L342" s="9"/>
      <x:c r="M342" s="9" t="str">
        <x:f>IF(A342="","",INDEX('입고대장'!$M$7:$M$1006,MATCH(A342,'입고대장'!$A$7:$A$1006,0)))</x:f>
      </x:c>
      <x:c r="N342" s="9"/>
    </x:row>
    <x:row r="343" ht="23" customHeight="1">
      <x:c r="A343" s="9"/>
      <x:c r="B343" s="10"/>
      <x:c r="C343" s="11"/>
      <x:c r="D343" s="11"/>
      <x:c r="E343" s="11"/>
      <x:c r="F343" s="11"/>
      <x:c r="G343" s="11"/>
      <x:c r="H343" s="11"/>
      <x:c r="I343" s="11"/>
      <x:c r="J343" s="11"/>
      <x:c r="K343" s="12" t="str">
        <x:f>IF(A343="","",E343*F343+G343*H343+I343*J343)</x:f>
      </x:c>
      <x:c r="L343" s="9"/>
      <x:c r="M343" s="9" t="str">
        <x:f>IF(A343="","",INDEX('입고대장'!$M$7:$M$1006,MATCH(A343,'입고대장'!$A$7:$A$1006,0)))</x:f>
      </x:c>
      <x:c r="N343" s="9"/>
    </x:row>
    <x:row r="344" ht="23" customHeight="1">
      <x:c r="A344" s="9"/>
      <x:c r="B344" s="10"/>
      <x:c r="C344" s="11"/>
      <x:c r="D344" s="11"/>
      <x:c r="E344" s="11"/>
      <x:c r="F344" s="11"/>
      <x:c r="G344" s="11"/>
      <x:c r="H344" s="11"/>
      <x:c r="I344" s="11"/>
      <x:c r="J344" s="11"/>
      <x:c r="K344" s="12" t="str">
        <x:f>IF(A344="","",E344*F344+G344*H344+I344*J344)</x:f>
      </x:c>
      <x:c r="L344" s="9"/>
      <x:c r="M344" s="9" t="str">
        <x:f>IF(A344="","",INDEX('입고대장'!$M$7:$M$1006,MATCH(A344,'입고대장'!$A$7:$A$1006,0)))</x:f>
      </x:c>
      <x:c r="N344" s="9"/>
    </x:row>
    <x:row r="345" ht="23" customHeight="1">
      <x:c r="A345" s="9"/>
      <x:c r="B345" s="10"/>
      <x:c r="C345" s="11"/>
      <x:c r="D345" s="11"/>
      <x:c r="E345" s="11"/>
      <x:c r="F345" s="11"/>
      <x:c r="G345" s="11"/>
      <x:c r="H345" s="11"/>
      <x:c r="I345" s="11"/>
      <x:c r="J345" s="11"/>
      <x:c r="K345" s="12" t="str">
        <x:f>IF(A345="","",E345*F345+G345*H345+I345*J345)</x:f>
      </x:c>
      <x:c r="L345" s="9"/>
      <x:c r="M345" s="9" t="str">
        <x:f>IF(A345="","",INDEX('입고대장'!$M$7:$M$1006,MATCH(A345,'입고대장'!$A$7:$A$1006,0)))</x:f>
      </x:c>
      <x:c r="N345" s="9"/>
    </x:row>
    <x:row r="346" ht="23" customHeight="1">
      <x:c r="A346" s="9"/>
      <x:c r="B346" s="10"/>
      <x:c r="C346" s="11"/>
      <x:c r="D346" s="11"/>
      <x:c r="E346" s="11"/>
      <x:c r="F346" s="11"/>
      <x:c r="G346" s="11"/>
      <x:c r="H346" s="11"/>
      <x:c r="I346" s="11"/>
      <x:c r="J346" s="11"/>
      <x:c r="K346" s="12" t="str">
        <x:f>IF(A346="","",E346*F346+G346*H346+I346*J346)</x:f>
      </x:c>
      <x:c r="L346" s="9"/>
      <x:c r="M346" s="9" t="str">
        <x:f>IF(A346="","",INDEX('입고대장'!$M$7:$M$1006,MATCH(A346,'입고대장'!$A$7:$A$1006,0)))</x:f>
      </x:c>
      <x:c r="N346" s="9"/>
    </x:row>
    <x:row r="347" ht="23" customHeight="1">
      <x:c r="A347" s="9"/>
      <x:c r="B347" s="10"/>
      <x:c r="C347" s="11"/>
      <x:c r="D347" s="11"/>
      <x:c r="E347" s="11"/>
      <x:c r="F347" s="11"/>
      <x:c r="G347" s="11"/>
      <x:c r="H347" s="11"/>
      <x:c r="I347" s="11"/>
      <x:c r="J347" s="11"/>
      <x:c r="K347" s="12" t="str">
        <x:f>IF(A347="","",E347*F347+G347*H347+I347*J347)</x:f>
      </x:c>
      <x:c r="L347" s="9"/>
      <x:c r="M347" s="9" t="str">
        <x:f>IF(A347="","",INDEX('입고대장'!$M$7:$M$1006,MATCH(A347,'입고대장'!$A$7:$A$1006,0)))</x:f>
      </x:c>
      <x:c r="N347" s="9"/>
    </x:row>
    <x:row r="348" ht="23" customHeight="1">
      <x:c r="A348" s="9"/>
      <x:c r="B348" s="10"/>
      <x:c r="C348" s="11"/>
      <x:c r="D348" s="11"/>
      <x:c r="E348" s="11"/>
      <x:c r="F348" s="11"/>
      <x:c r="G348" s="11"/>
      <x:c r="H348" s="11"/>
      <x:c r="I348" s="11"/>
      <x:c r="J348" s="11"/>
      <x:c r="K348" s="12" t="str">
        <x:f>IF(A348="","",E348*F348+G348*H348+I348*J348)</x:f>
      </x:c>
      <x:c r="L348" s="9"/>
      <x:c r="M348" s="9" t="str">
        <x:f>IF(A348="","",INDEX('입고대장'!$M$7:$M$1006,MATCH(A348,'입고대장'!$A$7:$A$1006,0)))</x:f>
      </x:c>
      <x:c r="N348" s="9"/>
    </x:row>
    <x:row r="349" ht="23" customHeight="1">
      <x:c r="A349" s="9"/>
      <x:c r="B349" s="10"/>
      <x:c r="C349" s="11"/>
      <x:c r="D349" s="11"/>
      <x:c r="E349" s="11"/>
      <x:c r="F349" s="11"/>
      <x:c r="G349" s="11"/>
      <x:c r="H349" s="11"/>
      <x:c r="I349" s="11"/>
      <x:c r="J349" s="11"/>
      <x:c r="K349" s="12" t="str">
        <x:f>IF(A349="","",E349*F349+G349*H349+I349*J349)</x:f>
      </x:c>
      <x:c r="L349" s="9"/>
      <x:c r="M349" s="9" t="str">
        <x:f>IF(A349="","",INDEX('입고대장'!$M$7:$M$1006,MATCH(A349,'입고대장'!$A$7:$A$1006,0)))</x:f>
      </x:c>
      <x:c r="N349" s="9"/>
    </x:row>
    <x:row r="350" ht="23" customHeight="1">
      <x:c r="A350" s="9"/>
      <x:c r="B350" s="10"/>
      <x:c r="C350" s="11"/>
      <x:c r="D350" s="11"/>
      <x:c r="E350" s="11"/>
      <x:c r="F350" s="11"/>
      <x:c r="G350" s="11"/>
      <x:c r="H350" s="11"/>
      <x:c r="I350" s="11"/>
      <x:c r="J350" s="11"/>
      <x:c r="K350" s="12" t="str">
        <x:f>IF(A350="","",E350*F350+G350*H350+I350*J350)</x:f>
      </x:c>
      <x:c r="L350" s="9"/>
      <x:c r="M350" s="9" t="str">
        <x:f>IF(A350="","",INDEX('입고대장'!$M$7:$M$1006,MATCH(A350,'입고대장'!$A$7:$A$1006,0)))</x:f>
      </x:c>
      <x:c r="N350" s="9"/>
    </x:row>
    <x:row r="351" ht="23" customHeight="1">
      <x:c r="A351" s="9"/>
      <x:c r="B351" s="10"/>
      <x:c r="C351" s="11"/>
      <x:c r="D351" s="11"/>
      <x:c r="E351" s="11"/>
      <x:c r="F351" s="11"/>
      <x:c r="G351" s="11"/>
      <x:c r="H351" s="11"/>
      <x:c r="I351" s="11"/>
      <x:c r="J351" s="11"/>
      <x:c r="K351" s="12" t="str">
        <x:f>IF(A351="","",E351*F351+G351*H351+I351*J351)</x:f>
      </x:c>
      <x:c r="L351" s="9"/>
      <x:c r="M351" s="9" t="str">
        <x:f>IF(A351="","",INDEX('입고대장'!$M$7:$M$1006,MATCH(A351,'입고대장'!$A$7:$A$1006,0)))</x:f>
      </x:c>
      <x:c r="N351" s="9"/>
    </x:row>
    <x:row r="352" ht="23" customHeight="1">
      <x:c r="A352" s="9"/>
      <x:c r="B352" s="10"/>
      <x:c r="C352" s="11"/>
      <x:c r="D352" s="11"/>
      <x:c r="E352" s="11"/>
      <x:c r="F352" s="11"/>
      <x:c r="G352" s="11"/>
      <x:c r="H352" s="11"/>
      <x:c r="I352" s="11"/>
      <x:c r="J352" s="11"/>
      <x:c r="K352" s="12" t="str">
        <x:f>IF(A352="","",E352*F352+G352*H352+I352*J352)</x:f>
      </x:c>
      <x:c r="L352" s="9"/>
      <x:c r="M352" s="9" t="str">
        <x:f>IF(A352="","",INDEX('입고대장'!$M$7:$M$1006,MATCH(A352,'입고대장'!$A$7:$A$1006,0)))</x:f>
      </x:c>
      <x:c r="N352" s="9"/>
    </x:row>
    <x:row r="353" ht="23" customHeight="1">
      <x:c r="A353" s="9"/>
      <x:c r="B353" s="10"/>
      <x:c r="C353" s="11"/>
      <x:c r="D353" s="11"/>
      <x:c r="E353" s="11"/>
      <x:c r="F353" s="11"/>
      <x:c r="G353" s="11"/>
      <x:c r="H353" s="11"/>
      <x:c r="I353" s="11"/>
      <x:c r="J353" s="11"/>
      <x:c r="K353" s="12" t="str">
        <x:f>IF(A353="","",E353*F353+G353*H353+I353*J353)</x:f>
      </x:c>
      <x:c r="L353" s="9"/>
      <x:c r="M353" s="9" t="str">
        <x:f>IF(A353="","",INDEX('입고대장'!$M$7:$M$1006,MATCH(A353,'입고대장'!$A$7:$A$1006,0)))</x:f>
      </x:c>
      <x:c r="N353" s="9"/>
    </x:row>
    <x:row r="354" ht="23" customHeight="1">
      <x:c r="A354" s="9"/>
      <x:c r="B354" s="10"/>
      <x:c r="C354" s="11"/>
      <x:c r="D354" s="11"/>
      <x:c r="E354" s="11"/>
      <x:c r="F354" s="11"/>
      <x:c r="G354" s="11"/>
      <x:c r="H354" s="11"/>
      <x:c r="I354" s="11"/>
      <x:c r="J354" s="11"/>
      <x:c r="K354" s="12" t="str">
        <x:f>IF(A354="","",E354*F354+G354*H354+I354*J354)</x:f>
      </x:c>
      <x:c r="L354" s="9"/>
      <x:c r="M354" s="9" t="str">
        <x:f>IF(A354="","",INDEX('입고대장'!$M$7:$M$1006,MATCH(A354,'입고대장'!$A$7:$A$1006,0)))</x:f>
      </x:c>
      <x:c r="N354" s="9"/>
    </x:row>
    <x:row r="355" ht="23" customHeight="1">
      <x:c r="A355" s="9"/>
      <x:c r="B355" s="10"/>
      <x:c r="C355" s="11"/>
      <x:c r="D355" s="11"/>
      <x:c r="E355" s="11"/>
      <x:c r="F355" s="11"/>
      <x:c r="G355" s="11"/>
      <x:c r="H355" s="11"/>
      <x:c r="I355" s="11"/>
      <x:c r="J355" s="11"/>
      <x:c r="K355" s="12" t="str">
        <x:f>IF(A355="","",E355*F355+G355*H355+I355*J355)</x:f>
      </x:c>
      <x:c r="L355" s="9"/>
      <x:c r="M355" s="9" t="str">
        <x:f>IF(A355="","",INDEX('입고대장'!$M$7:$M$1006,MATCH(A355,'입고대장'!$A$7:$A$1006,0)))</x:f>
      </x:c>
      <x:c r="N355" s="9"/>
    </x:row>
    <x:row r="356" ht="23" customHeight="1">
      <x:c r="A356" s="9"/>
      <x:c r="B356" s="10"/>
      <x:c r="C356" s="11"/>
      <x:c r="D356" s="11"/>
      <x:c r="E356" s="11"/>
      <x:c r="F356" s="11"/>
      <x:c r="G356" s="11"/>
      <x:c r="H356" s="11"/>
      <x:c r="I356" s="11"/>
      <x:c r="J356" s="11"/>
      <x:c r="K356" s="12" t="str">
        <x:f>IF(A356="","",E356*F356+G356*H356+I356*J356)</x:f>
      </x:c>
      <x:c r="L356" s="9"/>
      <x:c r="M356" s="9" t="str">
        <x:f>IF(A356="","",INDEX('입고대장'!$M$7:$M$1006,MATCH(A356,'입고대장'!$A$7:$A$1006,0)))</x:f>
      </x:c>
      <x:c r="N356" s="9"/>
    </x:row>
    <x:row r="357" ht="23" customHeight="1">
      <x:c r="A357" s="9"/>
      <x:c r="B357" s="10"/>
      <x:c r="C357" s="11"/>
      <x:c r="D357" s="11"/>
      <x:c r="E357" s="11"/>
      <x:c r="F357" s="11"/>
      <x:c r="G357" s="11"/>
      <x:c r="H357" s="11"/>
      <x:c r="I357" s="11"/>
      <x:c r="J357" s="11"/>
      <x:c r="K357" s="12" t="str">
        <x:f>IF(A357="","",E357*F357+G357*H357+I357*J357)</x:f>
      </x:c>
      <x:c r="L357" s="9"/>
      <x:c r="M357" s="9" t="str">
        <x:f>IF(A357="","",INDEX('입고대장'!$M$7:$M$1006,MATCH(A357,'입고대장'!$A$7:$A$1006,0)))</x:f>
      </x:c>
      <x:c r="N357" s="9"/>
    </x:row>
    <x:row r="358" ht="23" customHeight="1">
      <x:c r="A358" s="9"/>
      <x:c r="B358" s="10"/>
      <x:c r="C358" s="11"/>
      <x:c r="D358" s="11"/>
      <x:c r="E358" s="11"/>
      <x:c r="F358" s="11"/>
      <x:c r="G358" s="11"/>
      <x:c r="H358" s="11"/>
      <x:c r="I358" s="11"/>
      <x:c r="J358" s="11"/>
      <x:c r="K358" s="12" t="str">
        <x:f>IF(A358="","",E358*F358+G358*H358+I358*J358)</x:f>
      </x:c>
      <x:c r="L358" s="9"/>
      <x:c r="M358" s="9" t="str">
        <x:f>IF(A358="","",INDEX('입고대장'!$M$7:$M$1006,MATCH(A358,'입고대장'!$A$7:$A$1006,0)))</x:f>
      </x:c>
      <x:c r="N358" s="9"/>
    </x:row>
    <x:row r="359" ht="23" customHeight="1">
      <x:c r="A359" s="9"/>
      <x:c r="B359" s="10"/>
      <x:c r="C359" s="11"/>
      <x:c r="D359" s="11"/>
      <x:c r="E359" s="11"/>
      <x:c r="F359" s="11"/>
      <x:c r="G359" s="11"/>
      <x:c r="H359" s="11"/>
      <x:c r="I359" s="11"/>
      <x:c r="J359" s="11"/>
      <x:c r="K359" s="12" t="str">
        <x:f>IF(A359="","",E359*F359+G359*H359+I359*J359)</x:f>
      </x:c>
      <x:c r="L359" s="9"/>
      <x:c r="M359" s="9" t="str">
        <x:f>IF(A359="","",INDEX('입고대장'!$M$7:$M$1006,MATCH(A359,'입고대장'!$A$7:$A$1006,0)))</x:f>
      </x:c>
      <x:c r="N359" s="9"/>
    </x:row>
    <x:row r="360" ht="23" customHeight="1">
      <x:c r="A360" s="9"/>
      <x:c r="B360" s="10"/>
      <x:c r="C360" s="11"/>
      <x:c r="D360" s="11"/>
      <x:c r="E360" s="11"/>
      <x:c r="F360" s="11"/>
      <x:c r="G360" s="11"/>
      <x:c r="H360" s="11"/>
      <x:c r="I360" s="11"/>
      <x:c r="J360" s="11"/>
      <x:c r="K360" s="12" t="str">
        <x:f>IF(A360="","",E360*F360+G360*H360+I360*J360)</x:f>
      </x:c>
      <x:c r="L360" s="9"/>
      <x:c r="M360" s="9" t="str">
        <x:f>IF(A360="","",INDEX('입고대장'!$M$7:$M$1006,MATCH(A360,'입고대장'!$A$7:$A$1006,0)))</x:f>
      </x:c>
      <x:c r="N360" s="9"/>
    </x:row>
    <x:row r="361" ht="23" customHeight="1">
      <x:c r="A361" s="9"/>
      <x:c r="B361" s="10"/>
      <x:c r="C361" s="11"/>
      <x:c r="D361" s="11"/>
      <x:c r="E361" s="11"/>
      <x:c r="F361" s="11"/>
      <x:c r="G361" s="11"/>
      <x:c r="H361" s="11"/>
      <x:c r="I361" s="11"/>
      <x:c r="J361" s="11"/>
      <x:c r="K361" s="12" t="str">
        <x:f>IF(A361="","",E361*F361+G361*H361+I361*J361)</x:f>
      </x:c>
      <x:c r="L361" s="9"/>
      <x:c r="M361" s="9" t="str">
        <x:f>IF(A361="","",INDEX('입고대장'!$M$7:$M$1006,MATCH(A361,'입고대장'!$A$7:$A$1006,0)))</x:f>
      </x:c>
      <x:c r="N361" s="9"/>
    </x:row>
    <x:row r="362" ht="23" customHeight="1">
      <x:c r="A362" s="9"/>
      <x:c r="B362" s="10"/>
      <x:c r="C362" s="11"/>
      <x:c r="D362" s="11"/>
      <x:c r="E362" s="11"/>
      <x:c r="F362" s="11"/>
      <x:c r="G362" s="11"/>
      <x:c r="H362" s="11"/>
      <x:c r="I362" s="11"/>
      <x:c r="J362" s="11"/>
      <x:c r="K362" s="12" t="str">
        <x:f>IF(A362="","",E362*F362+G362*H362+I362*J362)</x:f>
      </x:c>
      <x:c r="L362" s="9"/>
      <x:c r="M362" s="9" t="str">
        <x:f>IF(A362="","",INDEX('입고대장'!$M$7:$M$1006,MATCH(A362,'입고대장'!$A$7:$A$1006,0)))</x:f>
      </x:c>
      <x:c r="N362" s="9"/>
    </x:row>
    <x:row r="363" ht="23" customHeight="1">
      <x:c r="A363" s="9"/>
      <x:c r="B363" s="10"/>
      <x:c r="C363" s="11"/>
      <x:c r="D363" s="11"/>
      <x:c r="E363" s="11"/>
      <x:c r="F363" s="11"/>
      <x:c r="G363" s="11"/>
      <x:c r="H363" s="11"/>
      <x:c r="I363" s="11"/>
      <x:c r="J363" s="11"/>
      <x:c r="K363" s="12" t="str">
        <x:f>IF(A363="","",E363*F363+G363*H363+I363*J363)</x:f>
      </x:c>
      <x:c r="L363" s="9"/>
      <x:c r="M363" s="9" t="str">
        <x:f>IF(A363="","",INDEX('입고대장'!$M$7:$M$1006,MATCH(A363,'입고대장'!$A$7:$A$1006,0)))</x:f>
      </x:c>
      <x:c r="N363" s="9"/>
    </x:row>
    <x:row r="364" ht="23" customHeight="1">
      <x:c r="A364" s="9"/>
      <x:c r="B364" s="10"/>
      <x:c r="C364" s="11"/>
      <x:c r="D364" s="11"/>
      <x:c r="E364" s="11"/>
      <x:c r="F364" s="11"/>
      <x:c r="G364" s="11"/>
      <x:c r="H364" s="11"/>
      <x:c r="I364" s="11"/>
      <x:c r="J364" s="11"/>
      <x:c r="K364" s="12" t="str">
        <x:f>IF(A364="","",E364*F364+G364*H364+I364*J364)</x:f>
      </x:c>
      <x:c r="L364" s="9"/>
      <x:c r="M364" s="9" t="str">
        <x:f>IF(A364="","",INDEX('입고대장'!$M$7:$M$1006,MATCH(A364,'입고대장'!$A$7:$A$1006,0)))</x:f>
      </x:c>
      <x:c r="N364" s="9"/>
    </x:row>
    <x:row r="365" ht="23" customHeight="1">
      <x:c r="A365" s="9"/>
      <x:c r="B365" s="10"/>
      <x:c r="C365" s="11"/>
      <x:c r="D365" s="11"/>
      <x:c r="E365" s="11"/>
      <x:c r="F365" s="11"/>
      <x:c r="G365" s="11"/>
      <x:c r="H365" s="11"/>
      <x:c r="I365" s="11"/>
      <x:c r="J365" s="11"/>
      <x:c r="K365" s="12" t="str">
        <x:f>IF(A365="","",E365*F365+G365*H365+I365*J365)</x:f>
      </x:c>
      <x:c r="L365" s="9"/>
      <x:c r="M365" s="9" t="str">
        <x:f>IF(A365="","",INDEX('입고대장'!$M$7:$M$1006,MATCH(A365,'입고대장'!$A$7:$A$1006,0)))</x:f>
      </x:c>
      <x:c r="N365" s="9"/>
    </x:row>
    <x:row r="366" ht="23" customHeight="1">
      <x:c r="A366" s="9"/>
      <x:c r="B366" s="10"/>
      <x:c r="C366" s="11"/>
      <x:c r="D366" s="11"/>
      <x:c r="E366" s="11"/>
      <x:c r="F366" s="11"/>
      <x:c r="G366" s="11"/>
      <x:c r="H366" s="11"/>
      <x:c r="I366" s="11"/>
      <x:c r="J366" s="11"/>
      <x:c r="K366" s="12" t="str">
        <x:f>IF(A366="","",E366*F366+G366*H366+I366*J366)</x:f>
      </x:c>
      <x:c r="L366" s="9"/>
      <x:c r="M366" s="9" t="str">
        <x:f>IF(A366="","",INDEX('입고대장'!$M$7:$M$1006,MATCH(A366,'입고대장'!$A$7:$A$1006,0)))</x:f>
      </x:c>
      <x:c r="N366" s="9"/>
    </x:row>
    <x:row r="367" ht="23" customHeight="1">
      <x:c r="A367" s="9"/>
      <x:c r="B367" s="10"/>
      <x:c r="C367" s="11"/>
      <x:c r="D367" s="11"/>
      <x:c r="E367" s="11"/>
      <x:c r="F367" s="11"/>
      <x:c r="G367" s="11"/>
      <x:c r="H367" s="11"/>
      <x:c r="I367" s="11"/>
      <x:c r="J367" s="11"/>
      <x:c r="K367" s="12" t="str">
        <x:f>IF(A367="","",E367*F367+G367*H367+I367*J367)</x:f>
      </x:c>
      <x:c r="L367" s="9"/>
      <x:c r="M367" s="9" t="str">
        <x:f>IF(A367="","",INDEX('입고대장'!$M$7:$M$1006,MATCH(A367,'입고대장'!$A$7:$A$1006,0)))</x:f>
      </x:c>
      <x:c r="N367" s="9"/>
    </x:row>
    <x:row r="368" ht="23" customHeight="1">
      <x:c r="A368" s="9"/>
      <x:c r="B368" s="10"/>
      <x:c r="C368" s="11"/>
      <x:c r="D368" s="11"/>
      <x:c r="E368" s="11"/>
      <x:c r="F368" s="11"/>
      <x:c r="G368" s="11"/>
      <x:c r="H368" s="11"/>
      <x:c r="I368" s="11"/>
      <x:c r="J368" s="11"/>
      <x:c r="K368" s="12" t="str">
        <x:f>IF(A368="","",E368*F368+G368*H368+I368*J368)</x:f>
      </x:c>
      <x:c r="L368" s="9"/>
      <x:c r="M368" s="9" t="str">
        <x:f>IF(A368="","",INDEX('입고대장'!$M$7:$M$1006,MATCH(A368,'입고대장'!$A$7:$A$1006,0)))</x:f>
      </x:c>
      <x:c r="N368" s="9"/>
    </x:row>
    <x:row r="369" ht="23" customHeight="1">
      <x:c r="A369" s="9"/>
      <x:c r="B369" s="10"/>
      <x:c r="C369" s="11"/>
      <x:c r="D369" s="11"/>
      <x:c r="E369" s="11"/>
      <x:c r="F369" s="11"/>
      <x:c r="G369" s="11"/>
      <x:c r="H369" s="11"/>
      <x:c r="I369" s="11"/>
      <x:c r="J369" s="11"/>
      <x:c r="K369" s="12" t="str">
        <x:f>IF(A369="","",E369*F369+G369*H369+I369*J369)</x:f>
      </x:c>
      <x:c r="L369" s="9"/>
      <x:c r="M369" s="9" t="str">
        <x:f>IF(A369="","",INDEX('입고대장'!$M$7:$M$1006,MATCH(A369,'입고대장'!$A$7:$A$1006,0)))</x:f>
      </x:c>
      <x:c r="N369" s="9"/>
    </x:row>
    <x:row r="370" ht="23" customHeight="1">
      <x:c r="A370" s="9"/>
      <x:c r="B370" s="10"/>
      <x:c r="C370" s="11"/>
      <x:c r="D370" s="11"/>
      <x:c r="E370" s="11"/>
      <x:c r="F370" s="11"/>
      <x:c r="G370" s="11"/>
      <x:c r="H370" s="11"/>
      <x:c r="I370" s="11"/>
      <x:c r="J370" s="11"/>
      <x:c r="K370" s="12" t="str">
        <x:f>IF(A370="","",E370*F370+G370*H370+I370*J370)</x:f>
      </x:c>
      <x:c r="L370" s="9"/>
      <x:c r="M370" s="9" t="str">
        <x:f>IF(A370="","",INDEX('입고대장'!$M$7:$M$1006,MATCH(A370,'입고대장'!$A$7:$A$1006,0)))</x:f>
      </x:c>
      <x:c r="N370" s="9"/>
    </x:row>
    <x:row r="371" ht="23" customHeight="1">
      <x:c r="A371" s="9"/>
      <x:c r="B371" s="10"/>
      <x:c r="C371" s="11"/>
      <x:c r="D371" s="11"/>
      <x:c r="E371" s="11"/>
      <x:c r="F371" s="11"/>
      <x:c r="G371" s="11"/>
      <x:c r="H371" s="11"/>
      <x:c r="I371" s="11"/>
      <x:c r="J371" s="11"/>
      <x:c r="K371" s="12" t="str">
        <x:f>IF(A371="","",E371*F371+G371*H371+I371*J371)</x:f>
      </x:c>
      <x:c r="L371" s="9"/>
      <x:c r="M371" s="9" t="str">
        <x:f>IF(A371="","",INDEX('입고대장'!$M$7:$M$1006,MATCH(A371,'입고대장'!$A$7:$A$1006,0)))</x:f>
      </x:c>
      <x:c r="N371" s="9"/>
    </x:row>
    <x:row r="372" ht="23" customHeight="1">
      <x:c r="A372" s="9"/>
      <x:c r="B372" s="10"/>
      <x:c r="C372" s="11"/>
      <x:c r="D372" s="11"/>
      <x:c r="E372" s="11"/>
      <x:c r="F372" s="11"/>
      <x:c r="G372" s="11"/>
      <x:c r="H372" s="11"/>
      <x:c r="I372" s="11"/>
      <x:c r="J372" s="11"/>
      <x:c r="K372" s="12" t="str">
        <x:f>IF(A372="","",E372*F372+G372*H372+I372*J372)</x:f>
      </x:c>
      <x:c r="L372" s="9"/>
      <x:c r="M372" s="9" t="str">
        <x:f>IF(A372="","",INDEX('입고대장'!$M$7:$M$1006,MATCH(A372,'입고대장'!$A$7:$A$1006,0)))</x:f>
      </x:c>
      <x:c r="N372" s="9"/>
    </x:row>
    <x:row r="373" ht="23" customHeight="1">
      <x:c r="A373" s="9"/>
      <x:c r="B373" s="10"/>
      <x:c r="C373" s="11"/>
      <x:c r="D373" s="11"/>
      <x:c r="E373" s="11"/>
      <x:c r="F373" s="11"/>
      <x:c r="G373" s="11"/>
      <x:c r="H373" s="11"/>
      <x:c r="I373" s="11"/>
      <x:c r="J373" s="11"/>
      <x:c r="K373" s="12" t="str">
        <x:f>IF(A373="","",E373*F373+G373*H373+I373*J373)</x:f>
      </x:c>
      <x:c r="L373" s="9"/>
      <x:c r="M373" s="9" t="str">
        <x:f>IF(A373="","",INDEX('입고대장'!$M$7:$M$1006,MATCH(A373,'입고대장'!$A$7:$A$1006,0)))</x:f>
      </x:c>
      <x:c r="N373" s="9"/>
    </x:row>
    <x:row r="374" ht="23" customHeight="1">
      <x:c r="A374" s="9"/>
      <x:c r="B374" s="10"/>
      <x:c r="C374" s="11"/>
      <x:c r="D374" s="11"/>
      <x:c r="E374" s="11"/>
      <x:c r="F374" s="11"/>
      <x:c r="G374" s="11"/>
      <x:c r="H374" s="11"/>
      <x:c r="I374" s="11"/>
      <x:c r="J374" s="11"/>
      <x:c r="K374" s="12" t="str">
        <x:f>IF(A374="","",E374*F374+G374*H374+I374*J374)</x:f>
      </x:c>
      <x:c r="L374" s="9"/>
      <x:c r="M374" s="9" t="str">
        <x:f>IF(A374="","",INDEX('입고대장'!$M$7:$M$1006,MATCH(A374,'입고대장'!$A$7:$A$1006,0)))</x:f>
      </x:c>
      <x:c r="N374" s="9"/>
    </x:row>
    <x:row r="375" ht="23" customHeight="1">
      <x:c r="A375" s="9"/>
      <x:c r="B375" s="10"/>
      <x:c r="C375" s="11"/>
      <x:c r="D375" s="11"/>
      <x:c r="E375" s="11"/>
      <x:c r="F375" s="11"/>
      <x:c r="G375" s="11"/>
      <x:c r="H375" s="11"/>
      <x:c r="I375" s="11"/>
      <x:c r="J375" s="11"/>
      <x:c r="K375" s="12" t="str">
        <x:f>IF(A375="","",E375*F375+G375*H375+I375*J375)</x:f>
      </x:c>
      <x:c r="L375" s="9"/>
      <x:c r="M375" s="9" t="str">
        <x:f>IF(A375="","",INDEX('입고대장'!$M$7:$M$1006,MATCH(A375,'입고대장'!$A$7:$A$1006,0)))</x:f>
      </x:c>
      <x:c r="N375" s="9"/>
    </x:row>
    <x:row r="376" ht="23" customHeight="1">
      <x:c r="A376" s="9"/>
      <x:c r="B376" s="10"/>
      <x:c r="C376" s="11"/>
      <x:c r="D376" s="11"/>
      <x:c r="E376" s="11"/>
      <x:c r="F376" s="11"/>
      <x:c r="G376" s="11"/>
      <x:c r="H376" s="11"/>
      <x:c r="I376" s="11"/>
      <x:c r="J376" s="11"/>
      <x:c r="K376" s="12" t="str">
        <x:f>IF(A376="","",E376*F376+G376*H376+I376*J376)</x:f>
      </x:c>
      <x:c r="L376" s="9"/>
      <x:c r="M376" s="9" t="str">
        <x:f>IF(A376="","",INDEX('입고대장'!$M$7:$M$1006,MATCH(A376,'입고대장'!$A$7:$A$1006,0)))</x:f>
      </x:c>
      <x:c r="N376" s="9"/>
    </x:row>
    <x:row r="377" ht="23" customHeight="1">
      <x:c r="A377" s="9"/>
      <x:c r="B377" s="10"/>
      <x:c r="C377" s="11"/>
      <x:c r="D377" s="11"/>
      <x:c r="E377" s="11"/>
      <x:c r="F377" s="11"/>
      <x:c r="G377" s="11"/>
      <x:c r="H377" s="11"/>
      <x:c r="I377" s="11"/>
      <x:c r="J377" s="11"/>
      <x:c r="K377" s="12" t="str">
        <x:f>IF(A377="","",E377*F377+G377*H377+I377*J377)</x:f>
      </x:c>
      <x:c r="L377" s="9"/>
      <x:c r="M377" s="9" t="str">
        <x:f>IF(A377="","",INDEX('입고대장'!$M$7:$M$1006,MATCH(A377,'입고대장'!$A$7:$A$1006,0)))</x:f>
      </x:c>
      <x:c r="N377" s="9"/>
    </x:row>
    <x:row r="378" ht="23" customHeight="1">
      <x:c r="A378" s="9"/>
      <x:c r="B378" s="10"/>
      <x:c r="C378" s="11"/>
      <x:c r="D378" s="11"/>
      <x:c r="E378" s="11"/>
      <x:c r="F378" s="11"/>
      <x:c r="G378" s="11"/>
      <x:c r="H378" s="11"/>
      <x:c r="I378" s="11"/>
      <x:c r="J378" s="11"/>
      <x:c r="K378" s="12" t="str">
        <x:f>IF(A378="","",E378*F378+G378*H378+I378*J378)</x:f>
      </x:c>
      <x:c r="L378" s="9"/>
      <x:c r="M378" s="9" t="str">
        <x:f>IF(A378="","",INDEX('입고대장'!$M$7:$M$1006,MATCH(A378,'입고대장'!$A$7:$A$1006,0)))</x:f>
      </x:c>
      <x:c r="N378" s="9"/>
    </x:row>
    <x:row r="379" ht="23" customHeight="1">
      <x:c r="A379" s="9"/>
      <x:c r="B379" s="10"/>
      <x:c r="C379" s="11"/>
      <x:c r="D379" s="11"/>
      <x:c r="E379" s="11"/>
      <x:c r="F379" s="11"/>
      <x:c r="G379" s="11"/>
      <x:c r="H379" s="11"/>
      <x:c r="I379" s="11"/>
      <x:c r="J379" s="11"/>
      <x:c r="K379" s="12" t="str">
        <x:f>IF(A379="","",E379*F379+G379*H379+I379*J379)</x:f>
      </x:c>
      <x:c r="L379" s="9"/>
      <x:c r="M379" s="9" t="str">
        <x:f>IF(A379="","",INDEX('입고대장'!$M$7:$M$1006,MATCH(A379,'입고대장'!$A$7:$A$1006,0)))</x:f>
      </x:c>
      <x:c r="N379" s="9"/>
    </x:row>
    <x:row r="380" ht="23" customHeight="1">
      <x:c r="A380" s="9"/>
      <x:c r="B380" s="10"/>
      <x:c r="C380" s="11"/>
      <x:c r="D380" s="11"/>
      <x:c r="E380" s="11"/>
      <x:c r="F380" s="11"/>
      <x:c r="G380" s="11"/>
      <x:c r="H380" s="11"/>
      <x:c r="I380" s="11"/>
      <x:c r="J380" s="11"/>
      <x:c r="K380" s="12" t="str">
        <x:f>IF(A380="","",E380*F380+G380*H380+I380*J380)</x:f>
      </x:c>
      <x:c r="L380" s="9"/>
      <x:c r="M380" s="9" t="str">
        <x:f>IF(A380="","",INDEX('입고대장'!$M$7:$M$1006,MATCH(A380,'입고대장'!$A$7:$A$1006,0)))</x:f>
      </x:c>
      <x:c r="N380" s="9"/>
    </x:row>
    <x:row r="381" ht="23" customHeight="1">
      <x:c r="A381" s="9"/>
      <x:c r="B381" s="10"/>
      <x:c r="C381" s="11"/>
      <x:c r="D381" s="11"/>
      <x:c r="E381" s="11"/>
      <x:c r="F381" s="11"/>
      <x:c r="G381" s="11"/>
      <x:c r="H381" s="11"/>
      <x:c r="I381" s="11"/>
      <x:c r="J381" s="11"/>
      <x:c r="K381" s="12" t="str">
        <x:f>IF(A381="","",E381*F381+G381*H381+I381*J381)</x:f>
      </x:c>
      <x:c r="L381" s="9"/>
      <x:c r="M381" s="9" t="str">
        <x:f>IF(A381="","",INDEX('입고대장'!$M$7:$M$1006,MATCH(A381,'입고대장'!$A$7:$A$1006,0)))</x:f>
      </x:c>
      <x:c r="N381" s="9"/>
    </x:row>
    <x:row r="382" ht="23" customHeight="1">
      <x:c r="A382" s="9"/>
      <x:c r="B382" s="10"/>
      <x:c r="C382" s="11"/>
      <x:c r="D382" s="11"/>
      <x:c r="E382" s="11"/>
      <x:c r="F382" s="11"/>
      <x:c r="G382" s="11"/>
      <x:c r="H382" s="11"/>
      <x:c r="I382" s="11"/>
      <x:c r="J382" s="11"/>
      <x:c r="K382" s="12" t="str">
        <x:f>IF(A382="","",E382*F382+G382*H382+I382*J382)</x:f>
      </x:c>
      <x:c r="L382" s="9"/>
      <x:c r="M382" s="9" t="str">
        <x:f>IF(A382="","",INDEX('입고대장'!$M$7:$M$1006,MATCH(A382,'입고대장'!$A$7:$A$1006,0)))</x:f>
      </x:c>
      <x:c r="N382" s="9"/>
    </x:row>
    <x:row r="383" ht="23" customHeight="1">
      <x:c r="A383" s="9"/>
      <x:c r="B383" s="10"/>
      <x:c r="C383" s="11"/>
      <x:c r="D383" s="11"/>
      <x:c r="E383" s="11"/>
      <x:c r="F383" s="11"/>
      <x:c r="G383" s="11"/>
      <x:c r="H383" s="11"/>
      <x:c r="I383" s="11"/>
      <x:c r="J383" s="11"/>
      <x:c r="K383" s="12" t="str">
        <x:f>IF(A383="","",E383*F383+G383*H383+I383*J383)</x:f>
      </x:c>
      <x:c r="L383" s="9"/>
      <x:c r="M383" s="9" t="str">
        <x:f>IF(A383="","",INDEX('입고대장'!$M$7:$M$1006,MATCH(A383,'입고대장'!$A$7:$A$1006,0)))</x:f>
      </x:c>
      <x:c r="N383" s="9"/>
    </x:row>
    <x:row r="384" ht="23" customHeight="1">
      <x:c r="A384" s="9"/>
      <x:c r="B384" s="10"/>
      <x:c r="C384" s="11"/>
      <x:c r="D384" s="11"/>
      <x:c r="E384" s="11"/>
      <x:c r="F384" s="11"/>
      <x:c r="G384" s="11"/>
      <x:c r="H384" s="11"/>
      <x:c r="I384" s="11"/>
      <x:c r="J384" s="11"/>
      <x:c r="K384" s="12" t="str">
        <x:f>IF(A384="","",E384*F384+G384*H384+I384*J384)</x:f>
      </x:c>
      <x:c r="L384" s="9"/>
      <x:c r="M384" s="9" t="str">
        <x:f>IF(A384="","",INDEX('입고대장'!$M$7:$M$1006,MATCH(A384,'입고대장'!$A$7:$A$1006,0)))</x:f>
      </x:c>
      <x:c r="N384" s="9"/>
    </x:row>
    <x:row r="385" ht="23" customHeight="1">
      <x:c r="A385" s="9"/>
      <x:c r="B385" s="10"/>
      <x:c r="C385" s="11"/>
      <x:c r="D385" s="11"/>
      <x:c r="E385" s="11"/>
      <x:c r="F385" s="11"/>
      <x:c r="G385" s="11"/>
      <x:c r="H385" s="11"/>
      <x:c r="I385" s="11"/>
      <x:c r="J385" s="11"/>
      <x:c r="K385" s="12" t="str">
        <x:f>IF(A385="","",E385*F385+G385*H385+I385*J385)</x:f>
      </x:c>
      <x:c r="L385" s="9"/>
      <x:c r="M385" s="9" t="str">
        <x:f>IF(A385="","",INDEX('입고대장'!$M$7:$M$1006,MATCH(A385,'입고대장'!$A$7:$A$1006,0)))</x:f>
      </x:c>
      <x:c r="N385" s="9"/>
    </x:row>
    <x:row r="386" ht="23" customHeight="1">
      <x:c r="A386" s="9"/>
      <x:c r="B386" s="10"/>
      <x:c r="C386" s="11"/>
      <x:c r="D386" s="11"/>
      <x:c r="E386" s="11"/>
      <x:c r="F386" s="11"/>
      <x:c r="G386" s="11"/>
      <x:c r="H386" s="11"/>
      <x:c r="I386" s="11"/>
      <x:c r="J386" s="11"/>
      <x:c r="K386" s="12" t="str">
        <x:f>IF(A386="","",E386*F386+G386*H386+I386*J386)</x:f>
      </x:c>
      <x:c r="L386" s="9"/>
      <x:c r="M386" s="9" t="str">
        <x:f>IF(A386="","",INDEX('입고대장'!$M$7:$M$1006,MATCH(A386,'입고대장'!$A$7:$A$1006,0)))</x:f>
      </x:c>
      <x:c r="N386" s="9"/>
    </x:row>
    <x:row r="387" ht="23" customHeight="1">
      <x:c r="A387" s="9"/>
      <x:c r="B387" s="10"/>
      <x:c r="C387" s="11"/>
      <x:c r="D387" s="11"/>
      <x:c r="E387" s="11"/>
      <x:c r="F387" s="11"/>
      <x:c r="G387" s="11"/>
      <x:c r="H387" s="11"/>
      <x:c r="I387" s="11"/>
      <x:c r="J387" s="11"/>
      <x:c r="K387" s="12" t="str">
        <x:f>IF(A387="","",E387*F387+G387*H387+I387*J387)</x:f>
      </x:c>
      <x:c r="L387" s="9"/>
      <x:c r="M387" s="9" t="str">
        <x:f>IF(A387="","",INDEX('입고대장'!$M$7:$M$1006,MATCH(A387,'입고대장'!$A$7:$A$1006,0)))</x:f>
      </x:c>
      <x:c r="N387" s="9"/>
    </x:row>
    <x:row r="388" ht="23" customHeight="1">
      <x:c r="A388" s="9"/>
      <x:c r="B388" s="10"/>
      <x:c r="C388" s="11"/>
      <x:c r="D388" s="11"/>
      <x:c r="E388" s="11"/>
      <x:c r="F388" s="11"/>
      <x:c r="G388" s="11"/>
      <x:c r="H388" s="11"/>
      <x:c r="I388" s="11"/>
      <x:c r="J388" s="11"/>
      <x:c r="K388" s="12" t="str">
        <x:f>IF(A388="","",E388*F388+G388*H388+I388*J388)</x:f>
      </x:c>
      <x:c r="L388" s="9"/>
      <x:c r="M388" s="9" t="str">
        <x:f>IF(A388="","",INDEX('입고대장'!$M$7:$M$1006,MATCH(A388,'입고대장'!$A$7:$A$1006,0)))</x:f>
      </x:c>
      <x:c r="N388" s="9"/>
    </x:row>
    <x:row r="389" ht="23" customHeight="1">
      <x:c r="A389" s="9"/>
      <x:c r="B389" s="10"/>
      <x:c r="C389" s="11"/>
      <x:c r="D389" s="11"/>
      <x:c r="E389" s="11"/>
      <x:c r="F389" s="11"/>
      <x:c r="G389" s="11"/>
      <x:c r="H389" s="11"/>
      <x:c r="I389" s="11"/>
      <x:c r="J389" s="11"/>
      <x:c r="K389" s="12" t="str">
        <x:f>IF(A389="","",E389*F389+G389*H389+I389*J389)</x:f>
      </x:c>
      <x:c r="L389" s="9"/>
      <x:c r="M389" s="9" t="str">
        <x:f>IF(A389="","",INDEX('입고대장'!$M$7:$M$1006,MATCH(A389,'입고대장'!$A$7:$A$1006,0)))</x:f>
      </x:c>
      <x:c r="N389" s="9"/>
    </x:row>
    <x:row r="390" ht="23" customHeight="1">
      <x:c r="A390" s="9"/>
      <x:c r="B390" s="10"/>
      <x:c r="C390" s="11"/>
      <x:c r="D390" s="11"/>
      <x:c r="E390" s="11"/>
      <x:c r="F390" s="11"/>
      <x:c r="G390" s="11"/>
      <x:c r="H390" s="11"/>
      <x:c r="I390" s="11"/>
      <x:c r="J390" s="11"/>
      <x:c r="K390" s="12" t="str">
        <x:f>IF(A390="","",E390*F390+G390*H390+I390*J390)</x:f>
      </x:c>
      <x:c r="L390" s="9"/>
      <x:c r="M390" s="9" t="str">
        <x:f>IF(A390="","",INDEX('입고대장'!$M$7:$M$1006,MATCH(A390,'입고대장'!$A$7:$A$1006,0)))</x:f>
      </x:c>
      <x:c r="N390" s="9"/>
    </x:row>
    <x:row r="391" ht="23" customHeight="1">
      <x:c r="A391" s="9"/>
      <x:c r="B391" s="10"/>
      <x:c r="C391" s="11"/>
      <x:c r="D391" s="11"/>
      <x:c r="E391" s="11"/>
      <x:c r="F391" s="11"/>
      <x:c r="G391" s="11"/>
      <x:c r="H391" s="11"/>
      <x:c r="I391" s="11"/>
      <x:c r="J391" s="11"/>
      <x:c r="K391" s="12" t="str">
        <x:f>IF(A391="","",E391*F391+G391*H391+I391*J391)</x:f>
      </x:c>
      <x:c r="L391" s="9"/>
      <x:c r="M391" s="9" t="str">
        <x:f>IF(A391="","",INDEX('입고대장'!$M$7:$M$1006,MATCH(A391,'입고대장'!$A$7:$A$1006,0)))</x:f>
      </x:c>
      <x:c r="N391" s="9"/>
    </x:row>
    <x:row r="392" ht="23" customHeight="1">
      <x:c r="A392" s="9"/>
      <x:c r="B392" s="10"/>
      <x:c r="C392" s="11"/>
      <x:c r="D392" s="11"/>
      <x:c r="E392" s="11"/>
      <x:c r="F392" s="11"/>
      <x:c r="G392" s="11"/>
      <x:c r="H392" s="11"/>
      <x:c r="I392" s="11"/>
      <x:c r="J392" s="11"/>
      <x:c r="K392" s="12" t="str">
        <x:f>IF(A392="","",E392*F392+G392*H392+I392*J392)</x:f>
      </x:c>
      <x:c r="L392" s="9"/>
      <x:c r="M392" s="9" t="str">
        <x:f>IF(A392="","",INDEX('입고대장'!$M$7:$M$1006,MATCH(A392,'입고대장'!$A$7:$A$1006,0)))</x:f>
      </x:c>
      <x:c r="N392" s="9"/>
    </x:row>
    <x:row r="393" ht="23" customHeight="1">
      <x:c r="A393" s="9"/>
      <x:c r="B393" s="10"/>
      <x:c r="C393" s="11"/>
      <x:c r="D393" s="11"/>
      <x:c r="E393" s="11"/>
      <x:c r="F393" s="11"/>
      <x:c r="G393" s="11"/>
      <x:c r="H393" s="11"/>
      <x:c r="I393" s="11"/>
      <x:c r="J393" s="11"/>
      <x:c r="K393" s="12" t="str">
        <x:f>IF(A393="","",E393*F393+G393*H393+I393*J393)</x:f>
      </x:c>
      <x:c r="L393" s="9"/>
      <x:c r="M393" s="9" t="str">
        <x:f>IF(A393="","",INDEX('입고대장'!$M$7:$M$1006,MATCH(A393,'입고대장'!$A$7:$A$1006,0)))</x:f>
      </x:c>
      <x:c r="N393" s="9"/>
    </x:row>
    <x:row r="394" ht="23" customHeight="1">
      <x:c r="A394" s="9"/>
      <x:c r="B394" s="10"/>
      <x:c r="C394" s="11"/>
      <x:c r="D394" s="11"/>
      <x:c r="E394" s="11"/>
      <x:c r="F394" s="11"/>
      <x:c r="G394" s="11"/>
      <x:c r="H394" s="11"/>
      <x:c r="I394" s="11"/>
      <x:c r="J394" s="11"/>
      <x:c r="K394" s="12" t="str">
        <x:f>IF(A394="","",E394*F394+G394*H394+I394*J394)</x:f>
      </x:c>
      <x:c r="L394" s="9"/>
      <x:c r="M394" s="9" t="str">
        <x:f>IF(A394="","",INDEX('입고대장'!$M$7:$M$1006,MATCH(A394,'입고대장'!$A$7:$A$1006,0)))</x:f>
      </x:c>
      <x:c r="N394" s="9"/>
    </x:row>
    <x:row r="395" ht="23" customHeight="1">
      <x:c r="A395" s="9"/>
      <x:c r="B395" s="10"/>
      <x:c r="C395" s="11"/>
      <x:c r="D395" s="11"/>
      <x:c r="E395" s="11"/>
      <x:c r="F395" s="11"/>
      <x:c r="G395" s="11"/>
      <x:c r="H395" s="11"/>
      <x:c r="I395" s="11"/>
      <x:c r="J395" s="11"/>
      <x:c r="K395" s="12" t="str">
        <x:f>IF(A395="","",E395*F395+G395*H395+I395*J395)</x:f>
      </x:c>
      <x:c r="L395" s="9"/>
      <x:c r="M395" s="9" t="str">
        <x:f>IF(A395="","",INDEX('입고대장'!$M$7:$M$1006,MATCH(A395,'입고대장'!$A$7:$A$1006,0)))</x:f>
      </x:c>
      <x:c r="N395" s="9"/>
    </x:row>
    <x:row r="396" ht="23" customHeight="1">
      <x:c r="A396" s="9"/>
      <x:c r="B396" s="10"/>
      <x:c r="C396" s="11"/>
      <x:c r="D396" s="11"/>
      <x:c r="E396" s="11"/>
      <x:c r="F396" s="11"/>
      <x:c r="G396" s="11"/>
      <x:c r="H396" s="11"/>
      <x:c r="I396" s="11"/>
      <x:c r="J396" s="11"/>
      <x:c r="K396" s="12" t="str">
        <x:f>IF(A396="","",E396*F396+G396*H396+I396*J396)</x:f>
      </x:c>
      <x:c r="L396" s="9"/>
      <x:c r="M396" s="9" t="str">
        <x:f>IF(A396="","",INDEX('입고대장'!$M$7:$M$1006,MATCH(A396,'입고대장'!$A$7:$A$1006,0)))</x:f>
      </x:c>
      <x:c r="N396" s="9"/>
    </x:row>
    <x:row r="397" ht="23" customHeight="1">
      <x:c r="A397" s="9"/>
      <x:c r="B397" s="10"/>
      <x:c r="C397" s="11"/>
      <x:c r="D397" s="11"/>
      <x:c r="E397" s="11"/>
      <x:c r="F397" s="11"/>
      <x:c r="G397" s="11"/>
      <x:c r="H397" s="11"/>
      <x:c r="I397" s="11"/>
      <x:c r="J397" s="11"/>
      <x:c r="K397" s="12" t="str">
        <x:f>IF(A397="","",E397*F397+G397*H397+I397*J397)</x:f>
      </x:c>
      <x:c r="L397" s="9"/>
      <x:c r="M397" s="9" t="str">
        <x:f>IF(A397="","",INDEX('입고대장'!$M$7:$M$1006,MATCH(A397,'입고대장'!$A$7:$A$1006,0)))</x:f>
      </x:c>
      <x:c r="N397" s="9"/>
    </x:row>
    <x:row r="398" ht="23" customHeight="1">
      <x:c r="A398" s="9"/>
      <x:c r="B398" s="10"/>
      <x:c r="C398" s="11"/>
      <x:c r="D398" s="11"/>
      <x:c r="E398" s="11"/>
      <x:c r="F398" s="11"/>
      <x:c r="G398" s="11"/>
      <x:c r="H398" s="11"/>
      <x:c r="I398" s="11"/>
      <x:c r="J398" s="11"/>
      <x:c r="K398" s="12" t="str">
        <x:f>IF(A398="","",E398*F398+G398*H398+I398*J398)</x:f>
      </x:c>
      <x:c r="L398" s="9"/>
      <x:c r="M398" s="9" t="str">
        <x:f>IF(A398="","",INDEX('입고대장'!$M$7:$M$1006,MATCH(A398,'입고대장'!$A$7:$A$1006,0)))</x:f>
      </x:c>
      <x:c r="N398" s="9"/>
    </x:row>
    <x:row r="399" ht="23" customHeight="1">
      <x:c r="A399" s="9"/>
      <x:c r="B399" s="10"/>
      <x:c r="C399" s="11"/>
      <x:c r="D399" s="11"/>
      <x:c r="E399" s="11"/>
      <x:c r="F399" s="11"/>
      <x:c r="G399" s="11"/>
      <x:c r="H399" s="11"/>
      <x:c r="I399" s="11"/>
      <x:c r="J399" s="11"/>
      <x:c r="K399" s="12" t="str">
        <x:f>IF(A399="","",E399*F399+G399*H399+I399*J399)</x:f>
      </x:c>
      <x:c r="L399" s="9"/>
      <x:c r="M399" s="9" t="str">
        <x:f>IF(A399="","",INDEX('입고대장'!$M$7:$M$1006,MATCH(A399,'입고대장'!$A$7:$A$1006,0)))</x:f>
      </x:c>
      <x:c r="N399" s="9"/>
    </x:row>
    <x:row r="400" ht="23" customHeight="1">
      <x:c r="A400" s="9"/>
      <x:c r="B400" s="10"/>
      <x:c r="C400" s="11"/>
      <x:c r="D400" s="11"/>
      <x:c r="E400" s="11"/>
      <x:c r="F400" s="11"/>
      <x:c r="G400" s="11"/>
      <x:c r="H400" s="11"/>
      <x:c r="I400" s="11"/>
      <x:c r="J400" s="11"/>
      <x:c r="K400" s="12" t="str">
        <x:f>IF(A400="","",E400*F400+G400*H400+I400*J400)</x:f>
      </x:c>
      <x:c r="L400" s="9"/>
      <x:c r="M400" s="9" t="str">
        <x:f>IF(A400="","",INDEX('입고대장'!$M$7:$M$1006,MATCH(A400,'입고대장'!$A$7:$A$1006,0)))</x:f>
      </x:c>
      <x:c r="N400" s="9"/>
    </x:row>
    <x:row r="401" ht="23" customHeight="1">
      <x:c r="A401" s="9"/>
      <x:c r="B401" s="10"/>
      <x:c r="C401" s="11"/>
      <x:c r="D401" s="11"/>
      <x:c r="E401" s="11"/>
      <x:c r="F401" s="11"/>
      <x:c r="G401" s="11"/>
      <x:c r="H401" s="11"/>
      <x:c r="I401" s="11"/>
      <x:c r="J401" s="11"/>
      <x:c r="K401" s="12" t="str">
        <x:f>IF(A401="","",E401*F401+G401*H401+I401*J401)</x:f>
      </x:c>
      <x:c r="L401" s="9"/>
      <x:c r="M401" s="9" t="str">
        <x:f>IF(A401="","",INDEX('입고대장'!$M$7:$M$1006,MATCH(A401,'입고대장'!$A$7:$A$1006,0)))</x:f>
      </x:c>
      <x:c r="N401" s="9"/>
    </x:row>
    <x:row r="402" ht="23" customHeight="1">
      <x:c r="A402" s="9"/>
      <x:c r="B402" s="10"/>
      <x:c r="C402" s="11"/>
      <x:c r="D402" s="11"/>
      <x:c r="E402" s="11"/>
      <x:c r="F402" s="11"/>
      <x:c r="G402" s="11"/>
      <x:c r="H402" s="11"/>
      <x:c r="I402" s="11"/>
      <x:c r="J402" s="11"/>
      <x:c r="K402" s="12" t="str">
        <x:f>IF(A402="","",E402*F402+G402*H402+I402*J402)</x:f>
      </x:c>
      <x:c r="L402" s="9"/>
      <x:c r="M402" s="9" t="str">
        <x:f>IF(A402="","",INDEX('입고대장'!$M$7:$M$1006,MATCH(A402,'입고대장'!$A$7:$A$1006,0)))</x:f>
      </x:c>
      <x:c r="N402" s="9"/>
    </x:row>
    <x:row r="403" ht="23" customHeight="1">
      <x:c r="A403" s="9"/>
      <x:c r="B403" s="10"/>
      <x:c r="C403" s="11"/>
      <x:c r="D403" s="11"/>
      <x:c r="E403" s="11"/>
      <x:c r="F403" s="11"/>
      <x:c r="G403" s="11"/>
      <x:c r="H403" s="11"/>
      <x:c r="I403" s="11"/>
      <x:c r="J403" s="11"/>
      <x:c r="K403" s="12" t="str">
        <x:f>IF(A403="","",E403*F403+G403*H403+I403*J403)</x:f>
      </x:c>
      <x:c r="L403" s="9"/>
      <x:c r="M403" s="9" t="str">
        <x:f>IF(A403="","",INDEX('입고대장'!$M$7:$M$1006,MATCH(A403,'입고대장'!$A$7:$A$1006,0)))</x:f>
      </x:c>
      <x:c r="N403" s="9"/>
    </x:row>
    <x:row r="404" ht="23" customHeight="1">
      <x:c r="A404" s="9"/>
      <x:c r="B404" s="10"/>
      <x:c r="C404" s="11"/>
      <x:c r="D404" s="11"/>
      <x:c r="E404" s="11"/>
      <x:c r="F404" s="11"/>
      <x:c r="G404" s="11"/>
      <x:c r="H404" s="11"/>
      <x:c r="I404" s="11"/>
      <x:c r="J404" s="11"/>
      <x:c r="K404" s="12" t="str">
        <x:f>IF(A404="","",E404*F404+G404*H404+I404*J404)</x:f>
      </x:c>
      <x:c r="L404" s="9"/>
      <x:c r="M404" s="9" t="str">
        <x:f>IF(A404="","",INDEX('입고대장'!$M$7:$M$1006,MATCH(A404,'입고대장'!$A$7:$A$1006,0)))</x:f>
      </x:c>
      <x:c r="N404" s="9"/>
    </x:row>
    <x:row r="405" ht="23" customHeight="1">
      <x:c r="A405" s="9"/>
      <x:c r="B405" s="10"/>
      <x:c r="C405" s="11"/>
      <x:c r="D405" s="11"/>
      <x:c r="E405" s="11"/>
      <x:c r="F405" s="11"/>
      <x:c r="G405" s="11"/>
      <x:c r="H405" s="11"/>
      <x:c r="I405" s="11"/>
      <x:c r="J405" s="11"/>
      <x:c r="K405" s="12" t="str">
        <x:f>IF(A405="","",E405*F405+G405*H405+I405*J405)</x:f>
      </x:c>
      <x:c r="L405" s="9"/>
      <x:c r="M405" s="9" t="str">
        <x:f>IF(A405="","",INDEX('입고대장'!$M$7:$M$1006,MATCH(A405,'입고대장'!$A$7:$A$1006,0)))</x:f>
      </x:c>
      <x:c r="N405" s="9"/>
    </x:row>
    <x:row r="406" ht="23" customHeight="1">
      <x:c r="A406" s="9"/>
      <x:c r="B406" s="10"/>
      <x:c r="C406" s="11"/>
      <x:c r="D406" s="11"/>
      <x:c r="E406" s="11"/>
      <x:c r="F406" s="11"/>
      <x:c r="G406" s="11"/>
      <x:c r="H406" s="11"/>
      <x:c r="I406" s="11"/>
      <x:c r="J406" s="11"/>
      <x:c r="K406" s="12" t="str">
        <x:f>IF(A406="","",E406*F406+G406*H406+I406*J406)</x:f>
      </x:c>
      <x:c r="L406" s="9"/>
      <x:c r="M406" s="9" t="str">
        <x:f>IF(A406="","",INDEX('입고대장'!$M$7:$M$1006,MATCH(A406,'입고대장'!$A$7:$A$1006,0)))</x:f>
      </x:c>
      <x:c r="N406" s="9"/>
    </x:row>
    <x:row r="407" ht="23" customHeight="1">
      <x:c r="A407" s="9"/>
      <x:c r="B407" s="10"/>
      <x:c r="C407" s="11"/>
      <x:c r="D407" s="11"/>
      <x:c r="E407" s="11"/>
      <x:c r="F407" s="11"/>
      <x:c r="G407" s="11"/>
      <x:c r="H407" s="11"/>
      <x:c r="I407" s="11"/>
      <x:c r="J407" s="11"/>
      <x:c r="K407" s="12" t="str">
        <x:f>IF(A407="","",E407*F407+G407*H407+I407*J407)</x:f>
      </x:c>
      <x:c r="L407" s="9"/>
      <x:c r="M407" s="9" t="str">
        <x:f>IF(A407="","",INDEX('입고대장'!$M$7:$M$1006,MATCH(A407,'입고대장'!$A$7:$A$1006,0)))</x:f>
      </x:c>
      <x:c r="N407" s="9"/>
    </x:row>
    <x:row r="408" ht="23" customHeight="1">
      <x:c r="A408" s="9"/>
      <x:c r="B408" s="10"/>
      <x:c r="C408" s="11"/>
      <x:c r="D408" s="11"/>
      <x:c r="E408" s="11"/>
      <x:c r="F408" s="11"/>
      <x:c r="G408" s="11"/>
      <x:c r="H408" s="11"/>
      <x:c r="I408" s="11"/>
      <x:c r="J408" s="11"/>
      <x:c r="K408" s="12" t="str">
        <x:f>IF(A408="","",E408*F408+G408*H408+I408*J408)</x:f>
      </x:c>
      <x:c r="L408" s="9"/>
      <x:c r="M408" s="9" t="str">
        <x:f>IF(A408="","",INDEX('입고대장'!$M$7:$M$1006,MATCH(A408,'입고대장'!$A$7:$A$1006,0)))</x:f>
      </x:c>
      <x:c r="N408" s="9"/>
    </x:row>
    <x:row r="409" ht="23" customHeight="1">
      <x:c r="A409" s="9"/>
      <x:c r="B409" s="10"/>
      <x:c r="C409" s="11"/>
      <x:c r="D409" s="11"/>
      <x:c r="E409" s="11"/>
      <x:c r="F409" s="11"/>
      <x:c r="G409" s="11"/>
      <x:c r="H409" s="11"/>
      <x:c r="I409" s="11"/>
      <x:c r="J409" s="11"/>
      <x:c r="K409" s="12" t="str">
        <x:f>IF(A409="","",E409*F409+G409*H409+I409*J409)</x:f>
      </x:c>
      <x:c r="L409" s="9"/>
      <x:c r="M409" s="9" t="str">
        <x:f>IF(A409="","",INDEX('입고대장'!$M$7:$M$1006,MATCH(A409,'입고대장'!$A$7:$A$1006,0)))</x:f>
      </x:c>
      <x:c r="N409" s="9"/>
    </x:row>
    <x:row r="410" ht="23" customHeight="1">
      <x:c r="A410" s="9"/>
      <x:c r="B410" s="10"/>
      <x:c r="C410" s="11"/>
      <x:c r="D410" s="11"/>
      <x:c r="E410" s="11"/>
      <x:c r="F410" s="11"/>
      <x:c r="G410" s="11"/>
      <x:c r="H410" s="11"/>
      <x:c r="I410" s="11"/>
      <x:c r="J410" s="11"/>
      <x:c r="K410" s="12" t="str">
        <x:f>IF(A410="","",E410*F410+G410*H410+I410*J410)</x:f>
      </x:c>
      <x:c r="L410" s="9"/>
      <x:c r="M410" s="9" t="str">
        <x:f>IF(A410="","",INDEX('입고대장'!$M$7:$M$1006,MATCH(A410,'입고대장'!$A$7:$A$1006,0)))</x:f>
      </x:c>
      <x:c r="N410" s="9"/>
    </x:row>
    <x:row r="411" ht="23" customHeight="1">
      <x:c r="A411" s="9"/>
      <x:c r="B411" s="10"/>
      <x:c r="C411" s="11"/>
      <x:c r="D411" s="11"/>
      <x:c r="E411" s="11"/>
      <x:c r="F411" s="11"/>
      <x:c r="G411" s="11"/>
      <x:c r="H411" s="11"/>
      <x:c r="I411" s="11"/>
      <x:c r="J411" s="11"/>
      <x:c r="K411" s="12" t="str">
        <x:f>IF(A411="","",E411*F411+G411*H411+I411*J411)</x:f>
      </x:c>
      <x:c r="L411" s="9"/>
      <x:c r="M411" s="9" t="str">
        <x:f>IF(A411="","",INDEX('입고대장'!$M$7:$M$1006,MATCH(A411,'입고대장'!$A$7:$A$1006,0)))</x:f>
      </x:c>
      <x:c r="N411" s="9"/>
    </x:row>
    <x:row r="412" ht="23" customHeight="1">
      <x:c r="A412" s="9"/>
      <x:c r="B412" s="10"/>
      <x:c r="C412" s="11"/>
      <x:c r="D412" s="11"/>
      <x:c r="E412" s="11"/>
      <x:c r="F412" s="11"/>
      <x:c r="G412" s="11"/>
      <x:c r="H412" s="11"/>
      <x:c r="I412" s="11"/>
      <x:c r="J412" s="11"/>
      <x:c r="K412" s="12" t="str">
        <x:f>IF(A412="","",E412*F412+G412*H412+I412*J412)</x:f>
      </x:c>
      <x:c r="L412" s="9"/>
      <x:c r="M412" s="9" t="str">
        <x:f>IF(A412="","",INDEX('입고대장'!$M$7:$M$1006,MATCH(A412,'입고대장'!$A$7:$A$1006,0)))</x:f>
      </x:c>
      <x:c r="N412" s="9"/>
    </x:row>
    <x:row r="413" ht="23" customHeight="1">
      <x:c r="A413" s="9"/>
      <x:c r="B413" s="10"/>
      <x:c r="C413" s="11"/>
      <x:c r="D413" s="11"/>
      <x:c r="E413" s="11"/>
      <x:c r="F413" s="11"/>
      <x:c r="G413" s="11"/>
      <x:c r="H413" s="11"/>
      <x:c r="I413" s="11"/>
      <x:c r="J413" s="11"/>
      <x:c r="K413" s="12" t="str">
        <x:f>IF(A413="","",E413*F413+G413*H413+I413*J413)</x:f>
      </x:c>
      <x:c r="L413" s="9"/>
      <x:c r="M413" s="9" t="str">
        <x:f>IF(A413="","",INDEX('입고대장'!$M$7:$M$1006,MATCH(A413,'입고대장'!$A$7:$A$1006,0)))</x:f>
      </x:c>
      <x:c r="N413" s="9"/>
    </x:row>
    <x:row r="414" ht="23" customHeight="1">
      <x:c r="A414" s="9"/>
      <x:c r="B414" s="10"/>
      <x:c r="C414" s="11"/>
      <x:c r="D414" s="11"/>
      <x:c r="E414" s="11"/>
      <x:c r="F414" s="11"/>
      <x:c r="G414" s="11"/>
      <x:c r="H414" s="11"/>
      <x:c r="I414" s="11"/>
      <x:c r="J414" s="11"/>
      <x:c r="K414" s="12" t="str">
        <x:f>IF(A414="","",E414*F414+G414*H414+I414*J414)</x:f>
      </x:c>
      <x:c r="L414" s="9"/>
      <x:c r="M414" s="9" t="str">
        <x:f>IF(A414="","",INDEX('입고대장'!$M$7:$M$1006,MATCH(A414,'입고대장'!$A$7:$A$1006,0)))</x:f>
      </x:c>
      <x:c r="N414" s="9"/>
    </x:row>
    <x:row r="415" ht="23" customHeight="1">
      <x:c r="A415" s="9"/>
      <x:c r="B415" s="10"/>
      <x:c r="C415" s="11"/>
      <x:c r="D415" s="11"/>
      <x:c r="E415" s="11"/>
      <x:c r="F415" s="11"/>
      <x:c r="G415" s="11"/>
      <x:c r="H415" s="11"/>
      <x:c r="I415" s="11"/>
      <x:c r="J415" s="11"/>
      <x:c r="K415" s="12" t="str">
        <x:f>IF(A415="","",E415*F415+G415*H415+I415*J415)</x:f>
      </x:c>
      <x:c r="L415" s="9"/>
      <x:c r="M415" s="9" t="str">
        <x:f>IF(A415="","",INDEX('입고대장'!$M$7:$M$1006,MATCH(A415,'입고대장'!$A$7:$A$1006,0)))</x:f>
      </x:c>
      <x:c r="N415" s="9"/>
    </x:row>
    <x:row r="416" ht="23" customHeight="1">
      <x:c r="A416" s="9"/>
      <x:c r="B416" s="10"/>
      <x:c r="C416" s="11"/>
      <x:c r="D416" s="11"/>
      <x:c r="E416" s="11"/>
      <x:c r="F416" s="11"/>
      <x:c r="G416" s="11"/>
      <x:c r="H416" s="11"/>
      <x:c r="I416" s="11"/>
      <x:c r="J416" s="11"/>
      <x:c r="K416" s="12" t="str">
        <x:f>IF(A416="","",E416*F416+G416*H416+I416*J416)</x:f>
      </x:c>
      <x:c r="L416" s="9"/>
      <x:c r="M416" s="9" t="str">
        <x:f>IF(A416="","",INDEX('입고대장'!$M$7:$M$1006,MATCH(A416,'입고대장'!$A$7:$A$1006,0)))</x:f>
      </x:c>
      <x:c r="N416" s="9"/>
    </x:row>
    <x:row r="417" ht="23" customHeight="1">
      <x:c r="A417" s="9"/>
      <x:c r="B417" s="10"/>
      <x:c r="C417" s="11"/>
      <x:c r="D417" s="11"/>
      <x:c r="E417" s="11"/>
      <x:c r="F417" s="11"/>
      <x:c r="G417" s="11"/>
      <x:c r="H417" s="11"/>
      <x:c r="I417" s="11"/>
      <x:c r="J417" s="11"/>
      <x:c r="K417" s="12" t="str">
        <x:f>IF(A417="","",E417*F417+G417*H417+I417*J417)</x:f>
      </x:c>
      <x:c r="L417" s="9"/>
      <x:c r="M417" s="9" t="str">
        <x:f>IF(A417="","",INDEX('입고대장'!$M$7:$M$1006,MATCH(A417,'입고대장'!$A$7:$A$1006,0)))</x:f>
      </x:c>
      <x:c r="N417" s="9"/>
    </x:row>
    <x:row r="418" ht="23" customHeight="1">
      <x:c r="A418" s="9"/>
      <x:c r="B418" s="10"/>
      <x:c r="C418" s="11"/>
      <x:c r="D418" s="11"/>
      <x:c r="E418" s="11"/>
      <x:c r="F418" s="11"/>
      <x:c r="G418" s="11"/>
      <x:c r="H418" s="11"/>
      <x:c r="I418" s="11"/>
      <x:c r="J418" s="11"/>
      <x:c r="K418" s="12" t="str">
        <x:f>IF(A418="","",E418*F418+G418*H418+I418*J418)</x:f>
      </x:c>
      <x:c r="L418" s="9"/>
      <x:c r="M418" s="9" t="str">
        <x:f>IF(A418="","",INDEX('입고대장'!$M$7:$M$1006,MATCH(A418,'입고대장'!$A$7:$A$1006,0)))</x:f>
      </x:c>
      <x:c r="N418" s="9"/>
    </x:row>
    <x:row r="419" ht="23" customHeight="1">
      <x:c r="A419" s="9"/>
      <x:c r="B419" s="10"/>
      <x:c r="C419" s="11"/>
      <x:c r="D419" s="11"/>
      <x:c r="E419" s="11"/>
      <x:c r="F419" s="11"/>
      <x:c r="G419" s="11"/>
      <x:c r="H419" s="11"/>
      <x:c r="I419" s="11"/>
      <x:c r="J419" s="11"/>
      <x:c r="K419" s="12" t="str">
        <x:f>IF(A419="","",E419*F419+G419*H419+I419*J419)</x:f>
      </x:c>
      <x:c r="L419" s="9"/>
      <x:c r="M419" s="9" t="str">
        <x:f>IF(A419="","",INDEX('입고대장'!$M$7:$M$1006,MATCH(A419,'입고대장'!$A$7:$A$1006,0)))</x:f>
      </x:c>
      <x:c r="N419" s="9"/>
    </x:row>
    <x:row r="420" ht="23" customHeight="1">
      <x:c r="A420" s="9"/>
      <x:c r="B420" s="10"/>
      <x:c r="C420" s="11"/>
      <x:c r="D420" s="11"/>
      <x:c r="E420" s="11"/>
      <x:c r="F420" s="11"/>
      <x:c r="G420" s="11"/>
      <x:c r="H420" s="11"/>
      <x:c r="I420" s="11"/>
      <x:c r="J420" s="11"/>
      <x:c r="K420" s="12" t="str">
        <x:f>IF(A420="","",E420*F420+G420*H420+I420*J420)</x:f>
      </x:c>
      <x:c r="L420" s="9"/>
      <x:c r="M420" s="9" t="str">
        <x:f>IF(A420="","",INDEX('입고대장'!$M$7:$M$1006,MATCH(A420,'입고대장'!$A$7:$A$1006,0)))</x:f>
      </x:c>
      <x:c r="N420" s="9"/>
    </x:row>
    <x:row r="421" ht="23" customHeight="1">
      <x:c r="A421" s="9"/>
      <x:c r="B421" s="10"/>
      <x:c r="C421" s="11"/>
      <x:c r="D421" s="11"/>
      <x:c r="E421" s="11"/>
      <x:c r="F421" s="11"/>
      <x:c r="G421" s="11"/>
      <x:c r="H421" s="11"/>
      <x:c r="I421" s="11"/>
      <x:c r="J421" s="11"/>
      <x:c r="K421" s="12" t="str">
        <x:f>IF(A421="","",E421*F421+G421*H421+I421*J421)</x:f>
      </x:c>
      <x:c r="L421" s="9"/>
      <x:c r="M421" s="9" t="str">
        <x:f>IF(A421="","",INDEX('입고대장'!$M$7:$M$1006,MATCH(A421,'입고대장'!$A$7:$A$1006,0)))</x:f>
      </x:c>
      <x:c r="N421" s="9"/>
    </x:row>
    <x:row r="422" ht="23" customHeight="1">
      <x:c r="A422" s="9"/>
      <x:c r="B422" s="10"/>
      <x:c r="C422" s="11"/>
      <x:c r="D422" s="11"/>
      <x:c r="E422" s="11"/>
      <x:c r="F422" s="11"/>
      <x:c r="G422" s="11"/>
      <x:c r="H422" s="11"/>
      <x:c r="I422" s="11"/>
      <x:c r="J422" s="11"/>
      <x:c r="K422" s="12" t="str">
        <x:f>IF(A422="","",E422*F422+G422*H422+I422*J422)</x:f>
      </x:c>
      <x:c r="L422" s="9"/>
      <x:c r="M422" s="9" t="str">
        <x:f>IF(A422="","",INDEX('입고대장'!$M$7:$M$1006,MATCH(A422,'입고대장'!$A$7:$A$1006,0)))</x:f>
      </x:c>
      <x:c r="N422" s="9"/>
    </x:row>
    <x:row r="423" ht="23" customHeight="1">
      <x:c r="A423" s="9"/>
      <x:c r="B423" s="10"/>
      <x:c r="C423" s="11"/>
      <x:c r="D423" s="11"/>
      <x:c r="E423" s="11"/>
      <x:c r="F423" s="11"/>
      <x:c r="G423" s="11"/>
      <x:c r="H423" s="11"/>
      <x:c r="I423" s="11"/>
      <x:c r="J423" s="11"/>
      <x:c r="K423" s="12" t="str">
        <x:f>IF(A423="","",E423*F423+G423*H423+I423*J423)</x:f>
      </x:c>
      <x:c r="L423" s="9"/>
      <x:c r="M423" s="9" t="str">
        <x:f>IF(A423="","",INDEX('입고대장'!$M$7:$M$1006,MATCH(A423,'입고대장'!$A$7:$A$1006,0)))</x:f>
      </x:c>
      <x:c r="N423" s="9"/>
    </x:row>
    <x:row r="424" ht="23" customHeight="1">
      <x:c r="A424" s="9"/>
      <x:c r="B424" s="10"/>
      <x:c r="C424" s="11"/>
      <x:c r="D424" s="11"/>
      <x:c r="E424" s="11"/>
      <x:c r="F424" s="11"/>
      <x:c r="G424" s="11"/>
      <x:c r="H424" s="11"/>
      <x:c r="I424" s="11"/>
      <x:c r="J424" s="11"/>
      <x:c r="K424" s="12" t="str">
        <x:f>IF(A424="","",E424*F424+G424*H424+I424*J424)</x:f>
      </x:c>
      <x:c r="L424" s="9"/>
      <x:c r="M424" s="9" t="str">
        <x:f>IF(A424="","",INDEX('입고대장'!$M$7:$M$1006,MATCH(A424,'입고대장'!$A$7:$A$1006,0)))</x:f>
      </x:c>
      <x:c r="N424" s="9"/>
    </x:row>
    <x:row r="425" ht="23" customHeight="1">
      <x:c r="A425" s="9"/>
      <x:c r="B425" s="10"/>
      <x:c r="C425" s="11"/>
      <x:c r="D425" s="11"/>
      <x:c r="E425" s="11"/>
      <x:c r="F425" s="11"/>
      <x:c r="G425" s="11"/>
      <x:c r="H425" s="11"/>
      <x:c r="I425" s="11"/>
      <x:c r="J425" s="11"/>
      <x:c r="K425" s="12" t="str">
        <x:f>IF(A425="","",E425*F425+G425*H425+I425*J425)</x:f>
      </x:c>
      <x:c r="L425" s="9"/>
      <x:c r="M425" s="9" t="str">
        <x:f>IF(A425="","",INDEX('입고대장'!$M$7:$M$1006,MATCH(A425,'입고대장'!$A$7:$A$1006,0)))</x:f>
      </x:c>
      <x:c r="N425" s="9"/>
    </x:row>
    <x:row r="426" ht="23" customHeight="1">
      <x:c r="A426" s="9"/>
      <x:c r="B426" s="10"/>
      <x:c r="C426" s="11"/>
      <x:c r="D426" s="11"/>
      <x:c r="E426" s="11"/>
      <x:c r="F426" s="11"/>
      <x:c r="G426" s="11"/>
      <x:c r="H426" s="11"/>
      <x:c r="I426" s="11"/>
      <x:c r="J426" s="11"/>
      <x:c r="K426" s="12" t="str">
        <x:f>IF(A426="","",E426*F426+G426*H426+I426*J426)</x:f>
      </x:c>
      <x:c r="L426" s="9"/>
      <x:c r="M426" s="9" t="str">
        <x:f>IF(A426="","",INDEX('입고대장'!$M$7:$M$1006,MATCH(A426,'입고대장'!$A$7:$A$1006,0)))</x:f>
      </x:c>
      <x:c r="N426" s="9"/>
    </x:row>
    <x:row r="427" ht="23" customHeight="1">
      <x:c r="A427" s="9"/>
      <x:c r="B427" s="10"/>
      <x:c r="C427" s="11"/>
      <x:c r="D427" s="11"/>
      <x:c r="E427" s="11"/>
      <x:c r="F427" s="11"/>
      <x:c r="G427" s="11"/>
      <x:c r="H427" s="11"/>
      <x:c r="I427" s="11"/>
      <x:c r="J427" s="11"/>
      <x:c r="K427" s="12" t="str">
        <x:f>IF(A427="","",E427*F427+G427*H427+I427*J427)</x:f>
      </x:c>
      <x:c r="L427" s="9"/>
      <x:c r="M427" s="9" t="str">
        <x:f>IF(A427="","",INDEX('입고대장'!$M$7:$M$1006,MATCH(A427,'입고대장'!$A$7:$A$1006,0)))</x:f>
      </x:c>
      <x:c r="N427" s="9"/>
    </x:row>
    <x:row r="428" ht="23" customHeight="1">
      <x:c r="A428" s="9"/>
      <x:c r="B428" s="10"/>
      <x:c r="C428" s="11"/>
      <x:c r="D428" s="11"/>
      <x:c r="E428" s="11"/>
      <x:c r="F428" s="11"/>
      <x:c r="G428" s="11"/>
      <x:c r="H428" s="11"/>
      <x:c r="I428" s="11"/>
      <x:c r="J428" s="11"/>
      <x:c r="K428" s="12" t="str">
        <x:f>IF(A428="","",E428*F428+G428*H428+I428*J428)</x:f>
      </x:c>
      <x:c r="L428" s="9"/>
      <x:c r="M428" s="9" t="str">
        <x:f>IF(A428="","",INDEX('입고대장'!$M$7:$M$1006,MATCH(A428,'입고대장'!$A$7:$A$1006,0)))</x:f>
      </x:c>
      <x:c r="N428" s="9"/>
    </x:row>
    <x:row r="429" ht="23" customHeight="1">
      <x:c r="A429" s="9"/>
      <x:c r="B429" s="10"/>
      <x:c r="C429" s="11"/>
      <x:c r="D429" s="11"/>
      <x:c r="E429" s="11"/>
      <x:c r="F429" s="11"/>
      <x:c r="G429" s="11"/>
      <x:c r="H429" s="11"/>
      <x:c r="I429" s="11"/>
      <x:c r="J429" s="11"/>
      <x:c r="K429" s="12" t="str">
        <x:f>IF(A429="","",E429*F429+G429*H429+I429*J429)</x:f>
      </x:c>
      <x:c r="L429" s="9"/>
      <x:c r="M429" s="9" t="str">
        <x:f>IF(A429="","",INDEX('입고대장'!$M$7:$M$1006,MATCH(A429,'입고대장'!$A$7:$A$1006,0)))</x:f>
      </x:c>
      <x:c r="N429" s="9"/>
    </x:row>
    <x:row r="430" ht="23" customHeight="1">
      <x:c r="A430" s="9"/>
      <x:c r="B430" s="10"/>
      <x:c r="C430" s="11"/>
      <x:c r="D430" s="11"/>
      <x:c r="E430" s="11"/>
      <x:c r="F430" s="11"/>
      <x:c r="G430" s="11"/>
      <x:c r="H430" s="11"/>
      <x:c r="I430" s="11"/>
      <x:c r="J430" s="11"/>
      <x:c r="K430" s="12" t="str">
        <x:f>IF(A430="","",E430*F430+G430*H430+I430*J430)</x:f>
      </x:c>
      <x:c r="L430" s="9"/>
      <x:c r="M430" s="9" t="str">
        <x:f>IF(A430="","",INDEX('입고대장'!$M$7:$M$1006,MATCH(A430,'입고대장'!$A$7:$A$1006,0)))</x:f>
      </x:c>
      <x:c r="N430" s="9"/>
    </x:row>
    <x:row r="431" ht="23" customHeight="1">
      <x:c r="A431" s="9"/>
      <x:c r="B431" s="10"/>
      <x:c r="C431" s="11"/>
      <x:c r="D431" s="11"/>
      <x:c r="E431" s="11"/>
      <x:c r="F431" s="11"/>
      <x:c r="G431" s="11"/>
      <x:c r="H431" s="11"/>
      <x:c r="I431" s="11"/>
      <x:c r="J431" s="11"/>
      <x:c r="K431" s="12" t="str">
        <x:f>IF(A431="","",E431*F431+G431*H431+I431*J431)</x:f>
      </x:c>
      <x:c r="L431" s="9"/>
      <x:c r="M431" s="9" t="str">
        <x:f>IF(A431="","",INDEX('입고대장'!$M$7:$M$1006,MATCH(A431,'입고대장'!$A$7:$A$1006,0)))</x:f>
      </x:c>
      <x:c r="N431" s="9"/>
    </x:row>
    <x:row r="432" ht="23" customHeight="1">
      <x:c r="A432" s="9"/>
      <x:c r="B432" s="10"/>
      <x:c r="C432" s="11"/>
      <x:c r="D432" s="11"/>
      <x:c r="E432" s="11"/>
      <x:c r="F432" s="11"/>
      <x:c r="G432" s="11"/>
      <x:c r="H432" s="11"/>
      <x:c r="I432" s="11"/>
      <x:c r="J432" s="11"/>
      <x:c r="K432" s="12" t="str">
        <x:f>IF(A432="","",E432*F432+G432*H432+I432*J432)</x:f>
      </x:c>
      <x:c r="L432" s="9"/>
      <x:c r="M432" s="9" t="str">
        <x:f>IF(A432="","",INDEX('입고대장'!$M$7:$M$1006,MATCH(A432,'입고대장'!$A$7:$A$1006,0)))</x:f>
      </x:c>
      <x:c r="N432" s="9"/>
    </x:row>
    <x:row r="433" ht="23" customHeight="1">
      <x:c r="A433" s="9"/>
      <x:c r="B433" s="10"/>
      <x:c r="C433" s="11"/>
      <x:c r="D433" s="11"/>
      <x:c r="E433" s="11"/>
      <x:c r="F433" s="11"/>
      <x:c r="G433" s="11"/>
      <x:c r="H433" s="11"/>
      <x:c r="I433" s="11"/>
      <x:c r="J433" s="11"/>
      <x:c r="K433" s="12" t="str">
        <x:f>IF(A433="","",E433*F433+G433*H433+I433*J433)</x:f>
      </x:c>
      <x:c r="L433" s="9"/>
      <x:c r="M433" s="9" t="str">
        <x:f>IF(A433="","",INDEX('입고대장'!$M$7:$M$1006,MATCH(A433,'입고대장'!$A$7:$A$1006,0)))</x:f>
      </x:c>
      <x:c r="N433" s="9"/>
    </x:row>
    <x:row r="434" ht="23" customHeight="1">
      <x:c r="A434" s="9"/>
      <x:c r="B434" s="10"/>
      <x:c r="C434" s="11"/>
      <x:c r="D434" s="11"/>
      <x:c r="E434" s="11"/>
      <x:c r="F434" s="11"/>
      <x:c r="G434" s="11"/>
      <x:c r="H434" s="11"/>
      <x:c r="I434" s="11"/>
      <x:c r="J434" s="11"/>
      <x:c r="K434" s="12" t="str">
        <x:f>IF(A434="","",E434*F434+G434*H434+I434*J434)</x:f>
      </x:c>
      <x:c r="L434" s="9"/>
      <x:c r="M434" s="9" t="str">
        <x:f>IF(A434="","",INDEX('입고대장'!$M$7:$M$1006,MATCH(A434,'입고대장'!$A$7:$A$1006,0)))</x:f>
      </x:c>
      <x:c r="N434" s="9"/>
    </x:row>
    <x:row r="435" ht="23" customHeight="1">
      <x:c r="A435" s="9"/>
      <x:c r="B435" s="10"/>
      <x:c r="C435" s="11"/>
      <x:c r="D435" s="11"/>
      <x:c r="E435" s="11"/>
      <x:c r="F435" s="11"/>
      <x:c r="G435" s="11"/>
      <x:c r="H435" s="11"/>
      <x:c r="I435" s="11"/>
      <x:c r="J435" s="11"/>
      <x:c r="K435" s="12" t="str">
        <x:f>IF(A435="","",E435*F435+G435*H435+I435*J435)</x:f>
      </x:c>
      <x:c r="L435" s="9"/>
      <x:c r="M435" s="9" t="str">
        <x:f>IF(A435="","",INDEX('입고대장'!$M$7:$M$1006,MATCH(A435,'입고대장'!$A$7:$A$1006,0)))</x:f>
      </x:c>
      <x:c r="N435" s="9"/>
    </x:row>
    <x:row r="436" ht="23" customHeight="1">
      <x:c r="A436" s="9"/>
      <x:c r="B436" s="10"/>
      <x:c r="C436" s="11"/>
      <x:c r="D436" s="11"/>
      <x:c r="E436" s="11"/>
      <x:c r="F436" s="11"/>
      <x:c r="G436" s="11"/>
      <x:c r="H436" s="11"/>
      <x:c r="I436" s="11"/>
      <x:c r="J436" s="11"/>
      <x:c r="K436" s="12" t="str">
        <x:f>IF(A436="","",E436*F436+G436*H436+I436*J436)</x:f>
      </x:c>
      <x:c r="L436" s="9"/>
      <x:c r="M436" s="9" t="str">
        <x:f>IF(A436="","",INDEX('입고대장'!$M$7:$M$1006,MATCH(A436,'입고대장'!$A$7:$A$1006,0)))</x:f>
      </x:c>
      <x:c r="N436" s="9"/>
    </x:row>
    <x:row r="437" ht="23" customHeight="1">
      <x:c r="A437" s="9"/>
      <x:c r="B437" s="10"/>
      <x:c r="C437" s="11"/>
      <x:c r="D437" s="11"/>
      <x:c r="E437" s="11"/>
      <x:c r="F437" s="11"/>
      <x:c r="G437" s="11"/>
      <x:c r="H437" s="11"/>
      <x:c r="I437" s="11"/>
      <x:c r="J437" s="11"/>
      <x:c r="K437" s="12" t="str">
        <x:f>IF(A437="","",E437*F437+G437*H437+I437*J437)</x:f>
      </x:c>
      <x:c r="L437" s="9"/>
      <x:c r="M437" s="9" t="str">
        <x:f>IF(A437="","",INDEX('입고대장'!$M$7:$M$1006,MATCH(A437,'입고대장'!$A$7:$A$1006,0)))</x:f>
      </x:c>
      <x:c r="N437" s="9"/>
    </x:row>
    <x:row r="438" ht="23" customHeight="1">
      <x:c r="A438" s="9"/>
      <x:c r="B438" s="10"/>
      <x:c r="C438" s="11"/>
      <x:c r="D438" s="11"/>
      <x:c r="E438" s="11"/>
      <x:c r="F438" s="11"/>
      <x:c r="G438" s="11"/>
      <x:c r="H438" s="11"/>
      <x:c r="I438" s="11"/>
      <x:c r="J438" s="11"/>
      <x:c r="K438" s="12" t="str">
        <x:f>IF(A438="","",E438*F438+G438*H438+I438*J438)</x:f>
      </x:c>
      <x:c r="L438" s="9"/>
      <x:c r="M438" s="9" t="str">
        <x:f>IF(A438="","",INDEX('입고대장'!$M$7:$M$1006,MATCH(A438,'입고대장'!$A$7:$A$1006,0)))</x:f>
      </x:c>
      <x:c r="N438" s="9"/>
    </x:row>
    <x:row r="439" ht="23" customHeight="1">
      <x:c r="A439" s="9"/>
      <x:c r="B439" s="10"/>
      <x:c r="C439" s="11"/>
      <x:c r="D439" s="11"/>
      <x:c r="E439" s="11"/>
      <x:c r="F439" s="11"/>
      <x:c r="G439" s="11"/>
      <x:c r="H439" s="11"/>
      <x:c r="I439" s="11"/>
      <x:c r="J439" s="11"/>
      <x:c r="K439" s="12" t="str">
        <x:f>IF(A439="","",E439*F439+G439*H439+I439*J439)</x:f>
      </x:c>
      <x:c r="L439" s="9"/>
      <x:c r="M439" s="9" t="str">
        <x:f>IF(A439="","",INDEX('입고대장'!$M$7:$M$1006,MATCH(A439,'입고대장'!$A$7:$A$1006,0)))</x:f>
      </x:c>
      <x:c r="N439" s="9"/>
    </x:row>
    <x:row r="440" ht="23" customHeight="1">
      <x:c r="A440" s="9"/>
      <x:c r="B440" s="10"/>
      <x:c r="C440" s="11"/>
      <x:c r="D440" s="11"/>
      <x:c r="E440" s="11"/>
      <x:c r="F440" s="11"/>
      <x:c r="G440" s="11"/>
      <x:c r="H440" s="11"/>
      <x:c r="I440" s="11"/>
      <x:c r="J440" s="11"/>
      <x:c r="K440" s="12" t="str">
        <x:f>IF(A440="","",E440*F440+G440*H440+I440*J440)</x:f>
      </x:c>
      <x:c r="L440" s="9"/>
      <x:c r="M440" s="9" t="str">
        <x:f>IF(A440="","",INDEX('입고대장'!$M$7:$M$1006,MATCH(A440,'입고대장'!$A$7:$A$1006,0)))</x:f>
      </x:c>
      <x:c r="N440" s="9"/>
    </x:row>
    <x:row r="441" ht="23" customHeight="1">
      <x:c r="A441" s="9"/>
      <x:c r="B441" s="10"/>
      <x:c r="C441" s="11"/>
      <x:c r="D441" s="11"/>
      <x:c r="E441" s="11"/>
      <x:c r="F441" s="11"/>
      <x:c r="G441" s="11"/>
      <x:c r="H441" s="11"/>
      <x:c r="I441" s="11"/>
      <x:c r="J441" s="11"/>
      <x:c r="K441" s="12" t="str">
        <x:f>IF(A441="","",E441*F441+G441*H441+I441*J441)</x:f>
      </x:c>
      <x:c r="L441" s="9"/>
      <x:c r="M441" s="9" t="str">
        <x:f>IF(A441="","",INDEX('입고대장'!$M$7:$M$1006,MATCH(A441,'입고대장'!$A$7:$A$1006,0)))</x:f>
      </x:c>
      <x:c r="N441" s="9"/>
    </x:row>
    <x:row r="442" ht="23" customHeight="1">
      <x:c r="A442" s="9"/>
      <x:c r="B442" s="10"/>
      <x:c r="C442" s="11"/>
      <x:c r="D442" s="11"/>
      <x:c r="E442" s="11"/>
      <x:c r="F442" s="11"/>
      <x:c r="G442" s="11"/>
      <x:c r="H442" s="11"/>
      <x:c r="I442" s="11"/>
      <x:c r="J442" s="11"/>
      <x:c r="K442" s="12" t="str">
        <x:f>IF(A442="","",E442*F442+G442*H442+I442*J442)</x:f>
      </x:c>
      <x:c r="L442" s="9"/>
      <x:c r="M442" s="9" t="str">
        <x:f>IF(A442="","",INDEX('입고대장'!$M$7:$M$1006,MATCH(A442,'입고대장'!$A$7:$A$1006,0)))</x:f>
      </x:c>
      <x:c r="N442" s="9"/>
    </x:row>
    <x:row r="443" ht="23" customHeight="1">
      <x:c r="A443" s="9"/>
      <x:c r="B443" s="10"/>
      <x:c r="C443" s="11"/>
      <x:c r="D443" s="11"/>
      <x:c r="E443" s="11"/>
      <x:c r="F443" s="11"/>
      <x:c r="G443" s="11"/>
      <x:c r="H443" s="11"/>
      <x:c r="I443" s="11"/>
      <x:c r="J443" s="11"/>
      <x:c r="K443" s="12" t="str">
        <x:f>IF(A443="","",E443*F443+G443*H443+I443*J443)</x:f>
      </x:c>
      <x:c r="L443" s="9"/>
      <x:c r="M443" s="9" t="str">
        <x:f>IF(A443="","",INDEX('입고대장'!$M$7:$M$1006,MATCH(A443,'입고대장'!$A$7:$A$1006,0)))</x:f>
      </x:c>
      <x:c r="N443" s="9"/>
    </x:row>
    <x:row r="444" ht="23" customHeight="1">
      <x:c r="A444" s="9"/>
      <x:c r="B444" s="10"/>
      <x:c r="C444" s="11"/>
      <x:c r="D444" s="11"/>
      <x:c r="E444" s="11"/>
      <x:c r="F444" s="11"/>
      <x:c r="G444" s="11"/>
      <x:c r="H444" s="11"/>
      <x:c r="I444" s="11"/>
      <x:c r="J444" s="11"/>
      <x:c r="K444" s="12" t="str">
        <x:f>IF(A444="","",E444*F444+G444*H444+I444*J444)</x:f>
      </x:c>
      <x:c r="L444" s="9"/>
      <x:c r="M444" s="9" t="str">
        <x:f>IF(A444="","",INDEX('입고대장'!$M$7:$M$1006,MATCH(A444,'입고대장'!$A$7:$A$1006,0)))</x:f>
      </x:c>
      <x:c r="N444" s="9"/>
    </x:row>
    <x:row r="445" ht="23" customHeight="1">
      <x:c r="A445" s="9"/>
      <x:c r="B445" s="10"/>
      <x:c r="C445" s="11"/>
      <x:c r="D445" s="11"/>
      <x:c r="E445" s="11"/>
      <x:c r="F445" s="11"/>
      <x:c r="G445" s="11"/>
      <x:c r="H445" s="11"/>
      <x:c r="I445" s="11"/>
      <x:c r="J445" s="11"/>
      <x:c r="K445" s="12" t="str">
        <x:f>IF(A445="","",E445*F445+G445*H445+I445*J445)</x:f>
      </x:c>
      <x:c r="L445" s="9"/>
      <x:c r="M445" s="9" t="str">
        <x:f>IF(A445="","",INDEX('입고대장'!$M$7:$M$1006,MATCH(A445,'입고대장'!$A$7:$A$1006,0)))</x:f>
      </x:c>
      <x:c r="N445" s="9"/>
    </x:row>
    <x:row r="446" ht="23" customHeight="1">
      <x:c r="A446" s="9"/>
      <x:c r="B446" s="10"/>
      <x:c r="C446" s="11"/>
      <x:c r="D446" s="11"/>
      <x:c r="E446" s="11"/>
      <x:c r="F446" s="11"/>
      <x:c r="G446" s="11"/>
      <x:c r="H446" s="11"/>
      <x:c r="I446" s="11"/>
      <x:c r="J446" s="11"/>
      <x:c r="K446" s="12" t="str">
        <x:f>IF(A446="","",E446*F446+G446*H446+I446*J446)</x:f>
      </x:c>
      <x:c r="L446" s="9"/>
      <x:c r="M446" s="9" t="str">
        <x:f>IF(A446="","",INDEX('입고대장'!$M$7:$M$1006,MATCH(A446,'입고대장'!$A$7:$A$1006,0)))</x:f>
      </x:c>
      <x:c r="N446" s="9"/>
    </x:row>
    <x:row r="447" ht="23" customHeight="1">
      <x:c r="A447" s="9"/>
      <x:c r="B447" s="10"/>
      <x:c r="C447" s="11"/>
      <x:c r="D447" s="11"/>
      <x:c r="E447" s="11"/>
      <x:c r="F447" s="11"/>
      <x:c r="G447" s="11"/>
      <x:c r="H447" s="11"/>
      <x:c r="I447" s="11"/>
      <x:c r="J447" s="11"/>
      <x:c r="K447" s="12" t="str">
        <x:f>IF(A447="","",E447*F447+G447*H447+I447*J447)</x:f>
      </x:c>
      <x:c r="L447" s="9"/>
      <x:c r="M447" s="9" t="str">
        <x:f>IF(A447="","",INDEX('입고대장'!$M$7:$M$1006,MATCH(A447,'입고대장'!$A$7:$A$1006,0)))</x:f>
      </x:c>
      <x:c r="N447" s="9"/>
    </x:row>
    <x:row r="448" ht="23" customHeight="1">
      <x:c r="A448" s="9"/>
      <x:c r="B448" s="10"/>
      <x:c r="C448" s="11"/>
      <x:c r="D448" s="11"/>
      <x:c r="E448" s="11"/>
      <x:c r="F448" s="11"/>
      <x:c r="G448" s="11"/>
      <x:c r="H448" s="11"/>
      <x:c r="I448" s="11"/>
      <x:c r="J448" s="11"/>
      <x:c r="K448" s="12" t="str">
        <x:f>IF(A448="","",E448*F448+G448*H448+I448*J448)</x:f>
      </x:c>
      <x:c r="L448" s="9"/>
      <x:c r="M448" s="9" t="str">
        <x:f>IF(A448="","",INDEX('입고대장'!$M$7:$M$1006,MATCH(A448,'입고대장'!$A$7:$A$1006,0)))</x:f>
      </x:c>
      <x:c r="N448" s="9"/>
    </x:row>
    <x:row r="449" ht="23" customHeight="1">
      <x:c r="A449" s="9"/>
      <x:c r="B449" s="10"/>
      <x:c r="C449" s="11"/>
      <x:c r="D449" s="11"/>
      <x:c r="E449" s="11"/>
      <x:c r="F449" s="11"/>
      <x:c r="G449" s="11"/>
      <x:c r="H449" s="11"/>
      <x:c r="I449" s="11"/>
      <x:c r="J449" s="11"/>
      <x:c r="K449" s="12" t="str">
        <x:f>IF(A449="","",E449*F449+G449*H449+I449*J449)</x:f>
      </x:c>
      <x:c r="L449" s="9"/>
      <x:c r="M449" s="9" t="str">
        <x:f>IF(A449="","",INDEX('입고대장'!$M$7:$M$1006,MATCH(A449,'입고대장'!$A$7:$A$1006,0)))</x:f>
      </x:c>
      <x:c r="N449" s="9"/>
    </x:row>
    <x:row r="450" ht="23" customHeight="1">
      <x:c r="A450" s="9"/>
      <x:c r="B450" s="10"/>
      <x:c r="C450" s="11"/>
      <x:c r="D450" s="11"/>
      <x:c r="E450" s="11"/>
      <x:c r="F450" s="11"/>
      <x:c r="G450" s="11"/>
      <x:c r="H450" s="11"/>
      <x:c r="I450" s="11"/>
      <x:c r="J450" s="11"/>
      <x:c r="K450" s="12" t="str">
        <x:f>IF(A450="","",E450*F450+G450*H450+I450*J450)</x:f>
      </x:c>
      <x:c r="L450" s="9"/>
      <x:c r="M450" s="9" t="str">
        <x:f>IF(A450="","",INDEX('입고대장'!$M$7:$M$1006,MATCH(A450,'입고대장'!$A$7:$A$1006,0)))</x:f>
      </x:c>
      <x:c r="N450" s="9"/>
    </x:row>
    <x:row r="451" ht="23" customHeight="1">
      <x:c r="A451" s="9"/>
      <x:c r="B451" s="10"/>
      <x:c r="C451" s="11"/>
      <x:c r="D451" s="11"/>
      <x:c r="E451" s="11"/>
      <x:c r="F451" s="11"/>
      <x:c r="G451" s="11"/>
      <x:c r="H451" s="11"/>
      <x:c r="I451" s="11"/>
      <x:c r="J451" s="11"/>
      <x:c r="K451" s="12" t="str">
        <x:f>IF(A451="","",E451*F451+G451*H451+I451*J451)</x:f>
      </x:c>
      <x:c r="L451" s="9"/>
      <x:c r="M451" s="9" t="str">
        <x:f>IF(A451="","",INDEX('입고대장'!$M$7:$M$1006,MATCH(A451,'입고대장'!$A$7:$A$1006,0)))</x:f>
      </x:c>
      <x:c r="N451" s="9"/>
    </x:row>
    <x:row r="452" ht="23" customHeight="1">
      <x:c r="A452" s="9"/>
      <x:c r="B452" s="10"/>
      <x:c r="C452" s="11"/>
      <x:c r="D452" s="11"/>
      <x:c r="E452" s="11"/>
      <x:c r="F452" s="11"/>
      <x:c r="G452" s="11"/>
      <x:c r="H452" s="11"/>
      <x:c r="I452" s="11"/>
      <x:c r="J452" s="11"/>
      <x:c r="K452" s="12" t="str">
        <x:f>IF(A452="","",E452*F452+G452*H452+I452*J452)</x:f>
      </x:c>
      <x:c r="L452" s="9"/>
      <x:c r="M452" s="9" t="str">
        <x:f>IF(A452="","",INDEX('입고대장'!$M$7:$M$1006,MATCH(A452,'입고대장'!$A$7:$A$1006,0)))</x:f>
      </x:c>
      <x:c r="N452" s="9"/>
    </x:row>
    <x:row r="453" ht="23" customHeight="1">
      <x:c r="A453" s="9"/>
      <x:c r="B453" s="10"/>
      <x:c r="C453" s="11"/>
      <x:c r="D453" s="11"/>
      <x:c r="E453" s="11"/>
      <x:c r="F453" s="11"/>
      <x:c r="G453" s="11"/>
      <x:c r="H453" s="11"/>
      <x:c r="I453" s="11"/>
      <x:c r="J453" s="11"/>
      <x:c r="K453" s="12" t="str">
        <x:f>IF(A453="","",E453*F453+G453*H453+I453*J453)</x:f>
      </x:c>
      <x:c r="L453" s="9"/>
      <x:c r="M453" s="9" t="str">
        <x:f>IF(A453="","",INDEX('입고대장'!$M$7:$M$1006,MATCH(A453,'입고대장'!$A$7:$A$1006,0)))</x:f>
      </x:c>
      <x:c r="N453" s="9"/>
    </x:row>
    <x:row r="454" ht="23" customHeight="1">
      <x:c r="A454" s="9"/>
      <x:c r="B454" s="10"/>
      <x:c r="C454" s="11"/>
      <x:c r="D454" s="11"/>
      <x:c r="E454" s="11"/>
      <x:c r="F454" s="11"/>
      <x:c r="G454" s="11"/>
      <x:c r="H454" s="11"/>
      <x:c r="I454" s="11"/>
      <x:c r="J454" s="11"/>
      <x:c r="K454" s="12" t="str">
        <x:f>IF(A454="","",E454*F454+G454*H454+I454*J454)</x:f>
      </x:c>
      <x:c r="L454" s="9"/>
      <x:c r="M454" s="9" t="str">
        <x:f>IF(A454="","",INDEX('입고대장'!$M$7:$M$1006,MATCH(A454,'입고대장'!$A$7:$A$1006,0)))</x:f>
      </x:c>
      <x:c r="N454" s="9"/>
    </x:row>
    <x:row r="455" ht="23" customHeight="1">
      <x:c r="A455" s="9"/>
      <x:c r="B455" s="10"/>
      <x:c r="C455" s="11"/>
      <x:c r="D455" s="11"/>
      <x:c r="E455" s="11"/>
      <x:c r="F455" s="11"/>
      <x:c r="G455" s="11"/>
      <x:c r="H455" s="11"/>
      <x:c r="I455" s="11"/>
      <x:c r="J455" s="11"/>
      <x:c r="K455" s="12" t="str">
        <x:f>IF(A455="","",E455*F455+G455*H455+I455*J455)</x:f>
      </x:c>
      <x:c r="L455" s="9"/>
      <x:c r="M455" s="9" t="str">
        <x:f>IF(A455="","",INDEX('입고대장'!$M$7:$M$1006,MATCH(A455,'입고대장'!$A$7:$A$1006,0)))</x:f>
      </x:c>
      <x:c r="N455" s="9"/>
    </x:row>
    <x:row r="456" ht="23" customHeight="1">
      <x:c r="A456" s="9"/>
      <x:c r="B456" s="10"/>
      <x:c r="C456" s="11"/>
      <x:c r="D456" s="11"/>
      <x:c r="E456" s="11"/>
      <x:c r="F456" s="11"/>
      <x:c r="G456" s="11"/>
      <x:c r="H456" s="11"/>
      <x:c r="I456" s="11"/>
      <x:c r="J456" s="11"/>
      <x:c r="K456" s="12" t="str">
        <x:f>IF(A456="","",E456*F456+G456*H456+I456*J456)</x:f>
      </x:c>
      <x:c r="L456" s="9"/>
      <x:c r="M456" s="9" t="str">
        <x:f>IF(A456="","",INDEX('입고대장'!$M$7:$M$1006,MATCH(A456,'입고대장'!$A$7:$A$1006,0)))</x:f>
      </x:c>
      <x:c r="N456" s="9"/>
    </x:row>
    <x:row r="457" ht="23" customHeight="1">
      <x:c r="A457" s="9"/>
      <x:c r="B457" s="10"/>
      <x:c r="C457" s="11"/>
      <x:c r="D457" s="11"/>
      <x:c r="E457" s="11"/>
      <x:c r="F457" s="11"/>
      <x:c r="G457" s="11"/>
      <x:c r="H457" s="11"/>
      <x:c r="I457" s="11"/>
      <x:c r="J457" s="11"/>
      <x:c r="K457" s="12" t="str">
        <x:f>IF(A457="","",E457*F457+G457*H457+I457*J457)</x:f>
      </x:c>
      <x:c r="L457" s="9"/>
      <x:c r="M457" s="9" t="str">
        <x:f>IF(A457="","",INDEX('입고대장'!$M$7:$M$1006,MATCH(A457,'입고대장'!$A$7:$A$1006,0)))</x:f>
      </x:c>
      <x:c r="N457" s="9"/>
    </x:row>
    <x:row r="458" ht="23" customHeight="1">
      <x:c r="A458" s="9"/>
      <x:c r="B458" s="10"/>
      <x:c r="C458" s="11"/>
      <x:c r="D458" s="11"/>
      <x:c r="E458" s="11"/>
      <x:c r="F458" s="11"/>
      <x:c r="G458" s="11"/>
      <x:c r="H458" s="11"/>
      <x:c r="I458" s="11"/>
      <x:c r="J458" s="11"/>
      <x:c r="K458" s="12" t="str">
        <x:f>IF(A458="","",E458*F458+G458*H458+I458*J458)</x:f>
      </x:c>
      <x:c r="L458" s="9"/>
      <x:c r="M458" s="9" t="str">
        <x:f>IF(A458="","",INDEX('입고대장'!$M$7:$M$1006,MATCH(A458,'입고대장'!$A$7:$A$1006,0)))</x:f>
      </x:c>
      <x:c r="N458" s="9"/>
    </x:row>
    <x:row r="459" ht="23" customHeight="1">
      <x:c r="A459" s="9"/>
      <x:c r="B459" s="10"/>
      <x:c r="C459" s="11"/>
      <x:c r="D459" s="11"/>
      <x:c r="E459" s="11"/>
      <x:c r="F459" s="11"/>
      <x:c r="G459" s="11"/>
      <x:c r="H459" s="11"/>
      <x:c r="I459" s="11"/>
      <x:c r="J459" s="11"/>
      <x:c r="K459" s="12" t="str">
        <x:f>IF(A459="","",E459*F459+G459*H459+I459*J459)</x:f>
      </x:c>
      <x:c r="L459" s="9"/>
      <x:c r="M459" s="9" t="str">
        <x:f>IF(A459="","",INDEX('입고대장'!$M$7:$M$1006,MATCH(A459,'입고대장'!$A$7:$A$1006,0)))</x:f>
      </x:c>
      <x:c r="N459" s="9"/>
    </x:row>
    <x:row r="460" ht="23" customHeight="1">
      <x:c r="A460" s="9"/>
      <x:c r="B460" s="10"/>
      <x:c r="C460" s="11"/>
      <x:c r="D460" s="11"/>
      <x:c r="E460" s="11"/>
      <x:c r="F460" s="11"/>
      <x:c r="G460" s="11"/>
      <x:c r="H460" s="11"/>
      <x:c r="I460" s="11"/>
      <x:c r="J460" s="11"/>
      <x:c r="K460" s="12" t="str">
        <x:f>IF(A460="","",E460*F460+G460*H460+I460*J460)</x:f>
      </x:c>
      <x:c r="L460" s="9"/>
      <x:c r="M460" s="9" t="str">
        <x:f>IF(A460="","",INDEX('입고대장'!$M$7:$M$1006,MATCH(A460,'입고대장'!$A$7:$A$1006,0)))</x:f>
      </x:c>
      <x:c r="N460" s="9"/>
    </x:row>
    <x:row r="461" ht="23" customHeight="1">
      <x:c r="A461" s="9"/>
      <x:c r="B461" s="10"/>
      <x:c r="C461" s="11"/>
      <x:c r="D461" s="11"/>
      <x:c r="E461" s="11"/>
      <x:c r="F461" s="11"/>
      <x:c r="G461" s="11"/>
      <x:c r="H461" s="11"/>
      <x:c r="I461" s="11"/>
      <x:c r="J461" s="11"/>
      <x:c r="K461" s="12" t="str">
        <x:f>IF(A461="","",E461*F461+G461*H461+I461*J461)</x:f>
      </x:c>
      <x:c r="L461" s="9"/>
      <x:c r="M461" s="9" t="str">
        <x:f>IF(A461="","",INDEX('입고대장'!$M$7:$M$1006,MATCH(A461,'입고대장'!$A$7:$A$1006,0)))</x:f>
      </x:c>
      <x:c r="N461" s="9"/>
    </x:row>
    <x:row r="462" ht="23" customHeight="1">
      <x:c r="A462" s="9"/>
      <x:c r="B462" s="10"/>
      <x:c r="C462" s="11"/>
      <x:c r="D462" s="11"/>
      <x:c r="E462" s="11"/>
      <x:c r="F462" s="11"/>
      <x:c r="G462" s="11"/>
      <x:c r="H462" s="11"/>
      <x:c r="I462" s="11"/>
      <x:c r="J462" s="11"/>
      <x:c r="K462" s="12" t="str">
        <x:f>IF(A462="","",E462*F462+G462*H462+I462*J462)</x:f>
      </x:c>
      <x:c r="L462" s="9"/>
      <x:c r="M462" s="9" t="str">
        <x:f>IF(A462="","",INDEX('입고대장'!$M$7:$M$1006,MATCH(A462,'입고대장'!$A$7:$A$1006,0)))</x:f>
      </x:c>
      <x:c r="N462" s="9"/>
    </x:row>
    <x:row r="463" ht="23" customHeight="1">
      <x:c r="A463" s="9"/>
      <x:c r="B463" s="10"/>
      <x:c r="C463" s="11"/>
      <x:c r="D463" s="11"/>
      <x:c r="E463" s="11"/>
      <x:c r="F463" s="11"/>
      <x:c r="G463" s="11"/>
      <x:c r="H463" s="11"/>
      <x:c r="I463" s="11"/>
      <x:c r="J463" s="11"/>
      <x:c r="K463" s="12" t="str">
        <x:f>IF(A463="","",E463*F463+G463*H463+I463*J463)</x:f>
      </x:c>
      <x:c r="L463" s="9"/>
      <x:c r="M463" s="9" t="str">
        <x:f>IF(A463="","",INDEX('입고대장'!$M$7:$M$1006,MATCH(A463,'입고대장'!$A$7:$A$1006,0)))</x:f>
      </x:c>
      <x:c r="N463" s="9"/>
    </x:row>
    <x:row r="464" ht="23" customHeight="1">
      <x:c r="A464" s="9"/>
      <x:c r="B464" s="10"/>
      <x:c r="C464" s="11"/>
      <x:c r="D464" s="11"/>
      <x:c r="E464" s="11"/>
      <x:c r="F464" s="11"/>
      <x:c r="G464" s="11"/>
      <x:c r="H464" s="11"/>
      <x:c r="I464" s="11"/>
      <x:c r="J464" s="11"/>
      <x:c r="K464" s="12" t="str">
        <x:f>IF(A464="","",E464*F464+G464*H464+I464*J464)</x:f>
      </x:c>
      <x:c r="L464" s="9"/>
      <x:c r="M464" s="9" t="str">
        <x:f>IF(A464="","",INDEX('입고대장'!$M$7:$M$1006,MATCH(A464,'입고대장'!$A$7:$A$1006,0)))</x:f>
      </x:c>
      <x:c r="N464" s="9"/>
    </x:row>
    <x:row r="465" ht="23" customHeight="1">
      <x:c r="A465" s="9"/>
      <x:c r="B465" s="10"/>
      <x:c r="C465" s="11"/>
      <x:c r="D465" s="11"/>
      <x:c r="E465" s="11"/>
      <x:c r="F465" s="11"/>
      <x:c r="G465" s="11"/>
      <x:c r="H465" s="11"/>
      <x:c r="I465" s="11"/>
      <x:c r="J465" s="11"/>
      <x:c r="K465" s="12" t="str">
        <x:f>IF(A465="","",E465*F465+G465*H465+I465*J465)</x:f>
      </x:c>
      <x:c r="L465" s="9"/>
      <x:c r="M465" s="9" t="str">
        <x:f>IF(A465="","",INDEX('입고대장'!$M$7:$M$1006,MATCH(A465,'입고대장'!$A$7:$A$1006,0)))</x:f>
      </x:c>
      <x:c r="N465" s="9"/>
    </x:row>
    <x:row r="466" ht="23" customHeight="1">
      <x:c r="A466" s="9"/>
      <x:c r="B466" s="10"/>
      <x:c r="C466" s="11"/>
      <x:c r="D466" s="11"/>
      <x:c r="E466" s="11"/>
      <x:c r="F466" s="11"/>
      <x:c r="G466" s="11"/>
      <x:c r="H466" s="11"/>
      <x:c r="I466" s="11"/>
      <x:c r="J466" s="11"/>
      <x:c r="K466" s="12" t="str">
        <x:f>IF(A466="","",E466*F466+G466*H466+I466*J466)</x:f>
      </x:c>
      <x:c r="L466" s="9"/>
      <x:c r="M466" s="9" t="str">
        <x:f>IF(A466="","",INDEX('입고대장'!$M$7:$M$1006,MATCH(A466,'입고대장'!$A$7:$A$1006,0)))</x:f>
      </x:c>
      <x:c r="N466" s="9"/>
    </x:row>
    <x:row r="467" ht="23" customHeight="1">
      <x:c r="A467" s="9"/>
      <x:c r="B467" s="10"/>
      <x:c r="C467" s="11"/>
      <x:c r="D467" s="11"/>
      <x:c r="E467" s="11"/>
      <x:c r="F467" s="11"/>
      <x:c r="G467" s="11"/>
      <x:c r="H467" s="11"/>
      <x:c r="I467" s="11"/>
      <x:c r="J467" s="11"/>
      <x:c r="K467" s="12" t="str">
        <x:f>IF(A467="","",E467*F467+G467*H467+I467*J467)</x:f>
      </x:c>
      <x:c r="L467" s="9"/>
      <x:c r="M467" s="9" t="str">
        <x:f>IF(A467="","",INDEX('입고대장'!$M$7:$M$1006,MATCH(A467,'입고대장'!$A$7:$A$1006,0)))</x:f>
      </x:c>
      <x:c r="N467" s="9"/>
    </x:row>
    <x:row r="468" ht="23" customHeight="1">
      <x:c r="A468" s="9"/>
      <x:c r="B468" s="10"/>
      <x:c r="C468" s="11"/>
      <x:c r="D468" s="11"/>
      <x:c r="E468" s="11"/>
      <x:c r="F468" s="11"/>
      <x:c r="G468" s="11"/>
      <x:c r="H468" s="11"/>
      <x:c r="I468" s="11"/>
      <x:c r="J468" s="11"/>
      <x:c r="K468" s="12" t="str">
        <x:f>IF(A468="","",E468*F468+G468*H468+I468*J468)</x:f>
      </x:c>
      <x:c r="L468" s="9"/>
      <x:c r="M468" s="9" t="str">
        <x:f>IF(A468="","",INDEX('입고대장'!$M$7:$M$1006,MATCH(A468,'입고대장'!$A$7:$A$1006,0)))</x:f>
      </x:c>
      <x:c r="N468" s="9"/>
    </x:row>
    <x:row r="469" ht="23" customHeight="1">
      <x:c r="A469" s="9"/>
      <x:c r="B469" s="10"/>
      <x:c r="C469" s="11"/>
      <x:c r="D469" s="11"/>
      <x:c r="E469" s="11"/>
      <x:c r="F469" s="11"/>
      <x:c r="G469" s="11"/>
      <x:c r="H469" s="11"/>
      <x:c r="I469" s="11"/>
      <x:c r="J469" s="11"/>
      <x:c r="K469" s="12" t="str">
        <x:f>IF(A469="","",E469*F469+G469*H469+I469*J469)</x:f>
      </x:c>
      <x:c r="L469" s="9"/>
      <x:c r="M469" s="9" t="str">
        <x:f>IF(A469="","",INDEX('입고대장'!$M$7:$M$1006,MATCH(A469,'입고대장'!$A$7:$A$1006,0)))</x:f>
      </x:c>
      <x:c r="N469" s="9"/>
    </x:row>
    <x:row r="470" ht="23" customHeight="1">
      <x:c r="A470" s="9"/>
      <x:c r="B470" s="10"/>
      <x:c r="C470" s="11"/>
      <x:c r="D470" s="11"/>
      <x:c r="E470" s="11"/>
      <x:c r="F470" s="11"/>
      <x:c r="G470" s="11"/>
      <x:c r="H470" s="11"/>
      <x:c r="I470" s="11"/>
      <x:c r="J470" s="11"/>
      <x:c r="K470" s="12" t="str">
        <x:f>IF(A470="","",E470*F470+G470*H470+I470*J470)</x:f>
      </x:c>
      <x:c r="L470" s="9"/>
      <x:c r="M470" s="9" t="str">
        <x:f>IF(A470="","",INDEX('입고대장'!$M$7:$M$1006,MATCH(A470,'입고대장'!$A$7:$A$1006,0)))</x:f>
      </x:c>
      <x:c r="N470" s="9"/>
    </x:row>
    <x:row r="471" ht="23" customHeight="1">
      <x:c r="A471" s="9"/>
      <x:c r="B471" s="10"/>
      <x:c r="C471" s="11"/>
      <x:c r="D471" s="11"/>
      <x:c r="E471" s="11"/>
      <x:c r="F471" s="11"/>
      <x:c r="G471" s="11"/>
      <x:c r="H471" s="11"/>
      <x:c r="I471" s="11"/>
      <x:c r="J471" s="11"/>
      <x:c r="K471" s="12" t="str">
        <x:f>IF(A471="","",E471*F471+G471*H471+I471*J471)</x:f>
      </x:c>
      <x:c r="L471" s="9"/>
      <x:c r="M471" s="9" t="str">
        <x:f>IF(A471="","",INDEX('입고대장'!$M$7:$M$1006,MATCH(A471,'입고대장'!$A$7:$A$1006,0)))</x:f>
      </x:c>
      <x:c r="N471" s="9"/>
    </x:row>
    <x:row r="472" ht="23" customHeight="1">
      <x:c r="A472" s="9"/>
      <x:c r="B472" s="10"/>
      <x:c r="C472" s="11"/>
      <x:c r="D472" s="11"/>
      <x:c r="E472" s="11"/>
      <x:c r="F472" s="11"/>
      <x:c r="G472" s="11"/>
      <x:c r="H472" s="11"/>
      <x:c r="I472" s="11"/>
      <x:c r="J472" s="11"/>
      <x:c r="K472" s="12" t="str">
        <x:f>IF(A472="","",E472*F472+G472*H472+I472*J472)</x:f>
      </x:c>
      <x:c r="L472" s="9"/>
      <x:c r="M472" s="9" t="str">
        <x:f>IF(A472="","",INDEX('입고대장'!$M$7:$M$1006,MATCH(A472,'입고대장'!$A$7:$A$1006,0)))</x:f>
      </x:c>
      <x:c r="N472" s="9"/>
    </x:row>
    <x:row r="473" ht="23" customHeight="1">
      <x:c r="A473" s="9"/>
      <x:c r="B473" s="10"/>
      <x:c r="C473" s="11"/>
      <x:c r="D473" s="11"/>
      <x:c r="E473" s="11"/>
      <x:c r="F473" s="11"/>
      <x:c r="G473" s="11"/>
      <x:c r="H473" s="11"/>
      <x:c r="I473" s="11"/>
      <x:c r="J473" s="11"/>
      <x:c r="K473" s="12" t="str">
        <x:f>IF(A473="","",E473*F473+G473*H473+I473*J473)</x:f>
      </x:c>
      <x:c r="L473" s="9"/>
      <x:c r="M473" s="9" t="str">
        <x:f>IF(A473="","",INDEX('입고대장'!$M$7:$M$1006,MATCH(A473,'입고대장'!$A$7:$A$1006,0)))</x:f>
      </x:c>
      <x:c r="N473" s="9"/>
    </x:row>
    <x:row r="474" ht="23" customHeight="1">
      <x:c r="A474" s="9"/>
      <x:c r="B474" s="10"/>
      <x:c r="C474" s="11"/>
      <x:c r="D474" s="11"/>
      <x:c r="E474" s="11"/>
      <x:c r="F474" s="11"/>
      <x:c r="G474" s="11"/>
      <x:c r="H474" s="11"/>
      <x:c r="I474" s="11"/>
      <x:c r="J474" s="11"/>
      <x:c r="K474" s="12" t="str">
        <x:f>IF(A474="","",E474*F474+G474*H474+I474*J474)</x:f>
      </x:c>
      <x:c r="L474" s="9"/>
      <x:c r="M474" s="9" t="str">
        <x:f>IF(A474="","",INDEX('입고대장'!$M$7:$M$1006,MATCH(A474,'입고대장'!$A$7:$A$1006,0)))</x:f>
      </x:c>
      <x:c r="N474" s="9"/>
    </x:row>
    <x:row r="475" ht="23" customHeight="1">
      <x:c r="A475" s="9"/>
      <x:c r="B475" s="10"/>
      <x:c r="C475" s="11"/>
      <x:c r="D475" s="11"/>
      <x:c r="E475" s="11"/>
      <x:c r="F475" s="11"/>
      <x:c r="G475" s="11"/>
      <x:c r="H475" s="11"/>
      <x:c r="I475" s="11"/>
      <x:c r="J475" s="11"/>
      <x:c r="K475" s="12" t="str">
        <x:f>IF(A475="","",E475*F475+G475*H475+I475*J475)</x:f>
      </x:c>
      <x:c r="L475" s="9"/>
      <x:c r="M475" s="9" t="str">
        <x:f>IF(A475="","",INDEX('입고대장'!$M$7:$M$1006,MATCH(A475,'입고대장'!$A$7:$A$1006,0)))</x:f>
      </x:c>
      <x:c r="N475" s="9"/>
    </x:row>
    <x:row r="476" ht="23" customHeight="1">
      <x:c r="A476" s="9"/>
      <x:c r="B476" s="10"/>
      <x:c r="C476" s="11"/>
      <x:c r="D476" s="11"/>
      <x:c r="E476" s="11"/>
      <x:c r="F476" s="11"/>
      <x:c r="G476" s="11"/>
      <x:c r="H476" s="11"/>
      <x:c r="I476" s="11"/>
      <x:c r="J476" s="11"/>
      <x:c r="K476" s="12" t="str">
        <x:f>IF(A476="","",E476*F476+G476*H476+I476*J476)</x:f>
      </x:c>
      <x:c r="L476" s="9"/>
      <x:c r="M476" s="9" t="str">
        <x:f>IF(A476="","",INDEX('입고대장'!$M$7:$M$1006,MATCH(A476,'입고대장'!$A$7:$A$1006,0)))</x:f>
      </x:c>
      <x:c r="N476" s="9"/>
    </x:row>
    <x:row r="477" ht="23" customHeight="1">
      <x:c r="A477" s="9"/>
      <x:c r="B477" s="10"/>
      <x:c r="C477" s="11"/>
      <x:c r="D477" s="11"/>
      <x:c r="E477" s="11"/>
      <x:c r="F477" s="11"/>
      <x:c r="G477" s="11"/>
      <x:c r="H477" s="11"/>
      <x:c r="I477" s="11"/>
      <x:c r="J477" s="11"/>
      <x:c r="K477" s="12" t="str">
        <x:f>IF(A477="","",E477*F477+G477*H477+I477*J477)</x:f>
      </x:c>
      <x:c r="L477" s="9"/>
      <x:c r="M477" s="9" t="str">
        <x:f>IF(A477="","",INDEX('입고대장'!$M$7:$M$1006,MATCH(A477,'입고대장'!$A$7:$A$1006,0)))</x:f>
      </x:c>
      <x:c r="N477" s="9"/>
    </x:row>
    <x:row r="478" ht="23" customHeight="1">
      <x:c r="A478" s="9"/>
      <x:c r="B478" s="10"/>
      <x:c r="C478" s="11"/>
      <x:c r="D478" s="11"/>
      <x:c r="E478" s="11"/>
      <x:c r="F478" s="11"/>
      <x:c r="G478" s="11"/>
      <x:c r="H478" s="11"/>
      <x:c r="I478" s="11"/>
      <x:c r="J478" s="11"/>
      <x:c r="K478" s="12" t="str">
        <x:f>IF(A478="","",E478*F478+G478*H478+I478*J478)</x:f>
      </x:c>
      <x:c r="L478" s="9"/>
      <x:c r="M478" s="9" t="str">
        <x:f>IF(A478="","",INDEX('입고대장'!$M$7:$M$1006,MATCH(A478,'입고대장'!$A$7:$A$1006,0)))</x:f>
      </x:c>
      <x:c r="N478" s="9"/>
    </x:row>
    <x:row r="479" ht="23" customHeight="1">
      <x:c r="A479" s="9"/>
      <x:c r="B479" s="10"/>
      <x:c r="C479" s="11"/>
      <x:c r="D479" s="11"/>
      <x:c r="E479" s="11"/>
      <x:c r="F479" s="11"/>
      <x:c r="G479" s="11"/>
      <x:c r="H479" s="11"/>
      <x:c r="I479" s="11"/>
      <x:c r="J479" s="11"/>
      <x:c r="K479" s="12" t="str">
        <x:f>IF(A479="","",E479*F479+G479*H479+I479*J479)</x:f>
      </x:c>
      <x:c r="L479" s="9"/>
      <x:c r="M479" s="9" t="str">
        <x:f>IF(A479="","",INDEX('입고대장'!$M$7:$M$1006,MATCH(A479,'입고대장'!$A$7:$A$1006,0)))</x:f>
      </x:c>
      <x:c r="N479" s="9"/>
    </x:row>
    <x:row r="480" ht="23" customHeight="1">
      <x:c r="A480" s="9"/>
      <x:c r="B480" s="10"/>
      <x:c r="C480" s="11"/>
      <x:c r="D480" s="11"/>
      <x:c r="E480" s="11"/>
      <x:c r="F480" s="11"/>
      <x:c r="G480" s="11"/>
      <x:c r="H480" s="11"/>
      <x:c r="I480" s="11"/>
      <x:c r="J480" s="11"/>
      <x:c r="K480" s="12" t="str">
        <x:f>IF(A480="","",E480*F480+G480*H480+I480*J480)</x:f>
      </x:c>
      <x:c r="L480" s="9"/>
      <x:c r="M480" s="9" t="str">
        <x:f>IF(A480="","",INDEX('입고대장'!$M$7:$M$1006,MATCH(A480,'입고대장'!$A$7:$A$1006,0)))</x:f>
      </x:c>
      <x:c r="N480" s="9"/>
    </x:row>
    <x:row r="481" ht="23" customHeight="1">
      <x:c r="A481" s="9"/>
      <x:c r="B481" s="10"/>
      <x:c r="C481" s="11"/>
      <x:c r="D481" s="11"/>
      <x:c r="E481" s="11"/>
      <x:c r="F481" s="11"/>
      <x:c r="G481" s="11"/>
      <x:c r="H481" s="11"/>
      <x:c r="I481" s="11"/>
      <x:c r="J481" s="11"/>
      <x:c r="K481" s="12" t="str">
        <x:f>IF(A481="","",E481*F481+G481*H481+I481*J481)</x:f>
      </x:c>
      <x:c r="L481" s="9"/>
      <x:c r="M481" s="9" t="str">
        <x:f>IF(A481="","",INDEX('입고대장'!$M$7:$M$1006,MATCH(A481,'입고대장'!$A$7:$A$1006,0)))</x:f>
      </x:c>
      <x:c r="N481" s="9"/>
    </x:row>
    <x:row r="482" ht="23" customHeight="1">
      <x:c r="A482" s="9"/>
      <x:c r="B482" s="10"/>
      <x:c r="C482" s="11"/>
      <x:c r="D482" s="11"/>
      <x:c r="E482" s="11"/>
      <x:c r="F482" s="11"/>
      <x:c r="G482" s="11"/>
      <x:c r="H482" s="11"/>
      <x:c r="I482" s="11"/>
      <x:c r="J482" s="11"/>
      <x:c r="K482" s="12" t="str">
        <x:f>IF(A482="","",E482*F482+G482*H482+I482*J482)</x:f>
      </x:c>
      <x:c r="L482" s="9"/>
      <x:c r="M482" s="9" t="str">
        <x:f>IF(A482="","",INDEX('입고대장'!$M$7:$M$1006,MATCH(A482,'입고대장'!$A$7:$A$1006,0)))</x:f>
      </x:c>
      <x:c r="N482" s="9"/>
    </x:row>
    <x:row r="483" ht="23" customHeight="1">
      <x:c r="A483" s="9"/>
      <x:c r="B483" s="10"/>
      <x:c r="C483" s="11"/>
      <x:c r="D483" s="11"/>
      <x:c r="E483" s="11"/>
      <x:c r="F483" s="11"/>
      <x:c r="G483" s="11"/>
      <x:c r="H483" s="11"/>
      <x:c r="I483" s="11"/>
      <x:c r="J483" s="11"/>
      <x:c r="K483" s="12" t="str">
        <x:f>IF(A483="","",E483*F483+G483*H483+I483*J483)</x:f>
      </x:c>
      <x:c r="L483" s="9"/>
      <x:c r="M483" s="9" t="str">
        <x:f>IF(A483="","",INDEX('입고대장'!$M$7:$M$1006,MATCH(A483,'입고대장'!$A$7:$A$1006,0)))</x:f>
      </x:c>
      <x:c r="N483" s="9"/>
    </x:row>
    <x:row r="484" ht="23" customHeight="1">
      <x:c r="A484" s="9"/>
      <x:c r="B484" s="10"/>
      <x:c r="C484" s="11"/>
      <x:c r="D484" s="11"/>
      <x:c r="E484" s="11"/>
      <x:c r="F484" s="11"/>
      <x:c r="G484" s="11"/>
      <x:c r="H484" s="11"/>
      <x:c r="I484" s="11"/>
      <x:c r="J484" s="11"/>
      <x:c r="K484" s="12" t="str">
        <x:f>IF(A484="","",E484*F484+G484*H484+I484*J484)</x:f>
      </x:c>
      <x:c r="L484" s="9"/>
      <x:c r="M484" s="9" t="str">
        <x:f>IF(A484="","",INDEX('입고대장'!$M$7:$M$1006,MATCH(A484,'입고대장'!$A$7:$A$1006,0)))</x:f>
      </x:c>
      <x:c r="N484" s="9"/>
    </x:row>
    <x:row r="485" ht="23" customHeight="1">
      <x:c r="A485" s="9"/>
      <x:c r="B485" s="10"/>
      <x:c r="C485" s="11"/>
      <x:c r="D485" s="11"/>
      <x:c r="E485" s="11"/>
      <x:c r="F485" s="11"/>
      <x:c r="G485" s="11"/>
      <x:c r="H485" s="11"/>
      <x:c r="I485" s="11"/>
      <x:c r="J485" s="11"/>
      <x:c r="K485" s="12" t="str">
        <x:f>IF(A485="","",E485*F485+G485*H485+I485*J485)</x:f>
      </x:c>
      <x:c r="L485" s="9"/>
      <x:c r="M485" s="9" t="str">
        <x:f>IF(A485="","",INDEX('입고대장'!$M$7:$M$1006,MATCH(A485,'입고대장'!$A$7:$A$1006,0)))</x:f>
      </x:c>
      <x:c r="N485" s="9"/>
    </x:row>
    <x:row r="486" ht="23" customHeight="1">
      <x:c r="A486" s="9"/>
      <x:c r="B486" s="10"/>
      <x:c r="C486" s="11"/>
      <x:c r="D486" s="11"/>
      <x:c r="E486" s="11"/>
      <x:c r="F486" s="11"/>
      <x:c r="G486" s="11"/>
      <x:c r="H486" s="11"/>
      <x:c r="I486" s="11"/>
      <x:c r="J486" s="11"/>
      <x:c r="K486" s="12" t="str">
        <x:f>IF(A486="","",E486*F486+G486*H486+I486*J486)</x:f>
      </x:c>
      <x:c r="L486" s="9"/>
      <x:c r="M486" s="9" t="str">
        <x:f>IF(A486="","",INDEX('입고대장'!$M$7:$M$1006,MATCH(A486,'입고대장'!$A$7:$A$1006,0)))</x:f>
      </x:c>
      <x:c r="N486" s="9"/>
    </x:row>
    <x:row r="487" ht="23" customHeight="1">
      <x:c r="A487" s="9"/>
      <x:c r="B487" s="10"/>
      <x:c r="C487" s="11"/>
      <x:c r="D487" s="11"/>
      <x:c r="E487" s="11"/>
      <x:c r="F487" s="11"/>
      <x:c r="G487" s="11"/>
      <x:c r="H487" s="11"/>
      <x:c r="I487" s="11"/>
      <x:c r="J487" s="11"/>
      <x:c r="K487" s="12" t="str">
        <x:f>IF(A487="","",E487*F487+G487*H487+I487*J487)</x:f>
      </x:c>
      <x:c r="L487" s="9"/>
      <x:c r="M487" s="9" t="str">
        <x:f>IF(A487="","",INDEX('입고대장'!$M$7:$M$1006,MATCH(A487,'입고대장'!$A$7:$A$1006,0)))</x:f>
      </x:c>
      <x:c r="N487" s="9"/>
    </x:row>
    <x:row r="488" ht="23" customHeight="1">
      <x:c r="A488" s="9"/>
      <x:c r="B488" s="10"/>
      <x:c r="C488" s="11"/>
      <x:c r="D488" s="11"/>
      <x:c r="E488" s="11"/>
      <x:c r="F488" s="11"/>
      <x:c r="G488" s="11"/>
      <x:c r="H488" s="11"/>
      <x:c r="I488" s="11"/>
      <x:c r="J488" s="11"/>
      <x:c r="K488" s="12" t="str">
        <x:f>IF(A488="","",E488*F488+G488*H488+I488*J488)</x:f>
      </x:c>
      <x:c r="L488" s="9"/>
      <x:c r="M488" s="9" t="str">
        <x:f>IF(A488="","",INDEX('입고대장'!$M$7:$M$1006,MATCH(A488,'입고대장'!$A$7:$A$1006,0)))</x:f>
      </x:c>
      <x:c r="N488" s="9"/>
    </x:row>
    <x:row r="489" ht="23" customHeight="1">
      <x:c r="A489" s="9"/>
      <x:c r="B489" s="10"/>
      <x:c r="C489" s="11"/>
      <x:c r="D489" s="11"/>
      <x:c r="E489" s="11"/>
      <x:c r="F489" s="11"/>
      <x:c r="G489" s="11"/>
      <x:c r="H489" s="11"/>
      <x:c r="I489" s="11"/>
      <x:c r="J489" s="11"/>
      <x:c r="K489" s="12" t="str">
        <x:f>IF(A489="","",E489*F489+G489*H489+I489*J489)</x:f>
      </x:c>
      <x:c r="L489" s="9"/>
      <x:c r="M489" s="9" t="str">
        <x:f>IF(A489="","",INDEX('입고대장'!$M$7:$M$1006,MATCH(A489,'입고대장'!$A$7:$A$1006,0)))</x:f>
      </x:c>
      <x:c r="N489" s="9"/>
    </x:row>
    <x:row r="490" ht="23" customHeight="1">
      <x:c r="A490" s="9"/>
      <x:c r="B490" s="10"/>
      <x:c r="C490" s="11"/>
      <x:c r="D490" s="11"/>
      <x:c r="E490" s="11"/>
      <x:c r="F490" s="11"/>
      <x:c r="G490" s="11"/>
      <x:c r="H490" s="11"/>
      <x:c r="I490" s="11"/>
      <x:c r="J490" s="11"/>
      <x:c r="K490" s="12" t="str">
        <x:f>IF(A490="","",E490*F490+G490*H490+I490*J490)</x:f>
      </x:c>
      <x:c r="L490" s="9"/>
      <x:c r="M490" s="9" t="str">
        <x:f>IF(A490="","",INDEX('입고대장'!$M$7:$M$1006,MATCH(A490,'입고대장'!$A$7:$A$1006,0)))</x:f>
      </x:c>
      <x:c r="N490" s="9"/>
    </x:row>
    <x:row r="491" ht="23" customHeight="1">
      <x:c r="A491" s="9"/>
      <x:c r="B491" s="10"/>
      <x:c r="C491" s="11"/>
      <x:c r="D491" s="11"/>
      <x:c r="E491" s="11"/>
      <x:c r="F491" s="11"/>
      <x:c r="G491" s="11"/>
      <x:c r="H491" s="11"/>
      <x:c r="I491" s="11"/>
      <x:c r="J491" s="11"/>
      <x:c r="K491" s="12" t="str">
        <x:f>IF(A491="","",E491*F491+G491*H491+I491*J491)</x:f>
      </x:c>
      <x:c r="L491" s="9"/>
      <x:c r="M491" s="9" t="str">
        <x:f>IF(A491="","",INDEX('입고대장'!$M$7:$M$1006,MATCH(A491,'입고대장'!$A$7:$A$1006,0)))</x:f>
      </x:c>
      <x:c r="N491" s="9"/>
    </x:row>
    <x:row r="492" ht="23" customHeight="1">
      <x:c r="A492" s="9"/>
      <x:c r="B492" s="10"/>
      <x:c r="C492" s="11"/>
      <x:c r="D492" s="11"/>
      <x:c r="E492" s="11"/>
      <x:c r="F492" s="11"/>
      <x:c r="G492" s="11"/>
      <x:c r="H492" s="11"/>
      <x:c r="I492" s="11"/>
      <x:c r="J492" s="11"/>
      <x:c r="K492" s="12" t="str">
        <x:f>IF(A492="","",E492*F492+G492*H492+I492*J492)</x:f>
      </x:c>
      <x:c r="L492" s="9"/>
      <x:c r="M492" s="9" t="str">
        <x:f>IF(A492="","",INDEX('입고대장'!$M$7:$M$1006,MATCH(A492,'입고대장'!$A$7:$A$1006,0)))</x:f>
      </x:c>
      <x:c r="N492" s="9"/>
    </x:row>
    <x:row r="493" ht="23" customHeight="1">
      <x:c r="A493" s="9"/>
      <x:c r="B493" s="10"/>
      <x:c r="C493" s="11"/>
      <x:c r="D493" s="11"/>
      <x:c r="E493" s="11"/>
      <x:c r="F493" s="11"/>
      <x:c r="G493" s="11"/>
      <x:c r="H493" s="11"/>
      <x:c r="I493" s="11"/>
      <x:c r="J493" s="11"/>
      <x:c r="K493" s="12" t="str">
        <x:f>IF(A493="","",E493*F493+G493*H493+I493*J493)</x:f>
      </x:c>
      <x:c r="L493" s="9"/>
      <x:c r="M493" s="9" t="str">
        <x:f>IF(A493="","",INDEX('입고대장'!$M$7:$M$1006,MATCH(A493,'입고대장'!$A$7:$A$1006,0)))</x:f>
      </x:c>
      <x:c r="N493" s="9"/>
    </x:row>
    <x:row r="494" ht="23" customHeight="1">
      <x:c r="A494" s="9"/>
      <x:c r="B494" s="10"/>
      <x:c r="C494" s="11"/>
      <x:c r="D494" s="11"/>
      <x:c r="E494" s="11"/>
      <x:c r="F494" s="11"/>
      <x:c r="G494" s="11"/>
      <x:c r="H494" s="11"/>
      <x:c r="I494" s="11"/>
      <x:c r="J494" s="11"/>
      <x:c r="K494" s="12" t="str">
        <x:f>IF(A494="","",E494*F494+G494*H494+I494*J494)</x:f>
      </x:c>
      <x:c r="L494" s="9"/>
      <x:c r="M494" s="9" t="str">
        <x:f>IF(A494="","",INDEX('입고대장'!$M$7:$M$1006,MATCH(A494,'입고대장'!$A$7:$A$1006,0)))</x:f>
      </x:c>
      <x:c r="N494" s="9"/>
    </x:row>
    <x:row r="495" ht="23" customHeight="1">
      <x:c r="A495" s="9"/>
      <x:c r="B495" s="10"/>
      <x:c r="C495" s="11"/>
      <x:c r="D495" s="11"/>
      <x:c r="E495" s="11"/>
      <x:c r="F495" s="11"/>
      <x:c r="G495" s="11"/>
      <x:c r="H495" s="11"/>
      <x:c r="I495" s="11"/>
      <x:c r="J495" s="11"/>
      <x:c r="K495" s="12" t="str">
        <x:f>IF(A495="","",E495*F495+G495*H495+I495*J495)</x:f>
      </x:c>
      <x:c r="L495" s="9"/>
      <x:c r="M495" s="9" t="str">
        <x:f>IF(A495="","",INDEX('입고대장'!$M$7:$M$1006,MATCH(A495,'입고대장'!$A$7:$A$1006,0)))</x:f>
      </x:c>
      <x:c r="N495" s="9"/>
    </x:row>
    <x:row r="496" ht="23" customHeight="1">
      <x:c r="A496" s="9"/>
      <x:c r="B496" s="10"/>
      <x:c r="C496" s="11"/>
      <x:c r="D496" s="11"/>
      <x:c r="E496" s="11"/>
      <x:c r="F496" s="11"/>
      <x:c r="G496" s="11"/>
      <x:c r="H496" s="11"/>
      <x:c r="I496" s="11"/>
      <x:c r="J496" s="11"/>
      <x:c r="K496" s="12" t="str">
        <x:f>IF(A496="","",E496*F496+G496*H496+I496*J496)</x:f>
      </x:c>
      <x:c r="L496" s="9"/>
      <x:c r="M496" s="9" t="str">
        <x:f>IF(A496="","",INDEX('입고대장'!$M$7:$M$1006,MATCH(A496,'입고대장'!$A$7:$A$1006,0)))</x:f>
      </x:c>
      <x:c r="N496" s="9"/>
    </x:row>
    <x:row r="497" ht="23" customHeight="1">
      <x:c r="A497" s="9"/>
      <x:c r="B497" s="10"/>
      <x:c r="C497" s="11"/>
      <x:c r="D497" s="11"/>
      <x:c r="E497" s="11"/>
      <x:c r="F497" s="11"/>
      <x:c r="G497" s="11"/>
      <x:c r="H497" s="11"/>
      <x:c r="I497" s="11"/>
      <x:c r="J497" s="11"/>
      <x:c r="K497" s="12" t="str">
        <x:f>IF(A497="","",E497*F497+G497*H497+I497*J497)</x:f>
      </x:c>
      <x:c r="L497" s="9"/>
      <x:c r="M497" s="9" t="str">
        <x:f>IF(A497="","",INDEX('입고대장'!$M$7:$M$1006,MATCH(A497,'입고대장'!$A$7:$A$1006,0)))</x:f>
      </x:c>
      <x:c r="N497" s="9"/>
    </x:row>
    <x:row r="498" ht="23" customHeight="1">
      <x:c r="A498" s="9"/>
      <x:c r="B498" s="10"/>
      <x:c r="C498" s="11"/>
      <x:c r="D498" s="11"/>
      <x:c r="E498" s="11"/>
      <x:c r="F498" s="11"/>
      <x:c r="G498" s="11"/>
      <x:c r="H498" s="11"/>
      <x:c r="I498" s="11"/>
      <x:c r="J498" s="11"/>
      <x:c r="K498" s="12" t="str">
        <x:f>IF(A498="","",E498*F498+G498*H498+I498*J498)</x:f>
      </x:c>
      <x:c r="L498" s="9"/>
      <x:c r="M498" s="9" t="str">
        <x:f>IF(A498="","",INDEX('입고대장'!$M$7:$M$1006,MATCH(A498,'입고대장'!$A$7:$A$1006,0)))</x:f>
      </x:c>
      <x:c r="N498" s="9"/>
    </x:row>
    <x:row r="499" ht="23" customHeight="1">
      <x:c r="A499" s="9"/>
      <x:c r="B499" s="10"/>
      <x:c r="C499" s="11"/>
      <x:c r="D499" s="11"/>
      <x:c r="E499" s="11"/>
      <x:c r="F499" s="11"/>
      <x:c r="G499" s="11"/>
      <x:c r="H499" s="11"/>
      <x:c r="I499" s="11"/>
      <x:c r="J499" s="11"/>
      <x:c r="K499" s="12" t="str">
        <x:f>IF(A499="","",E499*F499+G499*H499+I499*J499)</x:f>
      </x:c>
      <x:c r="L499" s="9"/>
      <x:c r="M499" s="9" t="str">
        <x:f>IF(A499="","",INDEX('입고대장'!$M$7:$M$1006,MATCH(A499,'입고대장'!$A$7:$A$1006,0)))</x:f>
      </x:c>
      <x:c r="N499" s="9"/>
    </x:row>
    <x:row r="500" ht="23" customHeight="1">
      <x:c r="A500" s="9"/>
      <x:c r="B500" s="10"/>
      <x:c r="C500" s="11"/>
      <x:c r="D500" s="11"/>
      <x:c r="E500" s="11"/>
      <x:c r="F500" s="11"/>
      <x:c r="G500" s="11"/>
      <x:c r="H500" s="11"/>
      <x:c r="I500" s="11"/>
      <x:c r="J500" s="11"/>
      <x:c r="K500" s="12" t="str">
        <x:f>IF(A500="","",E500*F500+G500*H500+I500*J500)</x:f>
      </x:c>
      <x:c r="L500" s="9"/>
      <x:c r="M500" s="9" t="str">
        <x:f>IF(A500="","",INDEX('입고대장'!$M$7:$M$1006,MATCH(A500,'입고대장'!$A$7:$A$1006,0)))</x:f>
      </x:c>
      <x:c r="N500" s="9"/>
    </x:row>
    <x:row r="501" ht="23" customHeight="1">
      <x:c r="A501" s="9"/>
      <x:c r="B501" s="10"/>
      <x:c r="C501" s="11"/>
      <x:c r="D501" s="11"/>
      <x:c r="E501" s="11"/>
      <x:c r="F501" s="11"/>
      <x:c r="G501" s="11"/>
      <x:c r="H501" s="11"/>
      <x:c r="I501" s="11"/>
      <x:c r="J501" s="11"/>
      <x:c r="K501" s="12" t="str">
        <x:f>IF(A501="","",E501*F501+G501*H501+I501*J501)</x:f>
      </x:c>
      <x:c r="L501" s="9"/>
      <x:c r="M501" s="9" t="str">
        <x:f>IF(A501="","",INDEX('입고대장'!$M$7:$M$1006,MATCH(A501,'입고대장'!$A$7:$A$1006,0)))</x:f>
      </x:c>
      <x:c r="N501" s="9"/>
    </x:row>
    <x:row r="502" ht="23" customHeight="1">
      <x:c r="A502" s="9"/>
      <x:c r="B502" s="10"/>
      <x:c r="C502" s="11"/>
      <x:c r="D502" s="11"/>
      <x:c r="E502" s="11"/>
      <x:c r="F502" s="11"/>
      <x:c r="G502" s="11"/>
      <x:c r="H502" s="11"/>
      <x:c r="I502" s="11"/>
      <x:c r="J502" s="11"/>
      <x:c r="K502" s="12" t="str">
        <x:f>IF(A502="","",E502*F502+G502*H502+I502*J502)</x:f>
      </x:c>
      <x:c r="L502" s="9"/>
      <x:c r="M502" s="9" t="str">
        <x:f>IF(A502="","",INDEX('입고대장'!$M$7:$M$1006,MATCH(A502,'입고대장'!$A$7:$A$1006,0)))</x:f>
      </x:c>
      <x:c r="N502" s="9"/>
    </x:row>
    <x:row r="503" ht="23" customHeight="1">
      <x:c r="A503" s="9"/>
      <x:c r="B503" s="10"/>
      <x:c r="C503" s="11"/>
      <x:c r="D503" s="11"/>
      <x:c r="E503" s="11"/>
      <x:c r="F503" s="11"/>
      <x:c r="G503" s="11"/>
      <x:c r="H503" s="11"/>
      <x:c r="I503" s="11"/>
      <x:c r="J503" s="11"/>
      <x:c r="K503" s="12" t="str">
        <x:f>IF(A503="","",E503*F503+G503*H503+I503*J503)</x:f>
      </x:c>
      <x:c r="L503" s="9"/>
      <x:c r="M503" s="9" t="str">
        <x:f>IF(A503="","",INDEX('입고대장'!$M$7:$M$1006,MATCH(A503,'입고대장'!$A$7:$A$1006,0)))</x:f>
      </x:c>
      <x:c r="N503" s="9"/>
    </x:row>
    <x:row r="504" ht="23" customHeight="1">
      <x:c r="A504" s="9"/>
      <x:c r="B504" s="10"/>
      <x:c r="C504" s="11"/>
      <x:c r="D504" s="11"/>
      <x:c r="E504" s="11"/>
      <x:c r="F504" s="11"/>
      <x:c r="G504" s="11"/>
      <x:c r="H504" s="11"/>
      <x:c r="I504" s="11"/>
      <x:c r="J504" s="11"/>
      <x:c r="K504" s="12" t="str">
        <x:f>IF(A504="","",E504*F504+G504*H504+I504*J504)</x:f>
      </x:c>
      <x:c r="L504" s="9"/>
      <x:c r="M504" s="9" t="str">
        <x:f>IF(A504="","",INDEX('입고대장'!$M$7:$M$1006,MATCH(A504,'입고대장'!$A$7:$A$1006,0)))</x:f>
      </x:c>
      <x:c r="N504" s="9"/>
    </x:row>
    <x:row r="505" ht="23" customHeight="1">
      <x:c r="A505" s="9"/>
      <x:c r="B505" s="10"/>
      <x:c r="C505" s="11"/>
      <x:c r="D505" s="11"/>
      <x:c r="E505" s="11"/>
      <x:c r="F505" s="11"/>
      <x:c r="G505" s="11"/>
      <x:c r="H505" s="11"/>
      <x:c r="I505" s="11"/>
      <x:c r="J505" s="11"/>
      <x:c r="K505" s="12" t="str">
        <x:f>IF(A505="","",E505*F505+G505*H505+I505*J505)</x:f>
      </x:c>
      <x:c r="L505" s="9"/>
      <x:c r="M505" s="9" t="str">
        <x:f>IF(A505="","",INDEX('입고대장'!$M$7:$M$1006,MATCH(A505,'입고대장'!$A$7:$A$1006,0)))</x:f>
      </x:c>
      <x:c r="N505" s="9"/>
    </x:row>
    <x:row r="506" ht="23" customHeight="1">
      <x:c r="A506" s="9"/>
      <x:c r="B506" s="10"/>
      <x:c r="C506" s="11"/>
      <x:c r="D506" s="11"/>
      <x:c r="E506" s="11"/>
      <x:c r="F506" s="11"/>
      <x:c r="G506" s="11"/>
      <x:c r="H506" s="11"/>
      <x:c r="I506" s="11"/>
      <x:c r="J506" s="11"/>
      <x:c r="K506" s="12" t="str">
        <x:f>IF(A506="","",E506*F506+G506*H506+I506*J506)</x:f>
      </x:c>
      <x:c r="L506" s="9"/>
      <x:c r="M506" s="9" t="str">
        <x:f>IF(A506="","",INDEX('입고대장'!$M$7:$M$1006,MATCH(A506,'입고대장'!$A$7:$A$1006,0)))</x:f>
      </x:c>
      <x:c r="N506" s="9"/>
    </x:row>
    <x:row r="507" ht="23" customHeight="1">
      <x:c r="A507" s="9"/>
      <x:c r="B507" s="10"/>
      <x:c r="C507" s="11"/>
      <x:c r="D507" s="11"/>
      <x:c r="E507" s="11"/>
      <x:c r="F507" s="11"/>
      <x:c r="G507" s="11"/>
      <x:c r="H507" s="11"/>
      <x:c r="I507" s="11"/>
      <x:c r="J507" s="11"/>
      <x:c r="K507" s="12" t="str">
        <x:f>IF(A507="","",E507*F507+G507*H507+I507*J507)</x:f>
      </x:c>
      <x:c r="L507" s="9"/>
      <x:c r="M507" s="9" t="str">
        <x:f>IF(A507="","",INDEX('입고대장'!$M$7:$M$1006,MATCH(A507,'입고대장'!$A$7:$A$1006,0)))</x:f>
      </x:c>
      <x:c r="N507" s="9"/>
    </x:row>
    <x:row r="508" ht="23" customHeight="1">
      <x:c r="A508" s="9"/>
      <x:c r="B508" s="10"/>
      <x:c r="C508" s="11"/>
      <x:c r="D508" s="11"/>
      <x:c r="E508" s="11"/>
      <x:c r="F508" s="11"/>
      <x:c r="G508" s="11"/>
      <x:c r="H508" s="11"/>
      <x:c r="I508" s="11"/>
      <x:c r="J508" s="11"/>
      <x:c r="K508" s="12" t="str">
        <x:f>IF(A508="","",E508*F508+G508*H508+I508*J508)</x:f>
      </x:c>
      <x:c r="L508" s="9"/>
      <x:c r="M508" s="9" t="str">
        <x:f>IF(A508="","",INDEX('입고대장'!$M$7:$M$1006,MATCH(A508,'입고대장'!$A$7:$A$1006,0)))</x:f>
      </x:c>
      <x:c r="N508" s="9"/>
    </x:row>
    <x:row r="509" ht="23" customHeight="1">
      <x:c r="A509" s="9"/>
      <x:c r="B509" s="10"/>
      <x:c r="C509" s="11"/>
      <x:c r="D509" s="11"/>
      <x:c r="E509" s="11"/>
      <x:c r="F509" s="11"/>
      <x:c r="G509" s="11"/>
      <x:c r="H509" s="11"/>
      <x:c r="I509" s="11"/>
      <x:c r="J509" s="11"/>
      <x:c r="K509" s="12" t="str">
        <x:f>IF(A509="","",E509*F509+G509*H509+I509*J509)</x:f>
      </x:c>
      <x:c r="L509" s="9"/>
      <x:c r="M509" s="9" t="str">
        <x:f>IF(A509="","",INDEX('입고대장'!$M$7:$M$1006,MATCH(A509,'입고대장'!$A$7:$A$1006,0)))</x:f>
      </x:c>
      <x:c r="N509" s="9"/>
    </x:row>
    <x:row r="510" ht="23" customHeight="1">
      <x:c r="A510" s="9"/>
      <x:c r="B510" s="10"/>
      <x:c r="C510" s="11"/>
      <x:c r="D510" s="11"/>
      <x:c r="E510" s="11"/>
      <x:c r="F510" s="11"/>
      <x:c r="G510" s="11"/>
      <x:c r="H510" s="11"/>
      <x:c r="I510" s="11"/>
      <x:c r="J510" s="11"/>
      <x:c r="K510" s="12" t="str">
        <x:f>IF(A510="","",E510*F510+G510*H510+I510*J510)</x:f>
      </x:c>
      <x:c r="L510" s="9"/>
      <x:c r="M510" s="9" t="str">
        <x:f>IF(A510="","",INDEX('입고대장'!$M$7:$M$1006,MATCH(A510,'입고대장'!$A$7:$A$1006,0)))</x:f>
      </x:c>
      <x:c r="N510" s="9"/>
    </x:row>
    <x:row r="511" ht="23" customHeight="1">
      <x:c r="A511" s="9"/>
      <x:c r="B511" s="10"/>
      <x:c r="C511" s="11"/>
      <x:c r="D511" s="11"/>
      <x:c r="E511" s="11"/>
      <x:c r="F511" s="11"/>
      <x:c r="G511" s="11"/>
      <x:c r="H511" s="11"/>
      <x:c r="I511" s="11"/>
      <x:c r="J511" s="11"/>
      <x:c r="K511" s="12" t="str">
        <x:f>IF(A511="","",E511*F511+G511*H511+I511*J511)</x:f>
      </x:c>
      <x:c r="L511" s="9"/>
      <x:c r="M511" s="9" t="str">
        <x:f>IF(A511="","",INDEX('입고대장'!$M$7:$M$1006,MATCH(A511,'입고대장'!$A$7:$A$1006,0)))</x:f>
      </x:c>
      <x:c r="N511" s="9"/>
    </x:row>
    <x:row r="512" ht="23" customHeight="1">
      <x:c r="A512" s="9"/>
      <x:c r="B512" s="10"/>
      <x:c r="C512" s="11"/>
      <x:c r="D512" s="11"/>
      <x:c r="E512" s="11"/>
      <x:c r="F512" s="11"/>
      <x:c r="G512" s="11"/>
      <x:c r="H512" s="11"/>
      <x:c r="I512" s="11"/>
      <x:c r="J512" s="11"/>
      <x:c r="K512" s="12" t="str">
        <x:f>IF(A512="","",E512*F512+G512*H512+I512*J512)</x:f>
      </x:c>
      <x:c r="L512" s="9"/>
      <x:c r="M512" s="9" t="str">
        <x:f>IF(A512="","",INDEX('입고대장'!$M$7:$M$1006,MATCH(A512,'입고대장'!$A$7:$A$1006,0)))</x:f>
      </x:c>
      <x:c r="N512" s="9"/>
    </x:row>
    <x:row r="513" ht="23" customHeight="1">
      <x:c r="A513" s="9"/>
      <x:c r="B513" s="10"/>
      <x:c r="C513" s="11"/>
      <x:c r="D513" s="11"/>
      <x:c r="E513" s="11"/>
      <x:c r="F513" s="11"/>
      <x:c r="G513" s="11"/>
      <x:c r="H513" s="11"/>
      <x:c r="I513" s="11"/>
      <x:c r="J513" s="11"/>
      <x:c r="K513" s="12" t="str">
        <x:f>IF(A513="","",E513*F513+G513*H513+I513*J513)</x:f>
      </x:c>
      <x:c r="L513" s="9"/>
      <x:c r="M513" s="9" t="str">
        <x:f>IF(A513="","",INDEX('입고대장'!$M$7:$M$1006,MATCH(A513,'입고대장'!$A$7:$A$1006,0)))</x:f>
      </x:c>
      <x:c r="N513" s="9"/>
    </x:row>
    <x:row r="514" ht="23" customHeight="1">
      <x:c r="A514" s="9"/>
      <x:c r="B514" s="10"/>
      <x:c r="C514" s="11"/>
      <x:c r="D514" s="11"/>
      <x:c r="E514" s="11"/>
      <x:c r="F514" s="11"/>
      <x:c r="G514" s="11"/>
      <x:c r="H514" s="11"/>
      <x:c r="I514" s="11"/>
      <x:c r="J514" s="11"/>
      <x:c r="K514" s="12" t="str">
        <x:f>IF(A514="","",E514*F514+G514*H514+I514*J514)</x:f>
      </x:c>
      <x:c r="L514" s="9"/>
      <x:c r="M514" s="9" t="str">
        <x:f>IF(A514="","",INDEX('입고대장'!$M$7:$M$1006,MATCH(A514,'입고대장'!$A$7:$A$1006,0)))</x:f>
      </x:c>
      <x:c r="N514" s="9"/>
    </x:row>
    <x:row r="515" ht="23" customHeight="1">
      <x:c r="A515" s="9"/>
      <x:c r="B515" s="10"/>
      <x:c r="C515" s="11"/>
      <x:c r="D515" s="11"/>
      <x:c r="E515" s="11"/>
      <x:c r="F515" s="11"/>
      <x:c r="G515" s="11"/>
      <x:c r="H515" s="11"/>
      <x:c r="I515" s="11"/>
      <x:c r="J515" s="11"/>
      <x:c r="K515" s="12" t="str">
        <x:f>IF(A515="","",E515*F515+G515*H515+I515*J515)</x:f>
      </x:c>
      <x:c r="L515" s="9"/>
      <x:c r="M515" s="9" t="str">
        <x:f>IF(A515="","",INDEX('입고대장'!$M$7:$M$1006,MATCH(A515,'입고대장'!$A$7:$A$1006,0)))</x:f>
      </x:c>
      <x:c r="N515" s="9"/>
    </x:row>
    <x:row r="516" ht="23" customHeight="1">
      <x:c r="A516" s="9"/>
      <x:c r="B516" s="10"/>
      <x:c r="C516" s="11"/>
      <x:c r="D516" s="11"/>
      <x:c r="E516" s="11"/>
      <x:c r="F516" s="11"/>
      <x:c r="G516" s="11"/>
      <x:c r="H516" s="11"/>
      <x:c r="I516" s="11"/>
      <x:c r="J516" s="11"/>
      <x:c r="K516" s="12" t="str">
        <x:f>IF(A516="","",E516*F516+G516*H516+I516*J516)</x:f>
      </x:c>
      <x:c r="L516" s="9"/>
      <x:c r="M516" s="9" t="str">
        <x:f>IF(A516="","",INDEX('입고대장'!$M$7:$M$1006,MATCH(A516,'입고대장'!$A$7:$A$1006,0)))</x:f>
      </x:c>
      <x:c r="N516" s="9"/>
    </x:row>
    <x:row r="517" ht="23" customHeight="1">
      <x:c r="A517" s="9"/>
      <x:c r="B517" s="10"/>
      <x:c r="C517" s="11"/>
      <x:c r="D517" s="11"/>
      <x:c r="E517" s="11"/>
      <x:c r="F517" s="11"/>
      <x:c r="G517" s="11"/>
      <x:c r="H517" s="11"/>
      <x:c r="I517" s="11"/>
      <x:c r="J517" s="11"/>
      <x:c r="K517" s="12" t="str">
        <x:f>IF(A517="","",E517*F517+G517*H517+I517*J517)</x:f>
      </x:c>
      <x:c r="L517" s="9"/>
      <x:c r="M517" s="9" t="str">
        <x:f>IF(A517="","",INDEX('입고대장'!$M$7:$M$1006,MATCH(A517,'입고대장'!$A$7:$A$1006,0)))</x:f>
      </x:c>
      <x:c r="N517" s="9"/>
    </x:row>
    <x:row r="518" ht="23" customHeight="1">
      <x:c r="A518" s="9"/>
      <x:c r="B518" s="10"/>
      <x:c r="C518" s="11"/>
      <x:c r="D518" s="11"/>
      <x:c r="E518" s="11"/>
      <x:c r="F518" s="11"/>
      <x:c r="G518" s="11"/>
      <x:c r="H518" s="11"/>
      <x:c r="I518" s="11"/>
      <x:c r="J518" s="11"/>
      <x:c r="K518" s="12" t="str">
        <x:f>IF(A518="","",E518*F518+G518*H518+I518*J518)</x:f>
      </x:c>
      <x:c r="L518" s="9"/>
      <x:c r="M518" s="9" t="str">
        <x:f>IF(A518="","",INDEX('입고대장'!$M$7:$M$1006,MATCH(A518,'입고대장'!$A$7:$A$1006,0)))</x:f>
      </x:c>
      <x:c r="N518" s="9"/>
    </x:row>
    <x:row r="519" ht="23" customHeight="1">
      <x:c r="A519" s="9"/>
      <x:c r="B519" s="10"/>
      <x:c r="C519" s="11"/>
      <x:c r="D519" s="11"/>
      <x:c r="E519" s="11"/>
      <x:c r="F519" s="11"/>
      <x:c r="G519" s="11"/>
      <x:c r="H519" s="11"/>
      <x:c r="I519" s="11"/>
      <x:c r="J519" s="11"/>
      <x:c r="K519" s="12" t="str">
        <x:f>IF(A519="","",E519*F519+G519*H519+I519*J519)</x:f>
      </x:c>
      <x:c r="L519" s="9"/>
      <x:c r="M519" s="9" t="str">
        <x:f>IF(A519="","",INDEX('입고대장'!$M$7:$M$1006,MATCH(A519,'입고대장'!$A$7:$A$1006,0)))</x:f>
      </x:c>
      <x:c r="N519" s="9"/>
    </x:row>
    <x:row r="520" ht="23" customHeight="1">
      <x:c r="A520" s="9"/>
      <x:c r="B520" s="10"/>
      <x:c r="C520" s="11"/>
      <x:c r="D520" s="11"/>
      <x:c r="E520" s="11"/>
      <x:c r="F520" s="11"/>
      <x:c r="G520" s="11"/>
      <x:c r="H520" s="11"/>
      <x:c r="I520" s="11"/>
      <x:c r="J520" s="11"/>
      <x:c r="K520" s="12" t="str">
        <x:f>IF(A520="","",E520*F520+G520*H520+I520*J520)</x:f>
      </x:c>
      <x:c r="L520" s="9"/>
      <x:c r="M520" s="9" t="str">
        <x:f>IF(A520="","",INDEX('입고대장'!$M$7:$M$1006,MATCH(A520,'입고대장'!$A$7:$A$1006,0)))</x:f>
      </x:c>
      <x:c r="N520" s="9"/>
    </x:row>
    <x:row r="521" ht="23" customHeight="1">
      <x:c r="A521" s="9"/>
      <x:c r="B521" s="10"/>
      <x:c r="C521" s="11"/>
      <x:c r="D521" s="11"/>
      <x:c r="E521" s="11"/>
      <x:c r="F521" s="11"/>
      <x:c r="G521" s="11"/>
      <x:c r="H521" s="11"/>
      <x:c r="I521" s="11"/>
      <x:c r="J521" s="11"/>
      <x:c r="K521" s="12" t="str">
        <x:f>IF(A521="","",E521*F521+G521*H521+I521*J521)</x:f>
      </x:c>
      <x:c r="L521" s="9"/>
      <x:c r="M521" s="9" t="str">
        <x:f>IF(A521="","",INDEX('입고대장'!$M$7:$M$1006,MATCH(A521,'입고대장'!$A$7:$A$1006,0)))</x:f>
      </x:c>
      <x:c r="N521" s="9"/>
    </x:row>
    <x:row r="522" ht="23" customHeight="1">
      <x:c r="A522" s="9"/>
      <x:c r="B522" s="10"/>
      <x:c r="C522" s="11"/>
      <x:c r="D522" s="11"/>
      <x:c r="E522" s="11"/>
      <x:c r="F522" s="11"/>
      <x:c r="G522" s="11"/>
      <x:c r="H522" s="11"/>
      <x:c r="I522" s="11"/>
      <x:c r="J522" s="11"/>
      <x:c r="K522" s="12" t="str">
        <x:f>IF(A522="","",E522*F522+G522*H522+I522*J522)</x:f>
      </x:c>
      <x:c r="L522" s="9"/>
      <x:c r="M522" s="9" t="str">
        <x:f>IF(A522="","",INDEX('입고대장'!$M$7:$M$1006,MATCH(A522,'입고대장'!$A$7:$A$1006,0)))</x:f>
      </x:c>
      <x:c r="N522" s="9"/>
    </x:row>
    <x:row r="523" ht="23" customHeight="1">
      <x:c r="A523" s="9"/>
      <x:c r="B523" s="10"/>
      <x:c r="C523" s="11"/>
      <x:c r="D523" s="11"/>
      <x:c r="E523" s="11"/>
      <x:c r="F523" s="11"/>
      <x:c r="G523" s="11"/>
      <x:c r="H523" s="11"/>
      <x:c r="I523" s="11"/>
      <x:c r="J523" s="11"/>
      <x:c r="K523" s="12" t="str">
        <x:f>IF(A523="","",E523*F523+G523*H523+I523*J523)</x:f>
      </x:c>
      <x:c r="L523" s="9"/>
      <x:c r="M523" s="9" t="str">
        <x:f>IF(A523="","",INDEX('입고대장'!$M$7:$M$1006,MATCH(A523,'입고대장'!$A$7:$A$1006,0)))</x:f>
      </x:c>
      <x:c r="N523" s="9"/>
    </x:row>
    <x:row r="524" ht="23" customHeight="1">
      <x:c r="A524" s="9"/>
      <x:c r="B524" s="10"/>
      <x:c r="C524" s="11"/>
      <x:c r="D524" s="11"/>
      <x:c r="E524" s="11"/>
      <x:c r="F524" s="11"/>
      <x:c r="G524" s="11"/>
      <x:c r="H524" s="11"/>
      <x:c r="I524" s="11"/>
      <x:c r="J524" s="11"/>
      <x:c r="K524" s="12" t="str">
        <x:f>IF(A524="","",E524*F524+G524*H524+I524*J524)</x:f>
      </x:c>
      <x:c r="L524" s="9"/>
      <x:c r="M524" s="9" t="str">
        <x:f>IF(A524="","",INDEX('입고대장'!$M$7:$M$1006,MATCH(A524,'입고대장'!$A$7:$A$1006,0)))</x:f>
      </x:c>
      <x:c r="N524" s="9"/>
    </x:row>
    <x:row r="525" ht="23" customHeight="1">
      <x:c r="A525" s="9"/>
      <x:c r="B525" s="10"/>
      <x:c r="C525" s="11"/>
      <x:c r="D525" s="11"/>
      <x:c r="E525" s="11"/>
      <x:c r="F525" s="11"/>
      <x:c r="G525" s="11"/>
      <x:c r="H525" s="11"/>
      <x:c r="I525" s="11"/>
      <x:c r="J525" s="11"/>
      <x:c r="K525" s="12" t="str">
        <x:f>IF(A525="","",E525*F525+G525*H525+I525*J525)</x:f>
      </x:c>
      <x:c r="L525" s="9"/>
      <x:c r="M525" s="9" t="str">
        <x:f>IF(A525="","",INDEX('입고대장'!$M$7:$M$1006,MATCH(A525,'입고대장'!$A$7:$A$1006,0)))</x:f>
      </x:c>
      <x:c r="N525" s="9"/>
    </x:row>
    <x:row r="526" ht="23" customHeight="1">
      <x:c r="A526" s="9"/>
      <x:c r="B526" s="10"/>
      <x:c r="C526" s="11"/>
      <x:c r="D526" s="11"/>
      <x:c r="E526" s="11"/>
      <x:c r="F526" s="11"/>
      <x:c r="G526" s="11"/>
      <x:c r="H526" s="11"/>
      <x:c r="I526" s="11"/>
      <x:c r="J526" s="11"/>
      <x:c r="K526" s="12" t="str">
        <x:f>IF(A526="","",E526*F526+G526*H526+I526*J526)</x:f>
      </x:c>
      <x:c r="L526" s="9"/>
      <x:c r="M526" s="9" t="str">
        <x:f>IF(A526="","",INDEX('입고대장'!$M$7:$M$1006,MATCH(A526,'입고대장'!$A$7:$A$1006,0)))</x:f>
      </x:c>
      <x:c r="N526" s="9"/>
    </x:row>
    <x:row r="527" ht="23" customHeight="1">
      <x:c r="A527" s="9"/>
      <x:c r="B527" s="10"/>
      <x:c r="C527" s="11"/>
      <x:c r="D527" s="11"/>
      <x:c r="E527" s="11"/>
      <x:c r="F527" s="11"/>
      <x:c r="G527" s="11"/>
      <x:c r="H527" s="11"/>
      <x:c r="I527" s="11"/>
      <x:c r="J527" s="11"/>
      <x:c r="K527" s="12" t="str">
        <x:f>IF(A527="","",E527*F527+G527*H527+I527*J527)</x:f>
      </x:c>
      <x:c r="L527" s="9"/>
      <x:c r="M527" s="9" t="str">
        <x:f>IF(A527="","",INDEX('입고대장'!$M$7:$M$1006,MATCH(A527,'입고대장'!$A$7:$A$1006,0)))</x:f>
      </x:c>
      <x:c r="N527" s="9"/>
    </x:row>
    <x:row r="528" ht="23" customHeight="1">
      <x:c r="A528" s="9"/>
      <x:c r="B528" s="10"/>
      <x:c r="C528" s="11"/>
      <x:c r="D528" s="11"/>
      <x:c r="E528" s="11"/>
      <x:c r="F528" s="11"/>
      <x:c r="G528" s="11"/>
      <x:c r="H528" s="11"/>
      <x:c r="I528" s="11"/>
      <x:c r="J528" s="11"/>
      <x:c r="K528" s="12" t="str">
        <x:f>IF(A528="","",E528*F528+G528*H528+I528*J528)</x:f>
      </x:c>
      <x:c r="L528" s="9"/>
      <x:c r="M528" s="9" t="str">
        <x:f>IF(A528="","",INDEX('입고대장'!$M$7:$M$1006,MATCH(A528,'입고대장'!$A$7:$A$1006,0)))</x:f>
      </x:c>
      <x:c r="N528" s="9"/>
    </x:row>
    <x:row r="529" ht="23" customHeight="1">
      <x:c r="A529" s="9"/>
      <x:c r="B529" s="10"/>
      <x:c r="C529" s="11"/>
      <x:c r="D529" s="11"/>
      <x:c r="E529" s="11"/>
      <x:c r="F529" s="11"/>
      <x:c r="G529" s="11"/>
      <x:c r="H529" s="11"/>
      <x:c r="I529" s="11"/>
      <x:c r="J529" s="11"/>
      <x:c r="K529" s="12" t="str">
        <x:f>IF(A529="","",E529*F529+G529*H529+I529*J529)</x:f>
      </x:c>
      <x:c r="L529" s="9"/>
      <x:c r="M529" s="9" t="str">
        <x:f>IF(A529="","",INDEX('입고대장'!$M$7:$M$1006,MATCH(A529,'입고대장'!$A$7:$A$1006,0)))</x:f>
      </x:c>
      <x:c r="N529" s="9"/>
    </x:row>
    <x:row r="530" ht="23" customHeight="1">
      <x:c r="A530" s="9"/>
      <x:c r="B530" s="10"/>
      <x:c r="C530" s="11"/>
      <x:c r="D530" s="11"/>
      <x:c r="E530" s="11"/>
      <x:c r="F530" s="11"/>
      <x:c r="G530" s="11"/>
      <x:c r="H530" s="11"/>
      <x:c r="I530" s="11"/>
      <x:c r="J530" s="11"/>
      <x:c r="K530" s="12" t="str">
        <x:f>IF(A530="","",E530*F530+G530*H530+I530*J530)</x:f>
      </x:c>
      <x:c r="L530" s="9"/>
      <x:c r="M530" s="9" t="str">
        <x:f>IF(A530="","",INDEX('입고대장'!$M$7:$M$1006,MATCH(A530,'입고대장'!$A$7:$A$1006,0)))</x:f>
      </x:c>
      <x:c r="N530" s="9"/>
    </x:row>
    <x:row r="531" ht="23" customHeight="1">
      <x:c r="A531" s="9"/>
      <x:c r="B531" s="10"/>
      <x:c r="C531" s="11"/>
      <x:c r="D531" s="11"/>
      <x:c r="E531" s="11"/>
      <x:c r="F531" s="11"/>
      <x:c r="G531" s="11"/>
      <x:c r="H531" s="11"/>
      <x:c r="I531" s="11"/>
      <x:c r="J531" s="11"/>
      <x:c r="K531" s="12" t="str">
        <x:f>IF(A531="","",E531*F531+G531*H531+I531*J531)</x:f>
      </x:c>
      <x:c r="L531" s="9"/>
      <x:c r="M531" s="9" t="str">
        <x:f>IF(A531="","",INDEX('입고대장'!$M$7:$M$1006,MATCH(A531,'입고대장'!$A$7:$A$1006,0)))</x:f>
      </x:c>
      <x:c r="N531" s="9"/>
    </x:row>
    <x:row r="532" ht="23" customHeight="1">
      <x:c r="A532" s="9"/>
      <x:c r="B532" s="10"/>
      <x:c r="C532" s="11"/>
      <x:c r="D532" s="11"/>
      <x:c r="E532" s="11"/>
      <x:c r="F532" s="11"/>
      <x:c r="G532" s="11"/>
      <x:c r="H532" s="11"/>
      <x:c r="I532" s="11"/>
      <x:c r="J532" s="11"/>
      <x:c r="K532" s="12" t="str">
        <x:f>IF(A532="","",E532*F532+G532*H532+I532*J532)</x:f>
      </x:c>
      <x:c r="L532" s="9"/>
      <x:c r="M532" s="9" t="str">
        <x:f>IF(A532="","",INDEX('입고대장'!$M$7:$M$1006,MATCH(A532,'입고대장'!$A$7:$A$1006,0)))</x:f>
      </x:c>
      <x:c r="N532" s="9"/>
    </x:row>
    <x:row r="533" ht="23" customHeight="1">
      <x:c r="A533" s="9"/>
      <x:c r="B533" s="10"/>
      <x:c r="C533" s="11"/>
      <x:c r="D533" s="11"/>
      <x:c r="E533" s="11"/>
      <x:c r="F533" s="11"/>
      <x:c r="G533" s="11"/>
      <x:c r="H533" s="11"/>
      <x:c r="I533" s="11"/>
      <x:c r="J533" s="11"/>
      <x:c r="K533" s="12" t="str">
        <x:f>IF(A533="","",E533*F533+G533*H533+I533*J533)</x:f>
      </x:c>
      <x:c r="L533" s="9"/>
      <x:c r="M533" s="9" t="str">
        <x:f>IF(A533="","",INDEX('입고대장'!$M$7:$M$1006,MATCH(A533,'입고대장'!$A$7:$A$1006,0)))</x:f>
      </x:c>
      <x:c r="N533" s="9"/>
    </x:row>
    <x:row r="534" ht="23" customHeight="1">
      <x:c r="A534" s="9"/>
      <x:c r="B534" s="10"/>
      <x:c r="C534" s="11"/>
      <x:c r="D534" s="11"/>
      <x:c r="E534" s="11"/>
      <x:c r="F534" s="11"/>
      <x:c r="G534" s="11"/>
      <x:c r="H534" s="11"/>
      <x:c r="I534" s="11"/>
      <x:c r="J534" s="11"/>
      <x:c r="K534" s="12" t="str">
        <x:f>IF(A534="","",E534*F534+G534*H534+I534*J534)</x:f>
      </x:c>
      <x:c r="L534" s="9"/>
      <x:c r="M534" s="9" t="str">
        <x:f>IF(A534="","",INDEX('입고대장'!$M$7:$M$1006,MATCH(A534,'입고대장'!$A$7:$A$1006,0)))</x:f>
      </x:c>
      <x:c r="N534" s="9"/>
    </x:row>
    <x:row r="535" ht="23" customHeight="1">
      <x:c r="A535" s="9"/>
      <x:c r="B535" s="10"/>
      <x:c r="C535" s="11"/>
      <x:c r="D535" s="11"/>
      <x:c r="E535" s="11"/>
      <x:c r="F535" s="11"/>
      <x:c r="G535" s="11"/>
      <x:c r="H535" s="11"/>
      <x:c r="I535" s="11"/>
      <x:c r="J535" s="11"/>
      <x:c r="K535" s="12" t="str">
        <x:f>IF(A535="","",E535*F535+G535*H535+I535*J535)</x:f>
      </x:c>
      <x:c r="L535" s="9"/>
      <x:c r="M535" s="9" t="str">
        <x:f>IF(A535="","",INDEX('입고대장'!$M$7:$M$1006,MATCH(A535,'입고대장'!$A$7:$A$1006,0)))</x:f>
      </x:c>
      <x:c r="N535" s="9"/>
    </x:row>
    <x:row r="536" ht="23" customHeight="1">
      <x:c r="A536" s="9"/>
      <x:c r="B536" s="10"/>
      <x:c r="C536" s="11"/>
      <x:c r="D536" s="11"/>
      <x:c r="E536" s="11"/>
      <x:c r="F536" s="11"/>
      <x:c r="G536" s="11"/>
      <x:c r="H536" s="11"/>
      <x:c r="I536" s="11"/>
      <x:c r="J536" s="11"/>
      <x:c r="K536" s="12" t="str">
        <x:f>IF(A536="","",E536*F536+G536*H536+I536*J536)</x:f>
      </x:c>
      <x:c r="L536" s="9"/>
      <x:c r="M536" s="9" t="str">
        <x:f>IF(A536="","",INDEX('입고대장'!$M$7:$M$1006,MATCH(A536,'입고대장'!$A$7:$A$1006,0)))</x:f>
      </x:c>
      <x:c r="N536" s="9"/>
    </x:row>
    <x:row r="537" ht="23" customHeight="1">
      <x:c r="A537" s="9"/>
      <x:c r="B537" s="10"/>
      <x:c r="C537" s="11"/>
      <x:c r="D537" s="11"/>
      <x:c r="E537" s="11"/>
      <x:c r="F537" s="11"/>
      <x:c r="G537" s="11"/>
      <x:c r="H537" s="11"/>
      <x:c r="I537" s="11"/>
      <x:c r="J537" s="11"/>
      <x:c r="K537" s="12" t="str">
        <x:f>IF(A537="","",E537*F537+G537*H537+I537*J537)</x:f>
      </x:c>
      <x:c r="L537" s="9"/>
      <x:c r="M537" s="9" t="str">
        <x:f>IF(A537="","",INDEX('입고대장'!$M$7:$M$1006,MATCH(A537,'입고대장'!$A$7:$A$1006,0)))</x:f>
      </x:c>
      <x:c r="N537" s="9"/>
    </x:row>
    <x:row r="538" ht="23" customHeight="1">
      <x:c r="A538" s="9"/>
      <x:c r="B538" s="10"/>
      <x:c r="C538" s="11"/>
      <x:c r="D538" s="11"/>
      <x:c r="E538" s="11"/>
      <x:c r="F538" s="11"/>
      <x:c r="G538" s="11"/>
      <x:c r="H538" s="11"/>
      <x:c r="I538" s="11"/>
      <x:c r="J538" s="11"/>
      <x:c r="K538" s="12" t="str">
        <x:f>IF(A538="","",E538*F538+G538*H538+I538*J538)</x:f>
      </x:c>
      <x:c r="L538" s="9"/>
      <x:c r="M538" s="9" t="str">
        <x:f>IF(A538="","",INDEX('입고대장'!$M$7:$M$1006,MATCH(A538,'입고대장'!$A$7:$A$1006,0)))</x:f>
      </x:c>
      <x:c r="N538" s="9"/>
    </x:row>
    <x:row r="539" ht="23" customHeight="1">
      <x:c r="A539" s="9"/>
      <x:c r="B539" s="10"/>
      <x:c r="C539" s="11"/>
      <x:c r="D539" s="11"/>
      <x:c r="E539" s="11"/>
      <x:c r="F539" s="11"/>
      <x:c r="G539" s="11"/>
      <x:c r="H539" s="11"/>
      <x:c r="I539" s="11"/>
      <x:c r="J539" s="11"/>
      <x:c r="K539" s="12" t="str">
        <x:f>IF(A539="","",E539*F539+G539*H539+I539*J539)</x:f>
      </x:c>
      <x:c r="L539" s="9"/>
      <x:c r="M539" s="9" t="str">
        <x:f>IF(A539="","",INDEX('입고대장'!$M$7:$M$1006,MATCH(A539,'입고대장'!$A$7:$A$1006,0)))</x:f>
      </x:c>
      <x:c r="N539" s="9"/>
    </x:row>
    <x:row r="540" ht="23" customHeight="1">
      <x:c r="A540" s="9"/>
      <x:c r="B540" s="10"/>
      <x:c r="C540" s="11"/>
      <x:c r="D540" s="11"/>
      <x:c r="E540" s="11"/>
      <x:c r="F540" s="11"/>
      <x:c r="G540" s="11"/>
      <x:c r="H540" s="11"/>
      <x:c r="I540" s="11"/>
      <x:c r="J540" s="11"/>
      <x:c r="K540" s="12" t="str">
        <x:f>IF(A540="","",E540*F540+G540*H540+I540*J540)</x:f>
      </x:c>
      <x:c r="L540" s="9"/>
      <x:c r="M540" s="9" t="str">
        <x:f>IF(A540="","",INDEX('입고대장'!$M$7:$M$1006,MATCH(A540,'입고대장'!$A$7:$A$1006,0)))</x:f>
      </x:c>
      <x:c r="N540" s="9"/>
    </x:row>
    <x:row r="541" ht="23" customHeight="1">
      <x:c r="A541" s="9"/>
      <x:c r="B541" s="10"/>
      <x:c r="C541" s="11"/>
      <x:c r="D541" s="11"/>
      <x:c r="E541" s="11"/>
      <x:c r="F541" s="11"/>
      <x:c r="G541" s="11"/>
      <x:c r="H541" s="11"/>
      <x:c r="I541" s="11"/>
      <x:c r="J541" s="11"/>
      <x:c r="K541" s="12" t="str">
        <x:f>IF(A541="","",E541*F541+G541*H541+I541*J541)</x:f>
      </x:c>
      <x:c r="L541" s="9"/>
      <x:c r="M541" s="9" t="str">
        <x:f>IF(A541="","",INDEX('입고대장'!$M$7:$M$1006,MATCH(A541,'입고대장'!$A$7:$A$1006,0)))</x:f>
      </x:c>
      <x:c r="N541" s="9"/>
    </x:row>
    <x:row r="542" ht="23" customHeight="1">
      <x:c r="A542" s="9"/>
      <x:c r="B542" s="10"/>
      <x:c r="C542" s="11"/>
      <x:c r="D542" s="11"/>
      <x:c r="E542" s="11"/>
      <x:c r="F542" s="11"/>
      <x:c r="G542" s="11"/>
      <x:c r="H542" s="11"/>
      <x:c r="I542" s="11"/>
      <x:c r="J542" s="11"/>
      <x:c r="K542" s="12" t="str">
        <x:f>IF(A542="","",E542*F542+G542*H542+I542*J542)</x:f>
      </x:c>
      <x:c r="L542" s="9"/>
      <x:c r="M542" s="9" t="str">
        <x:f>IF(A542="","",INDEX('입고대장'!$M$7:$M$1006,MATCH(A542,'입고대장'!$A$7:$A$1006,0)))</x:f>
      </x:c>
      <x:c r="N542" s="9"/>
    </x:row>
    <x:row r="543" ht="23" customHeight="1">
      <x:c r="A543" s="9"/>
      <x:c r="B543" s="10"/>
      <x:c r="C543" s="11"/>
      <x:c r="D543" s="11"/>
      <x:c r="E543" s="11"/>
      <x:c r="F543" s="11"/>
      <x:c r="G543" s="11"/>
      <x:c r="H543" s="11"/>
      <x:c r="I543" s="11"/>
      <x:c r="J543" s="11"/>
      <x:c r="K543" s="12" t="str">
        <x:f>IF(A543="","",E543*F543+G543*H543+I543*J543)</x:f>
      </x:c>
      <x:c r="L543" s="9"/>
      <x:c r="M543" s="9" t="str">
        <x:f>IF(A543="","",INDEX('입고대장'!$M$7:$M$1006,MATCH(A543,'입고대장'!$A$7:$A$1006,0)))</x:f>
      </x:c>
      <x:c r="N543" s="9"/>
    </x:row>
    <x:row r="544" ht="23" customHeight="1">
      <x:c r="A544" s="9"/>
      <x:c r="B544" s="10"/>
      <x:c r="C544" s="11"/>
      <x:c r="D544" s="11"/>
      <x:c r="E544" s="11"/>
      <x:c r="F544" s="11"/>
      <x:c r="G544" s="11"/>
      <x:c r="H544" s="11"/>
      <x:c r="I544" s="11"/>
      <x:c r="J544" s="11"/>
      <x:c r="K544" s="12" t="str">
        <x:f>IF(A544="","",E544*F544+G544*H544+I544*J544)</x:f>
      </x:c>
      <x:c r="L544" s="9"/>
      <x:c r="M544" s="9" t="str">
        <x:f>IF(A544="","",INDEX('입고대장'!$M$7:$M$1006,MATCH(A544,'입고대장'!$A$7:$A$1006,0)))</x:f>
      </x:c>
      <x:c r="N544" s="9"/>
    </x:row>
    <x:row r="545" ht="23" customHeight="1">
      <x:c r="A545" s="9"/>
      <x:c r="B545" s="10"/>
      <x:c r="C545" s="11"/>
      <x:c r="D545" s="11"/>
      <x:c r="E545" s="11"/>
      <x:c r="F545" s="11"/>
      <x:c r="G545" s="11"/>
      <x:c r="H545" s="11"/>
      <x:c r="I545" s="11"/>
      <x:c r="J545" s="11"/>
      <x:c r="K545" s="12" t="str">
        <x:f>IF(A545="","",E545*F545+G545*H545+I545*J545)</x:f>
      </x:c>
      <x:c r="L545" s="9"/>
      <x:c r="M545" s="9" t="str">
        <x:f>IF(A545="","",INDEX('입고대장'!$M$7:$M$1006,MATCH(A545,'입고대장'!$A$7:$A$1006,0)))</x:f>
      </x:c>
      <x:c r="N545" s="9"/>
    </x:row>
    <x:row r="546" ht="23" customHeight="1">
      <x:c r="A546" s="9"/>
      <x:c r="B546" s="10"/>
      <x:c r="C546" s="11"/>
      <x:c r="D546" s="11"/>
      <x:c r="E546" s="11"/>
      <x:c r="F546" s="11"/>
      <x:c r="G546" s="11"/>
      <x:c r="H546" s="11"/>
      <x:c r="I546" s="11"/>
      <x:c r="J546" s="11"/>
      <x:c r="K546" s="12" t="str">
        <x:f>IF(A546="","",E546*F546+G546*H546+I546*J546)</x:f>
      </x:c>
      <x:c r="L546" s="9"/>
      <x:c r="M546" s="9" t="str">
        <x:f>IF(A546="","",INDEX('입고대장'!$M$7:$M$1006,MATCH(A546,'입고대장'!$A$7:$A$1006,0)))</x:f>
      </x:c>
      <x:c r="N546" s="9"/>
    </x:row>
    <x:row r="547" ht="23" customHeight="1">
      <x:c r="A547" s="9"/>
      <x:c r="B547" s="10"/>
      <x:c r="C547" s="11"/>
      <x:c r="D547" s="11"/>
      <x:c r="E547" s="11"/>
      <x:c r="F547" s="11"/>
      <x:c r="G547" s="11"/>
      <x:c r="H547" s="11"/>
      <x:c r="I547" s="11"/>
      <x:c r="J547" s="11"/>
      <x:c r="K547" s="12" t="str">
        <x:f>IF(A547="","",E547*F547+G547*H547+I547*J547)</x:f>
      </x:c>
      <x:c r="L547" s="9"/>
      <x:c r="M547" s="9" t="str">
        <x:f>IF(A547="","",INDEX('입고대장'!$M$7:$M$1006,MATCH(A547,'입고대장'!$A$7:$A$1006,0)))</x:f>
      </x:c>
      <x:c r="N547" s="9"/>
    </x:row>
    <x:row r="548" ht="23" customHeight="1">
      <x:c r="A548" s="9"/>
      <x:c r="B548" s="10"/>
      <x:c r="C548" s="11"/>
      <x:c r="D548" s="11"/>
      <x:c r="E548" s="11"/>
      <x:c r="F548" s="11"/>
      <x:c r="G548" s="11"/>
      <x:c r="H548" s="11"/>
      <x:c r="I548" s="11"/>
      <x:c r="J548" s="11"/>
      <x:c r="K548" s="12" t="str">
        <x:f>IF(A548="","",E548*F548+G548*H548+I548*J548)</x:f>
      </x:c>
      <x:c r="L548" s="9"/>
      <x:c r="M548" s="9" t="str">
        <x:f>IF(A548="","",INDEX('입고대장'!$M$7:$M$1006,MATCH(A548,'입고대장'!$A$7:$A$1006,0)))</x:f>
      </x:c>
      <x:c r="N548" s="9"/>
    </x:row>
    <x:row r="549" ht="23" customHeight="1">
      <x:c r="A549" s="9"/>
      <x:c r="B549" s="10"/>
      <x:c r="C549" s="11"/>
      <x:c r="D549" s="11"/>
      <x:c r="E549" s="11"/>
      <x:c r="F549" s="11"/>
      <x:c r="G549" s="11"/>
      <x:c r="H549" s="11"/>
      <x:c r="I549" s="11"/>
      <x:c r="J549" s="11"/>
      <x:c r="K549" s="12" t="str">
        <x:f>IF(A549="","",E549*F549+G549*H549+I549*J549)</x:f>
      </x:c>
      <x:c r="L549" s="9"/>
      <x:c r="M549" s="9" t="str">
        <x:f>IF(A549="","",INDEX('입고대장'!$M$7:$M$1006,MATCH(A549,'입고대장'!$A$7:$A$1006,0)))</x:f>
      </x:c>
      <x:c r="N549" s="9"/>
    </x:row>
    <x:row r="550" ht="23" customHeight="1">
      <x:c r="A550" s="9"/>
      <x:c r="B550" s="10"/>
      <x:c r="C550" s="11"/>
      <x:c r="D550" s="11"/>
      <x:c r="E550" s="11"/>
      <x:c r="F550" s="11"/>
      <x:c r="G550" s="11"/>
      <x:c r="H550" s="11"/>
      <x:c r="I550" s="11"/>
      <x:c r="J550" s="11"/>
      <x:c r="K550" s="12" t="str">
        <x:f>IF(A550="","",E550*F550+G550*H550+I550*J550)</x:f>
      </x:c>
      <x:c r="L550" s="9"/>
      <x:c r="M550" s="9" t="str">
        <x:f>IF(A550="","",INDEX('입고대장'!$M$7:$M$1006,MATCH(A550,'입고대장'!$A$7:$A$1006,0)))</x:f>
      </x:c>
      <x:c r="N550" s="9"/>
    </x:row>
    <x:row r="551" ht="23" customHeight="1">
      <x:c r="A551" s="9"/>
      <x:c r="B551" s="10"/>
      <x:c r="C551" s="11"/>
      <x:c r="D551" s="11"/>
      <x:c r="E551" s="11"/>
      <x:c r="F551" s="11"/>
      <x:c r="G551" s="11"/>
      <x:c r="H551" s="11"/>
      <x:c r="I551" s="11"/>
      <x:c r="J551" s="11"/>
      <x:c r="K551" s="12" t="str">
        <x:f>IF(A551="","",E551*F551+G551*H551+I551*J551)</x:f>
      </x:c>
      <x:c r="L551" s="9"/>
      <x:c r="M551" s="9" t="str">
        <x:f>IF(A551="","",INDEX('입고대장'!$M$7:$M$1006,MATCH(A551,'입고대장'!$A$7:$A$1006,0)))</x:f>
      </x:c>
      <x:c r="N551" s="9"/>
    </x:row>
    <x:row r="552" ht="23" customHeight="1">
      <x:c r="A552" s="9"/>
      <x:c r="B552" s="10"/>
      <x:c r="C552" s="11"/>
      <x:c r="D552" s="11"/>
      <x:c r="E552" s="11"/>
      <x:c r="F552" s="11"/>
      <x:c r="G552" s="11"/>
      <x:c r="H552" s="11"/>
      <x:c r="I552" s="11"/>
      <x:c r="J552" s="11"/>
      <x:c r="K552" s="12" t="str">
        <x:f>IF(A552="","",E552*F552+G552*H552+I552*J552)</x:f>
      </x:c>
      <x:c r="L552" s="9"/>
      <x:c r="M552" s="9" t="str">
        <x:f>IF(A552="","",INDEX('입고대장'!$M$7:$M$1006,MATCH(A552,'입고대장'!$A$7:$A$1006,0)))</x:f>
      </x:c>
      <x:c r="N552" s="9"/>
    </x:row>
    <x:row r="553" ht="23" customHeight="1">
      <x:c r="A553" s="9"/>
      <x:c r="B553" s="10"/>
      <x:c r="C553" s="11"/>
      <x:c r="D553" s="11"/>
      <x:c r="E553" s="11"/>
      <x:c r="F553" s="11"/>
      <x:c r="G553" s="11"/>
      <x:c r="H553" s="11"/>
      <x:c r="I553" s="11"/>
      <x:c r="J553" s="11"/>
      <x:c r="K553" s="12" t="str">
        <x:f>IF(A553="","",E553*F553+G553*H553+I553*J553)</x:f>
      </x:c>
      <x:c r="L553" s="9"/>
      <x:c r="M553" s="9" t="str">
        <x:f>IF(A553="","",INDEX('입고대장'!$M$7:$M$1006,MATCH(A553,'입고대장'!$A$7:$A$1006,0)))</x:f>
      </x:c>
      <x:c r="N553" s="9"/>
    </x:row>
    <x:row r="554" ht="23" customHeight="1">
      <x:c r="A554" s="9"/>
      <x:c r="B554" s="10"/>
      <x:c r="C554" s="11"/>
      <x:c r="D554" s="11"/>
      <x:c r="E554" s="11"/>
      <x:c r="F554" s="11"/>
      <x:c r="G554" s="11"/>
      <x:c r="H554" s="11"/>
      <x:c r="I554" s="11"/>
      <x:c r="J554" s="11"/>
      <x:c r="K554" s="12" t="str">
        <x:f>IF(A554="","",E554*F554+G554*H554+I554*J554)</x:f>
      </x:c>
      <x:c r="L554" s="9"/>
      <x:c r="M554" s="9" t="str">
        <x:f>IF(A554="","",INDEX('입고대장'!$M$7:$M$1006,MATCH(A554,'입고대장'!$A$7:$A$1006,0)))</x:f>
      </x:c>
      <x:c r="N554" s="9"/>
    </x:row>
    <x:row r="555" ht="23" customHeight="1">
      <x:c r="A555" s="9"/>
      <x:c r="B555" s="10"/>
      <x:c r="C555" s="11"/>
      <x:c r="D555" s="11"/>
      <x:c r="E555" s="11"/>
      <x:c r="F555" s="11"/>
      <x:c r="G555" s="11"/>
      <x:c r="H555" s="11"/>
      <x:c r="I555" s="11"/>
      <x:c r="J555" s="11"/>
      <x:c r="K555" s="12" t="str">
        <x:f>IF(A555="","",E555*F555+G555*H555+I555*J555)</x:f>
      </x:c>
      <x:c r="L555" s="9"/>
      <x:c r="M555" s="9" t="str">
        <x:f>IF(A555="","",INDEX('입고대장'!$M$7:$M$1006,MATCH(A555,'입고대장'!$A$7:$A$1006,0)))</x:f>
      </x:c>
      <x:c r="N555" s="9"/>
    </x:row>
    <x:row r="556" ht="23" customHeight="1">
      <x:c r="A556" s="9"/>
      <x:c r="B556" s="10"/>
      <x:c r="C556" s="11"/>
      <x:c r="D556" s="11"/>
      <x:c r="E556" s="11"/>
      <x:c r="F556" s="11"/>
      <x:c r="G556" s="11"/>
      <x:c r="H556" s="11"/>
      <x:c r="I556" s="11"/>
      <x:c r="J556" s="11"/>
      <x:c r="K556" s="12" t="str">
        <x:f>IF(A556="","",E556*F556+G556*H556+I556*J556)</x:f>
      </x:c>
      <x:c r="L556" s="9"/>
      <x:c r="M556" s="9" t="str">
        <x:f>IF(A556="","",INDEX('입고대장'!$M$7:$M$1006,MATCH(A556,'입고대장'!$A$7:$A$1006,0)))</x:f>
      </x:c>
      <x:c r="N556" s="9"/>
    </x:row>
    <x:row r="557" ht="23" customHeight="1">
      <x:c r="A557" s="9"/>
      <x:c r="B557" s="10"/>
      <x:c r="C557" s="11"/>
      <x:c r="D557" s="11"/>
      <x:c r="E557" s="11"/>
      <x:c r="F557" s="11"/>
      <x:c r="G557" s="11"/>
      <x:c r="H557" s="11"/>
      <x:c r="I557" s="11"/>
      <x:c r="J557" s="11"/>
      <x:c r="K557" s="12" t="str">
        <x:f>IF(A557="","",E557*F557+G557*H557+I557*J557)</x:f>
      </x:c>
      <x:c r="L557" s="9"/>
      <x:c r="M557" s="9" t="str">
        <x:f>IF(A557="","",INDEX('입고대장'!$M$7:$M$1006,MATCH(A557,'입고대장'!$A$7:$A$1006,0)))</x:f>
      </x:c>
      <x:c r="N557" s="9"/>
    </x:row>
    <x:row r="558" ht="23" customHeight="1">
      <x:c r="A558" s="9"/>
      <x:c r="B558" s="10"/>
      <x:c r="C558" s="11"/>
      <x:c r="D558" s="11"/>
      <x:c r="E558" s="11"/>
      <x:c r="F558" s="11"/>
      <x:c r="G558" s="11"/>
      <x:c r="H558" s="11"/>
      <x:c r="I558" s="11"/>
      <x:c r="J558" s="11"/>
      <x:c r="K558" s="12" t="str">
        <x:f>IF(A558="","",E558*F558+G558*H558+I558*J558)</x:f>
      </x:c>
      <x:c r="L558" s="9"/>
      <x:c r="M558" s="9" t="str">
        <x:f>IF(A558="","",INDEX('입고대장'!$M$7:$M$1006,MATCH(A558,'입고대장'!$A$7:$A$1006,0)))</x:f>
      </x:c>
      <x:c r="N558" s="9"/>
    </x:row>
    <x:row r="559" ht="23" customHeight="1">
      <x:c r="A559" s="9"/>
      <x:c r="B559" s="10"/>
      <x:c r="C559" s="11"/>
      <x:c r="D559" s="11"/>
      <x:c r="E559" s="11"/>
      <x:c r="F559" s="11"/>
      <x:c r="G559" s="11"/>
      <x:c r="H559" s="11"/>
      <x:c r="I559" s="11"/>
      <x:c r="J559" s="11"/>
      <x:c r="K559" s="12" t="str">
        <x:f>IF(A559="","",E559*F559+G559*H559+I559*J559)</x:f>
      </x:c>
      <x:c r="L559" s="9"/>
      <x:c r="M559" s="9" t="str">
        <x:f>IF(A559="","",INDEX('입고대장'!$M$7:$M$1006,MATCH(A559,'입고대장'!$A$7:$A$1006,0)))</x:f>
      </x:c>
      <x:c r="N559" s="9"/>
    </x:row>
    <x:row r="560" ht="23" customHeight="1">
      <x:c r="A560" s="9"/>
      <x:c r="B560" s="10"/>
      <x:c r="C560" s="11"/>
      <x:c r="D560" s="11"/>
      <x:c r="E560" s="11"/>
      <x:c r="F560" s="11"/>
      <x:c r="G560" s="11"/>
      <x:c r="H560" s="11"/>
      <x:c r="I560" s="11"/>
      <x:c r="J560" s="11"/>
      <x:c r="K560" s="12" t="str">
        <x:f>IF(A560="","",E560*F560+G560*H560+I560*J560)</x:f>
      </x:c>
      <x:c r="L560" s="9"/>
      <x:c r="M560" s="9" t="str">
        <x:f>IF(A560="","",INDEX('입고대장'!$M$7:$M$1006,MATCH(A560,'입고대장'!$A$7:$A$1006,0)))</x:f>
      </x:c>
      <x:c r="N560" s="9"/>
    </x:row>
    <x:row r="561" ht="23" customHeight="1">
      <x:c r="A561" s="9"/>
      <x:c r="B561" s="10"/>
      <x:c r="C561" s="11"/>
      <x:c r="D561" s="11"/>
      <x:c r="E561" s="11"/>
      <x:c r="F561" s="11"/>
      <x:c r="G561" s="11"/>
      <x:c r="H561" s="11"/>
      <x:c r="I561" s="11"/>
      <x:c r="J561" s="11"/>
      <x:c r="K561" s="12" t="str">
        <x:f>IF(A561="","",E561*F561+G561*H561+I561*J561)</x:f>
      </x:c>
      <x:c r="L561" s="9"/>
      <x:c r="M561" s="9" t="str">
        <x:f>IF(A561="","",INDEX('입고대장'!$M$7:$M$1006,MATCH(A561,'입고대장'!$A$7:$A$1006,0)))</x:f>
      </x:c>
      <x:c r="N561" s="9"/>
    </x:row>
    <x:row r="562" ht="23" customHeight="1">
      <x:c r="A562" s="9"/>
      <x:c r="B562" s="10"/>
      <x:c r="C562" s="11"/>
      <x:c r="D562" s="11"/>
      <x:c r="E562" s="11"/>
      <x:c r="F562" s="11"/>
      <x:c r="G562" s="11"/>
      <x:c r="H562" s="11"/>
      <x:c r="I562" s="11"/>
      <x:c r="J562" s="11"/>
      <x:c r="K562" s="12" t="str">
        <x:f>IF(A562="","",E562*F562+G562*H562+I562*J562)</x:f>
      </x:c>
      <x:c r="L562" s="9"/>
      <x:c r="M562" s="9" t="str">
        <x:f>IF(A562="","",INDEX('입고대장'!$M$7:$M$1006,MATCH(A562,'입고대장'!$A$7:$A$1006,0)))</x:f>
      </x:c>
      <x:c r="N562" s="9"/>
    </x:row>
    <x:row r="563" ht="23" customHeight="1">
      <x:c r="A563" s="9"/>
      <x:c r="B563" s="10"/>
      <x:c r="C563" s="11"/>
      <x:c r="D563" s="11"/>
      <x:c r="E563" s="11"/>
      <x:c r="F563" s="11"/>
      <x:c r="G563" s="11"/>
      <x:c r="H563" s="11"/>
      <x:c r="I563" s="11"/>
      <x:c r="J563" s="11"/>
      <x:c r="K563" s="12" t="str">
        <x:f>IF(A563="","",E563*F563+G563*H563+I563*J563)</x:f>
      </x:c>
      <x:c r="L563" s="9"/>
      <x:c r="M563" s="9" t="str">
        <x:f>IF(A563="","",INDEX('입고대장'!$M$7:$M$1006,MATCH(A563,'입고대장'!$A$7:$A$1006,0)))</x:f>
      </x:c>
      <x:c r="N563" s="9"/>
    </x:row>
    <x:row r="564" ht="23" customHeight="1">
      <x:c r="A564" s="9"/>
      <x:c r="B564" s="10"/>
      <x:c r="C564" s="11"/>
      <x:c r="D564" s="11"/>
      <x:c r="E564" s="11"/>
      <x:c r="F564" s="11"/>
      <x:c r="G564" s="11"/>
      <x:c r="H564" s="11"/>
      <x:c r="I564" s="11"/>
      <x:c r="J564" s="11"/>
      <x:c r="K564" s="12" t="str">
        <x:f>IF(A564="","",E564*F564+G564*H564+I564*J564)</x:f>
      </x:c>
      <x:c r="L564" s="9"/>
      <x:c r="M564" s="9" t="str">
        <x:f>IF(A564="","",INDEX('입고대장'!$M$7:$M$1006,MATCH(A564,'입고대장'!$A$7:$A$1006,0)))</x:f>
      </x:c>
      <x:c r="N564" s="9"/>
    </x:row>
    <x:row r="565" ht="23" customHeight="1">
      <x:c r="A565" s="9"/>
      <x:c r="B565" s="10"/>
      <x:c r="C565" s="11"/>
      <x:c r="D565" s="11"/>
      <x:c r="E565" s="11"/>
      <x:c r="F565" s="11"/>
      <x:c r="G565" s="11"/>
      <x:c r="H565" s="11"/>
      <x:c r="I565" s="11"/>
      <x:c r="J565" s="11"/>
      <x:c r="K565" s="12" t="str">
        <x:f>IF(A565="","",E565*F565+G565*H565+I565*J565)</x:f>
      </x:c>
      <x:c r="L565" s="9"/>
      <x:c r="M565" s="9" t="str">
        <x:f>IF(A565="","",INDEX('입고대장'!$M$7:$M$1006,MATCH(A565,'입고대장'!$A$7:$A$1006,0)))</x:f>
      </x:c>
      <x:c r="N565" s="9"/>
    </x:row>
    <x:row r="566" ht="23" customHeight="1">
      <x:c r="A566" s="9"/>
      <x:c r="B566" s="10"/>
      <x:c r="C566" s="11"/>
      <x:c r="D566" s="11"/>
      <x:c r="E566" s="11"/>
      <x:c r="F566" s="11"/>
      <x:c r="G566" s="11"/>
      <x:c r="H566" s="11"/>
      <x:c r="I566" s="11"/>
      <x:c r="J566" s="11"/>
      <x:c r="K566" s="12" t="str">
        <x:f>IF(A566="","",E566*F566+G566*H566+I566*J566)</x:f>
      </x:c>
      <x:c r="L566" s="9"/>
      <x:c r="M566" s="9" t="str">
        <x:f>IF(A566="","",INDEX('입고대장'!$M$7:$M$1006,MATCH(A566,'입고대장'!$A$7:$A$1006,0)))</x:f>
      </x:c>
      <x:c r="N566" s="9"/>
    </x:row>
    <x:row r="567" ht="23" customHeight="1">
      <x:c r="A567" s="9"/>
      <x:c r="B567" s="10"/>
      <x:c r="C567" s="11"/>
      <x:c r="D567" s="11"/>
      <x:c r="E567" s="11"/>
      <x:c r="F567" s="11"/>
      <x:c r="G567" s="11"/>
      <x:c r="H567" s="11"/>
      <x:c r="I567" s="11"/>
      <x:c r="J567" s="11"/>
      <x:c r="K567" s="12" t="str">
        <x:f>IF(A567="","",E567*F567+G567*H567+I567*J567)</x:f>
      </x:c>
      <x:c r="L567" s="9"/>
      <x:c r="M567" s="9" t="str">
        <x:f>IF(A567="","",INDEX('입고대장'!$M$7:$M$1006,MATCH(A567,'입고대장'!$A$7:$A$1006,0)))</x:f>
      </x:c>
      <x:c r="N567" s="9"/>
    </x:row>
    <x:row r="568" ht="23" customHeight="1">
      <x:c r="A568" s="9"/>
      <x:c r="B568" s="10"/>
      <x:c r="C568" s="11"/>
      <x:c r="D568" s="11"/>
      <x:c r="E568" s="11"/>
      <x:c r="F568" s="11"/>
      <x:c r="G568" s="11"/>
      <x:c r="H568" s="11"/>
      <x:c r="I568" s="11"/>
      <x:c r="J568" s="11"/>
      <x:c r="K568" s="12" t="str">
        <x:f>IF(A568="","",E568*F568+G568*H568+I568*J568)</x:f>
      </x:c>
      <x:c r="L568" s="9"/>
      <x:c r="M568" s="9" t="str">
        <x:f>IF(A568="","",INDEX('입고대장'!$M$7:$M$1006,MATCH(A568,'입고대장'!$A$7:$A$1006,0)))</x:f>
      </x:c>
      <x:c r="N568" s="9"/>
    </x:row>
    <x:row r="569" ht="23" customHeight="1">
      <x:c r="A569" s="9"/>
      <x:c r="B569" s="10"/>
      <x:c r="C569" s="11"/>
      <x:c r="D569" s="11"/>
      <x:c r="E569" s="11"/>
      <x:c r="F569" s="11"/>
      <x:c r="G569" s="11"/>
      <x:c r="H569" s="11"/>
      <x:c r="I569" s="11"/>
      <x:c r="J569" s="11"/>
      <x:c r="K569" s="12" t="str">
        <x:f>IF(A569="","",E569*F569+G569*H569+I569*J569)</x:f>
      </x:c>
      <x:c r="L569" s="9"/>
      <x:c r="M569" s="9" t="str">
        <x:f>IF(A569="","",INDEX('입고대장'!$M$7:$M$1006,MATCH(A569,'입고대장'!$A$7:$A$1006,0)))</x:f>
      </x:c>
      <x:c r="N569" s="9"/>
    </x:row>
    <x:row r="570" ht="23" customHeight="1">
      <x:c r="A570" s="9"/>
      <x:c r="B570" s="10"/>
      <x:c r="C570" s="11"/>
      <x:c r="D570" s="11"/>
      <x:c r="E570" s="11"/>
      <x:c r="F570" s="11"/>
      <x:c r="G570" s="11"/>
      <x:c r="H570" s="11"/>
      <x:c r="I570" s="11"/>
      <x:c r="J570" s="11"/>
      <x:c r="K570" s="12" t="str">
        <x:f>IF(A570="","",E570*F570+G570*H570+I570*J570)</x:f>
      </x:c>
      <x:c r="L570" s="9"/>
      <x:c r="M570" s="9" t="str">
        <x:f>IF(A570="","",INDEX('입고대장'!$M$7:$M$1006,MATCH(A570,'입고대장'!$A$7:$A$1006,0)))</x:f>
      </x:c>
      <x:c r="N570" s="9"/>
    </x:row>
    <x:row r="571" ht="23" customHeight="1">
      <x:c r="A571" s="9"/>
      <x:c r="B571" s="10"/>
      <x:c r="C571" s="11"/>
      <x:c r="D571" s="11"/>
      <x:c r="E571" s="11"/>
      <x:c r="F571" s="11"/>
      <x:c r="G571" s="11"/>
      <x:c r="H571" s="11"/>
      <x:c r="I571" s="11"/>
      <x:c r="J571" s="11"/>
      <x:c r="K571" s="12" t="str">
        <x:f>IF(A571="","",E571*F571+G571*H571+I571*J571)</x:f>
      </x:c>
      <x:c r="L571" s="9"/>
      <x:c r="M571" s="9" t="str">
        <x:f>IF(A571="","",INDEX('입고대장'!$M$7:$M$1006,MATCH(A571,'입고대장'!$A$7:$A$1006,0)))</x:f>
      </x:c>
      <x:c r="N571" s="9"/>
    </x:row>
    <x:row r="572" ht="23" customHeight="1">
      <x:c r="A572" s="9"/>
      <x:c r="B572" s="10"/>
      <x:c r="C572" s="11"/>
      <x:c r="D572" s="11"/>
      <x:c r="E572" s="11"/>
      <x:c r="F572" s="11"/>
      <x:c r="G572" s="11"/>
      <x:c r="H572" s="11"/>
      <x:c r="I572" s="11"/>
      <x:c r="J572" s="11"/>
      <x:c r="K572" s="12" t="str">
        <x:f>IF(A572="","",E572*F572+G572*H572+I572*J572)</x:f>
      </x:c>
      <x:c r="L572" s="9"/>
      <x:c r="M572" s="9" t="str">
        <x:f>IF(A572="","",INDEX('입고대장'!$M$7:$M$1006,MATCH(A572,'입고대장'!$A$7:$A$1006,0)))</x:f>
      </x:c>
      <x:c r="N572" s="9"/>
    </x:row>
    <x:row r="573" ht="23" customHeight="1">
      <x:c r="A573" s="9"/>
      <x:c r="B573" s="10"/>
      <x:c r="C573" s="11"/>
      <x:c r="D573" s="11"/>
      <x:c r="E573" s="11"/>
      <x:c r="F573" s="11"/>
      <x:c r="G573" s="11"/>
      <x:c r="H573" s="11"/>
      <x:c r="I573" s="11"/>
      <x:c r="J573" s="11"/>
      <x:c r="K573" s="12" t="str">
        <x:f>IF(A573="","",E573*F573+G573*H573+I573*J573)</x:f>
      </x:c>
      <x:c r="L573" s="9"/>
      <x:c r="M573" s="9" t="str">
        <x:f>IF(A573="","",INDEX('입고대장'!$M$7:$M$1006,MATCH(A573,'입고대장'!$A$7:$A$1006,0)))</x:f>
      </x:c>
      <x:c r="N573" s="9"/>
    </x:row>
    <x:row r="574" ht="23" customHeight="1">
      <x:c r="A574" s="9"/>
      <x:c r="B574" s="10"/>
      <x:c r="C574" s="11"/>
      <x:c r="D574" s="11"/>
      <x:c r="E574" s="11"/>
      <x:c r="F574" s="11"/>
      <x:c r="G574" s="11"/>
      <x:c r="H574" s="11"/>
      <x:c r="I574" s="11"/>
      <x:c r="J574" s="11"/>
      <x:c r="K574" s="12" t="str">
        <x:f>IF(A574="","",E574*F574+G574*H574+I574*J574)</x:f>
      </x:c>
      <x:c r="L574" s="9"/>
      <x:c r="M574" s="9" t="str">
        <x:f>IF(A574="","",INDEX('입고대장'!$M$7:$M$1006,MATCH(A574,'입고대장'!$A$7:$A$1006,0)))</x:f>
      </x:c>
      <x:c r="N574" s="9"/>
    </x:row>
    <x:row r="575" ht="23" customHeight="1">
      <x:c r="A575" s="9"/>
      <x:c r="B575" s="10"/>
      <x:c r="C575" s="11"/>
      <x:c r="D575" s="11"/>
      <x:c r="E575" s="11"/>
      <x:c r="F575" s="11"/>
      <x:c r="G575" s="11"/>
      <x:c r="H575" s="11"/>
      <x:c r="I575" s="11"/>
      <x:c r="J575" s="11"/>
      <x:c r="K575" s="12" t="str">
        <x:f>IF(A575="","",E575*F575+G575*H575+I575*J575)</x:f>
      </x:c>
      <x:c r="L575" s="9"/>
      <x:c r="M575" s="9" t="str">
        <x:f>IF(A575="","",INDEX('입고대장'!$M$7:$M$1006,MATCH(A575,'입고대장'!$A$7:$A$1006,0)))</x:f>
      </x:c>
      <x:c r="N575" s="9"/>
    </x:row>
    <x:row r="576" ht="23" customHeight="1">
      <x:c r="A576" s="9"/>
      <x:c r="B576" s="10"/>
      <x:c r="C576" s="11"/>
      <x:c r="D576" s="11"/>
      <x:c r="E576" s="11"/>
      <x:c r="F576" s="11"/>
      <x:c r="G576" s="11"/>
      <x:c r="H576" s="11"/>
      <x:c r="I576" s="11"/>
      <x:c r="J576" s="11"/>
      <x:c r="K576" s="12" t="str">
        <x:f>IF(A576="","",E576*F576+G576*H576+I576*J576)</x:f>
      </x:c>
      <x:c r="L576" s="9"/>
      <x:c r="M576" s="9" t="str">
        <x:f>IF(A576="","",INDEX('입고대장'!$M$7:$M$1006,MATCH(A576,'입고대장'!$A$7:$A$1006,0)))</x:f>
      </x:c>
      <x:c r="N576" s="9"/>
    </x:row>
    <x:row r="577" ht="23" customHeight="1">
      <x:c r="A577" s="9"/>
      <x:c r="B577" s="10"/>
      <x:c r="C577" s="11"/>
      <x:c r="D577" s="11"/>
      <x:c r="E577" s="11"/>
      <x:c r="F577" s="11"/>
      <x:c r="G577" s="11"/>
      <x:c r="H577" s="11"/>
      <x:c r="I577" s="11"/>
      <x:c r="J577" s="11"/>
      <x:c r="K577" s="12" t="str">
        <x:f>IF(A577="","",E577*F577+G577*H577+I577*J577)</x:f>
      </x:c>
      <x:c r="L577" s="9"/>
      <x:c r="M577" s="9" t="str">
        <x:f>IF(A577="","",INDEX('입고대장'!$M$7:$M$1006,MATCH(A577,'입고대장'!$A$7:$A$1006,0)))</x:f>
      </x:c>
      <x:c r="N577" s="9"/>
    </x:row>
    <x:row r="578" ht="23" customHeight="1">
      <x:c r="A578" s="9"/>
      <x:c r="B578" s="10"/>
      <x:c r="C578" s="11"/>
      <x:c r="D578" s="11"/>
      <x:c r="E578" s="11"/>
      <x:c r="F578" s="11"/>
      <x:c r="G578" s="11"/>
      <x:c r="H578" s="11"/>
      <x:c r="I578" s="11"/>
      <x:c r="J578" s="11"/>
      <x:c r="K578" s="12" t="str">
        <x:f>IF(A578="","",E578*F578+G578*H578+I578*J578)</x:f>
      </x:c>
      <x:c r="L578" s="9"/>
      <x:c r="M578" s="9" t="str">
        <x:f>IF(A578="","",INDEX('입고대장'!$M$7:$M$1006,MATCH(A578,'입고대장'!$A$7:$A$1006,0)))</x:f>
      </x:c>
      <x:c r="N578" s="9"/>
    </x:row>
    <x:row r="579" ht="23" customHeight="1">
      <x:c r="A579" s="9"/>
      <x:c r="B579" s="10"/>
      <x:c r="C579" s="11"/>
      <x:c r="D579" s="11"/>
      <x:c r="E579" s="11"/>
      <x:c r="F579" s="11"/>
      <x:c r="G579" s="11"/>
      <x:c r="H579" s="11"/>
      <x:c r="I579" s="11"/>
      <x:c r="J579" s="11"/>
      <x:c r="K579" s="12" t="str">
        <x:f>IF(A579="","",E579*F579+G579*H579+I579*J579)</x:f>
      </x:c>
      <x:c r="L579" s="9"/>
      <x:c r="M579" s="9" t="str">
        <x:f>IF(A579="","",INDEX('입고대장'!$M$7:$M$1006,MATCH(A579,'입고대장'!$A$7:$A$1006,0)))</x:f>
      </x:c>
      <x:c r="N579" s="9"/>
    </x:row>
    <x:row r="580" ht="23" customHeight="1">
      <x:c r="A580" s="9"/>
      <x:c r="B580" s="10"/>
      <x:c r="C580" s="11"/>
      <x:c r="D580" s="11"/>
      <x:c r="E580" s="11"/>
      <x:c r="F580" s="11"/>
      <x:c r="G580" s="11"/>
      <x:c r="H580" s="11"/>
      <x:c r="I580" s="11"/>
      <x:c r="J580" s="11"/>
      <x:c r="K580" s="12" t="str">
        <x:f>IF(A580="","",E580*F580+G580*H580+I580*J580)</x:f>
      </x:c>
      <x:c r="L580" s="9"/>
      <x:c r="M580" s="9" t="str">
        <x:f>IF(A580="","",INDEX('입고대장'!$M$7:$M$1006,MATCH(A580,'입고대장'!$A$7:$A$1006,0)))</x:f>
      </x:c>
      <x:c r="N580" s="9"/>
    </x:row>
    <x:row r="581" ht="23" customHeight="1">
      <x:c r="A581" s="9"/>
      <x:c r="B581" s="10"/>
      <x:c r="C581" s="11"/>
      <x:c r="D581" s="11"/>
      <x:c r="E581" s="11"/>
      <x:c r="F581" s="11"/>
      <x:c r="G581" s="11"/>
      <x:c r="H581" s="11"/>
      <x:c r="I581" s="11"/>
      <x:c r="J581" s="11"/>
      <x:c r="K581" s="12" t="str">
        <x:f>IF(A581="","",E581*F581+G581*H581+I581*J581)</x:f>
      </x:c>
      <x:c r="L581" s="9"/>
      <x:c r="M581" s="9" t="str">
        <x:f>IF(A581="","",INDEX('입고대장'!$M$7:$M$1006,MATCH(A581,'입고대장'!$A$7:$A$1006,0)))</x:f>
      </x:c>
      <x:c r="N581" s="9"/>
    </x:row>
    <x:row r="582" ht="23" customHeight="1">
      <x:c r="A582" s="9"/>
      <x:c r="B582" s="10"/>
      <x:c r="C582" s="11"/>
      <x:c r="D582" s="11"/>
      <x:c r="E582" s="11"/>
      <x:c r="F582" s="11"/>
      <x:c r="G582" s="11"/>
      <x:c r="H582" s="11"/>
      <x:c r="I582" s="11"/>
      <x:c r="J582" s="11"/>
      <x:c r="K582" s="12" t="str">
        <x:f>IF(A582="","",E582*F582+G582*H582+I582*J582)</x:f>
      </x:c>
      <x:c r="L582" s="9"/>
      <x:c r="M582" s="9" t="str">
        <x:f>IF(A582="","",INDEX('입고대장'!$M$7:$M$1006,MATCH(A582,'입고대장'!$A$7:$A$1006,0)))</x:f>
      </x:c>
      <x:c r="N582" s="9"/>
    </x:row>
    <x:row r="583" ht="23" customHeight="1">
      <x:c r="A583" s="9"/>
      <x:c r="B583" s="10"/>
      <x:c r="C583" s="11"/>
      <x:c r="D583" s="11"/>
      <x:c r="E583" s="11"/>
      <x:c r="F583" s="11"/>
      <x:c r="G583" s="11"/>
      <x:c r="H583" s="11"/>
      <x:c r="I583" s="11"/>
      <x:c r="J583" s="11"/>
      <x:c r="K583" s="12" t="str">
        <x:f>IF(A583="","",E583*F583+G583*H583+I583*J583)</x:f>
      </x:c>
      <x:c r="L583" s="9"/>
      <x:c r="M583" s="9" t="str">
        <x:f>IF(A583="","",INDEX('입고대장'!$M$7:$M$1006,MATCH(A583,'입고대장'!$A$7:$A$1006,0)))</x:f>
      </x:c>
      <x:c r="N583" s="9"/>
    </x:row>
    <x:row r="584" ht="23" customHeight="1">
      <x:c r="A584" s="9"/>
      <x:c r="B584" s="10"/>
      <x:c r="C584" s="11"/>
      <x:c r="D584" s="11"/>
      <x:c r="E584" s="11"/>
      <x:c r="F584" s="11"/>
      <x:c r="G584" s="11"/>
      <x:c r="H584" s="11"/>
      <x:c r="I584" s="11"/>
      <x:c r="J584" s="11"/>
      <x:c r="K584" s="12" t="str">
        <x:f>IF(A584="","",E584*F584+G584*H584+I584*J584)</x:f>
      </x:c>
      <x:c r="L584" s="9"/>
      <x:c r="M584" s="9" t="str">
        <x:f>IF(A584="","",INDEX('입고대장'!$M$7:$M$1006,MATCH(A584,'입고대장'!$A$7:$A$1006,0)))</x:f>
      </x:c>
      <x:c r="N584" s="9"/>
    </x:row>
    <x:row r="585" ht="23" customHeight="1">
      <x:c r="A585" s="9"/>
      <x:c r="B585" s="10"/>
      <x:c r="C585" s="11"/>
      <x:c r="D585" s="11"/>
      <x:c r="E585" s="11"/>
      <x:c r="F585" s="11"/>
      <x:c r="G585" s="11"/>
      <x:c r="H585" s="11"/>
      <x:c r="I585" s="11"/>
      <x:c r="J585" s="11"/>
      <x:c r="K585" s="12" t="str">
        <x:f>IF(A585="","",E585*F585+G585*H585+I585*J585)</x:f>
      </x:c>
      <x:c r="L585" s="9"/>
      <x:c r="M585" s="9" t="str">
        <x:f>IF(A585="","",INDEX('입고대장'!$M$7:$M$1006,MATCH(A585,'입고대장'!$A$7:$A$1006,0)))</x:f>
      </x:c>
      <x:c r="N585" s="9"/>
    </x:row>
    <x:row r="586" ht="23" customHeight="1">
      <x:c r="A586" s="9"/>
      <x:c r="B586" s="10"/>
      <x:c r="C586" s="11"/>
      <x:c r="D586" s="11"/>
      <x:c r="E586" s="11"/>
      <x:c r="F586" s="11"/>
      <x:c r="G586" s="11"/>
      <x:c r="H586" s="11"/>
      <x:c r="I586" s="11"/>
      <x:c r="J586" s="11"/>
      <x:c r="K586" s="12" t="str">
        <x:f>IF(A586="","",E586*F586+G586*H586+I586*J586)</x:f>
      </x:c>
      <x:c r="L586" s="9"/>
      <x:c r="M586" s="9" t="str">
        <x:f>IF(A586="","",INDEX('입고대장'!$M$7:$M$1006,MATCH(A586,'입고대장'!$A$7:$A$1006,0)))</x:f>
      </x:c>
      <x:c r="N586" s="9"/>
    </x:row>
    <x:row r="587" ht="23" customHeight="1">
      <x:c r="A587" s="9"/>
      <x:c r="B587" s="10"/>
      <x:c r="C587" s="11"/>
      <x:c r="D587" s="11"/>
      <x:c r="E587" s="11"/>
      <x:c r="F587" s="11"/>
      <x:c r="G587" s="11"/>
      <x:c r="H587" s="11"/>
      <x:c r="I587" s="11"/>
      <x:c r="J587" s="11"/>
      <x:c r="K587" s="12" t="str">
        <x:f>IF(A587="","",E587*F587+G587*H587+I587*J587)</x:f>
      </x:c>
      <x:c r="L587" s="9"/>
      <x:c r="M587" s="9" t="str">
        <x:f>IF(A587="","",INDEX('입고대장'!$M$7:$M$1006,MATCH(A587,'입고대장'!$A$7:$A$1006,0)))</x:f>
      </x:c>
      <x:c r="N587" s="9"/>
    </x:row>
    <x:row r="588" ht="23" customHeight="1">
      <x:c r="A588" s="9"/>
      <x:c r="B588" s="10"/>
      <x:c r="C588" s="11"/>
      <x:c r="D588" s="11"/>
      <x:c r="E588" s="11"/>
      <x:c r="F588" s="11"/>
      <x:c r="G588" s="11"/>
      <x:c r="H588" s="11"/>
      <x:c r="I588" s="11"/>
      <x:c r="J588" s="11"/>
      <x:c r="K588" s="12" t="str">
        <x:f>IF(A588="","",E588*F588+G588*H588+I588*J588)</x:f>
      </x:c>
      <x:c r="L588" s="9"/>
      <x:c r="M588" s="9" t="str">
        <x:f>IF(A588="","",INDEX('입고대장'!$M$7:$M$1006,MATCH(A588,'입고대장'!$A$7:$A$1006,0)))</x:f>
      </x:c>
      <x:c r="N588" s="9"/>
    </x:row>
    <x:row r="589" ht="23" customHeight="1">
      <x:c r="A589" s="9"/>
      <x:c r="B589" s="10"/>
      <x:c r="C589" s="11"/>
      <x:c r="D589" s="11"/>
      <x:c r="E589" s="11"/>
      <x:c r="F589" s="11"/>
      <x:c r="G589" s="11"/>
      <x:c r="H589" s="11"/>
      <x:c r="I589" s="11"/>
      <x:c r="J589" s="11"/>
      <x:c r="K589" s="12" t="str">
        <x:f>IF(A589="","",E589*F589+G589*H589+I589*J589)</x:f>
      </x:c>
      <x:c r="L589" s="9"/>
      <x:c r="M589" s="9" t="str">
        <x:f>IF(A589="","",INDEX('입고대장'!$M$7:$M$1006,MATCH(A589,'입고대장'!$A$7:$A$1006,0)))</x:f>
      </x:c>
      <x:c r="N589" s="9"/>
    </x:row>
    <x:row r="590" ht="23" customHeight="1">
      <x:c r="A590" s="9"/>
      <x:c r="B590" s="10"/>
      <x:c r="C590" s="11"/>
      <x:c r="D590" s="11"/>
      <x:c r="E590" s="11"/>
      <x:c r="F590" s="11"/>
      <x:c r="G590" s="11"/>
      <x:c r="H590" s="11"/>
      <x:c r="I590" s="11"/>
      <x:c r="J590" s="11"/>
      <x:c r="K590" s="12" t="str">
        <x:f>IF(A590="","",E590*F590+G590*H590+I590*J590)</x:f>
      </x:c>
      <x:c r="L590" s="9"/>
      <x:c r="M590" s="9" t="str">
        <x:f>IF(A590="","",INDEX('입고대장'!$M$7:$M$1006,MATCH(A590,'입고대장'!$A$7:$A$1006,0)))</x:f>
      </x:c>
      <x:c r="N590" s="9"/>
    </x:row>
    <x:row r="591" ht="23" customHeight="1">
      <x:c r="A591" s="9"/>
      <x:c r="B591" s="10"/>
      <x:c r="C591" s="11"/>
      <x:c r="D591" s="11"/>
      <x:c r="E591" s="11"/>
      <x:c r="F591" s="11"/>
      <x:c r="G591" s="11"/>
      <x:c r="H591" s="11"/>
      <x:c r="I591" s="11"/>
      <x:c r="J591" s="11"/>
      <x:c r="K591" s="12" t="str">
        <x:f>IF(A591="","",E591*F591+G591*H591+I591*J591)</x:f>
      </x:c>
      <x:c r="L591" s="9"/>
      <x:c r="M591" s="9" t="str">
        <x:f>IF(A591="","",INDEX('입고대장'!$M$7:$M$1006,MATCH(A591,'입고대장'!$A$7:$A$1006,0)))</x:f>
      </x:c>
      <x:c r="N591" s="9"/>
    </x:row>
    <x:row r="592" ht="23" customHeight="1">
      <x:c r="A592" s="9"/>
      <x:c r="B592" s="10"/>
      <x:c r="C592" s="11"/>
      <x:c r="D592" s="11"/>
      <x:c r="E592" s="11"/>
      <x:c r="F592" s="11"/>
      <x:c r="G592" s="11"/>
      <x:c r="H592" s="11"/>
      <x:c r="I592" s="11"/>
      <x:c r="J592" s="11"/>
      <x:c r="K592" s="12" t="str">
        <x:f>IF(A592="","",E592*F592+G592*H592+I592*J592)</x:f>
      </x:c>
      <x:c r="L592" s="9"/>
      <x:c r="M592" s="9" t="str">
        <x:f>IF(A592="","",INDEX('입고대장'!$M$7:$M$1006,MATCH(A592,'입고대장'!$A$7:$A$1006,0)))</x:f>
      </x:c>
      <x:c r="N592" s="9"/>
    </x:row>
    <x:row r="593" ht="23" customHeight="1">
      <x:c r="A593" s="9"/>
      <x:c r="B593" s="10"/>
      <x:c r="C593" s="11"/>
      <x:c r="D593" s="11"/>
      <x:c r="E593" s="11"/>
      <x:c r="F593" s="11"/>
      <x:c r="G593" s="11"/>
      <x:c r="H593" s="11"/>
      <x:c r="I593" s="11"/>
      <x:c r="J593" s="11"/>
      <x:c r="K593" s="12" t="str">
        <x:f>IF(A593="","",E593*F593+G593*H593+I593*J593)</x:f>
      </x:c>
      <x:c r="L593" s="9"/>
      <x:c r="M593" s="9" t="str">
        <x:f>IF(A593="","",INDEX('입고대장'!$M$7:$M$1006,MATCH(A593,'입고대장'!$A$7:$A$1006,0)))</x:f>
      </x:c>
      <x:c r="N593" s="9"/>
    </x:row>
    <x:row r="594" ht="23" customHeight="1">
      <x:c r="A594" s="9"/>
      <x:c r="B594" s="10"/>
      <x:c r="C594" s="11"/>
      <x:c r="D594" s="11"/>
      <x:c r="E594" s="11"/>
      <x:c r="F594" s="11"/>
      <x:c r="G594" s="11"/>
      <x:c r="H594" s="11"/>
      <x:c r="I594" s="11"/>
      <x:c r="J594" s="11"/>
      <x:c r="K594" s="12" t="str">
        <x:f>IF(A594="","",E594*F594+G594*H594+I594*J594)</x:f>
      </x:c>
      <x:c r="L594" s="9"/>
      <x:c r="M594" s="9" t="str">
        <x:f>IF(A594="","",INDEX('입고대장'!$M$7:$M$1006,MATCH(A594,'입고대장'!$A$7:$A$1006,0)))</x:f>
      </x:c>
      <x:c r="N594" s="9"/>
    </x:row>
    <x:row r="595" ht="23" customHeight="1">
      <x:c r="A595" s="9"/>
      <x:c r="B595" s="10"/>
      <x:c r="C595" s="11"/>
      <x:c r="D595" s="11"/>
      <x:c r="E595" s="11"/>
      <x:c r="F595" s="11"/>
      <x:c r="G595" s="11"/>
      <x:c r="H595" s="11"/>
      <x:c r="I595" s="11"/>
      <x:c r="J595" s="11"/>
      <x:c r="K595" s="12" t="str">
        <x:f>IF(A595="","",E595*F595+G595*H595+I595*J595)</x:f>
      </x:c>
      <x:c r="L595" s="9"/>
      <x:c r="M595" s="9" t="str">
        <x:f>IF(A595="","",INDEX('입고대장'!$M$7:$M$1006,MATCH(A595,'입고대장'!$A$7:$A$1006,0)))</x:f>
      </x:c>
      <x:c r="N595" s="9"/>
    </x:row>
    <x:row r="596" ht="23" customHeight="1">
      <x:c r="A596" s="9"/>
      <x:c r="B596" s="10"/>
      <x:c r="C596" s="11"/>
      <x:c r="D596" s="11"/>
      <x:c r="E596" s="11"/>
      <x:c r="F596" s="11"/>
      <x:c r="G596" s="11"/>
      <x:c r="H596" s="11"/>
      <x:c r="I596" s="11"/>
      <x:c r="J596" s="11"/>
      <x:c r="K596" s="12" t="str">
        <x:f>IF(A596="","",E596*F596+G596*H596+I596*J596)</x:f>
      </x:c>
      <x:c r="L596" s="9"/>
      <x:c r="M596" s="9" t="str">
        <x:f>IF(A596="","",INDEX('입고대장'!$M$7:$M$1006,MATCH(A596,'입고대장'!$A$7:$A$1006,0)))</x:f>
      </x:c>
      <x:c r="N596" s="9"/>
    </x:row>
    <x:row r="597" ht="23" customHeight="1">
      <x:c r="A597" s="9"/>
      <x:c r="B597" s="10"/>
      <x:c r="C597" s="11"/>
      <x:c r="D597" s="11"/>
      <x:c r="E597" s="11"/>
      <x:c r="F597" s="11"/>
      <x:c r="G597" s="11"/>
      <x:c r="H597" s="11"/>
      <x:c r="I597" s="11"/>
      <x:c r="J597" s="11"/>
      <x:c r="K597" s="12" t="str">
        <x:f>IF(A597="","",E597*F597+G597*H597+I597*J597)</x:f>
      </x:c>
      <x:c r="L597" s="9"/>
      <x:c r="M597" s="9" t="str">
        <x:f>IF(A597="","",INDEX('입고대장'!$M$7:$M$1006,MATCH(A597,'입고대장'!$A$7:$A$1006,0)))</x:f>
      </x:c>
      <x:c r="N597" s="9"/>
    </x:row>
    <x:row r="598" ht="23" customHeight="1">
      <x:c r="A598" s="9"/>
      <x:c r="B598" s="10"/>
      <x:c r="C598" s="11"/>
      <x:c r="D598" s="11"/>
      <x:c r="E598" s="11"/>
      <x:c r="F598" s="11"/>
      <x:c r="G598" s="11"/>
      <x:c r="H598" s="11"/>
      <x:c r="I598" s="11"/>
      <x:c r="J598" s="11"/>
      <x:c r="K598" s="12" t="str">
        <x:f>IF(A598="","",E598*F598+G598*H598+I598*J598)</x:f>
      </x:c>
      <x:c r="L598" s="9"/>
      <x:c r="M598" s="9" t="str">
        <x:f>IF(A598="","",INDEX('입고대장'!$M$7:$M$1006,MATCH(A598,'입고대장'!$A$7:$A$1006,0)))</x:f>
      </x:c>
      <x:c r="N598" s="9"/>
    </x:row>
    <x:row r="599" ht="23" customHeight="1">
      <x:c r="A599" s="9"/>
      <x:c r="B599" s="10"/>
      <x:c r="C599" s="11"/>
      <x:c r="D599" s="11"/>
      <x:c r="E599" s="11"/>
      <x:c r="F599" s="11"/>
      <x:c r="G599" s="11"/>
      <x:c r="H599" s="11"/>
      <x:c r="I599" s="11"/>
      <x:c r="J599" s="11"/>
      <x:c r="K599" s="12" t="str">
        <x:f>IF(A599="","",E599*F599+G599*H599+I599*J599)</x:f>
      </x:c>
      <x:c r="L599" s="9"/>
      <x:c r="M599" s="9" t="str">
        <x:f>IF(A599="","",INDEX('입고대장'!$M$7:$M$1006,MATCH(A599,'입고대장'!$A$7:$A$1006,0)))</x:f>
      </x:c>
      <x:c r="N599" s="9"/>
    </x:row>
    <x:row r="600" ht="23" customHeight="1">
      <x:c r="A600" s="9"/>
      <x:c r="B600" s="10"/>
      <x:c r="C600" s="11"/>
      <x:c r="D600" s="11"/>
      <x:c r="E600" s="11"/>
      <x:c r="F600" s="11"/>
      <x:c r="G600" s="11"/>
      <x:c r="H600" s="11"/>
      <x:c r="I600" s="11"/>
      <x:c r="J600" s="11"/>
      <x:c r="K600" s="12" t="str">
        <x:f>IF(A600="","",E600*F600+G600*H600+I600*J600)</x:f>
      </x:c>
      <x:c r="L600" s="9"/>
      <x:c r="M600" s="9" t="str">
        <x:f>IF(A600="","",INDEX('입고대장'!$M$7:$M$1006,MATCH(A600,'입고대장'!$A$7:$A$1006,0)))</x:f>
      </x:c>
      <x:c r="N600" s="9"/>
    </x:row>
    <x:row r="601" ht="23" customHeight="1">
      <x:c r="A601" s="9"/>
      <x:c r="B601" s="10"/>
      <x:c r="C601" s="11"/>
      <x:c r="D601" s="11"/>
      <x:c r="E601" s="11"/>
      <x:c r="F601" s="11"/>
      <x:c r="G601" s="11"/>
      <x:c r="H601" s="11"/>
      <x:c r="I601" s="11"/>
      <x:c r="J601" s="11"/>
      <x:c r="K601" s="12" t="str">
        <x:f>IF(A601="","",E601*F601+G601*H601+I601*J601)</x:f>
      </x:c>
      <x:c r="L601" s="9"/>
      <x:c r="M601" s="9" t="str">
        <x:f>IF(A601="","",INDEX('입고대장'!$M$7:$M$1006,MATCH(A601,'입고대장'!$A$7:$A$1006,0)))</x:f>
      </x:c>
      <x:c r="N601" s="9"/>
    </x:row>
    <x:row r="602" ht="23" customHeight="1">
      <x:c r="A602" s="9"/>
      <x:c r="B602" s="10"/>
      <x:c r="C602" s="11"/>
      <x:c r="D602" s="11"/>
      <x:c r="E602" s="11"/>
      <x:c r="F602" s="11"/>
      <x:c r="G602" s="11"/>
      <x:c r="H602" s="11"/>
      <x:c r="I602" s="11"/>
      <x:c r="J602" s="11"/>
      <x:c r="K602" s="12" t="str">
        <x:f>IF(A602="","",E602*F602+G602*H602+I602*J602)</x:f>
      </x:c>
      <x:c r="L602" s="9"/>
      <x:c r="M602" s="9" t="str">
        <x:f>IF(A602="","",INDEX('입고대장'!$M$7:$M$1006,MATCH(A602,'입고대장'!$A$7:$A$1006,0)))</x:f>
      </x:c>
      <x:c r="N602" s="9"/>
    </x:row>
    <x:row r="603" ht="23" customHeight="1">
      <x:c r="A603" s="9"/>
      <x:c r="B603" s="10"/>
      <x:c r="C603" s="11"/>
      <x:c r="D603" s="11"/>
      <x:c r="E603" s="11"/>
      <x:c r="F603" s="11"/>
      <x:c r="G603" s="11"/>
      <x:c r="H603" s="11"/>
      <x:c r="I603" s="11"/>
      <x:c r="J603" s="11"/>
      <x:c r="K603" s="12" t="str">
        <x:f>IF(A603="","",E603*F603+G603*H603+I603*J603)</x:f>
      </x:c>
      <x:c r="L603" s="9"/>
      <x:c r="M603" s="9" t="str">
        <x:f>IF(A603="","",INDEX('입고대장'!$M$7:$M$1006,MATCH(A603,'입고대장'!$A$7:$A$1006,0)))</x:f>
      </x:c>
      <x:c r="N603" s="9"/>
    </x:row>
    <x:row r="604" ht="23" customHeight="1">
      <x:c r="A604" s="9"/>
      <x:c r="B604" s="10"/>
      <x:c r="C604" s="11"/>
      <x:c r="D604" s="11"/>
      <x:c r="E604" s="11"/>
      <x:c r="F604" s="11"/>
      <x:c r="G604" s="11"/>
      <x:c r="H604" s="11"/>
      <x:c r="I604" s="11"/>
      <x:c r="J604" s="11"/>
      <x:c r="K604" s="12" t="str">
        <x:f>IF(A604="","",E604*F604+G604*H604+I604*J604)</x:f>
      </x:c>
      <x:c r="L604" s="9"/>
      <x:c r="M604" s="9" t="str">
        <x:f>IF(A604="","",INDEX('입고대장'!$M$7:$M$1006,MATCH(A604,'입고대장'!$A$7:$A$1006,0)))</x:f>
      </x:c>
      <x:c r="N604" s="9"/>
    </x:row>
    <x:row r="605" ht="23" customHeight="1">
      <x:c r="A605" s="9"/>
      <x:c r="B605" s="10"/>
      <x:c r="C605" s="11"/>
      <x:c r="D605" s="11"/>
      <x:c r="E605" s="11"/>
      <x:c r="F605" s="11"/>
      <x:c r="G605" s="11"/>
      <x:c r="H605" s="11"/>
      <x:c r="I605" s="11"/>
      <x:c r="J605" s="11"/>
      <x:c r="K605" s="12" t="str">
        <x:f>IF(A605="","",E605*F605+G605*H605+I605*J605)</x:f>
      </x:c>
      <x:c r="L605" s="9"/>
      <x:c r="M605" s="9" t="str">
        <x:f>IF(A605="","",INDEX('입고대장'!$M$7:$M$1006,MATCH(A605,'입고대장'!$A$7:$A$1006,0)))</x:f>
      </x:c>
      <x:c r="N605" s="9"/>
    </x:row>
    <x:row r="606" ht="23" customHeight="1">
      <x:c r="A606" s="9"/>
      <x:c r="B606" s="10"/>
      <x:c r="C606" s="11"/>
      <x:c r="D606" s="11"/>
      <x:c r="E606" s="11"/>
      <x:c r="F606" s="11"/>
      <x:c r="G606" s="11"/>
      <x:c r="H606" s="11"/>
      <x:c r="I606" s="11"/>
      <x:c r="J606" s="11"/>
      <x:c r="K606" s="12" t="str">
        <x:f>IF(A606="","",E606*F606+G606*H606+I606*J606)</x:f>
      </x:c>
      <x:c r="L606" s="9"/>
      <x:c r="M606" s="9" t="str">
        <x:f>IF(A606="","",INDEX('입고대장'!$M$7:$M$1006,MATCH(A606,'입고대장'!$A$7:$A$1006,0)))</x:f>
      </x:c>
      <x:c r="N606" s="9"/>
    </x:row>
    <x:row r="607" ht="23" customHeight="1">
      <x:c r="A607" s="9"/>
      <x:c r="B607" s="10"/>
      <x:c r="C607" s="11"/>
      <x:c r="D607" s="11"/>
      <x:c r="E607" s="11"/>
      <x:c r="F607" s="11"/>
      <x:c r="G607" s="11"/>
      <x:c r="H607" s="11"/>
      <x:c r="I607" s="11"/>
      <x:c r="J607" s="11"/>
      <x:c r="K607" s="12" t="str">
        <x:f>IF(A607="","",E607*F607+G607*H607+I607*J607)</x:f>
      </x:c>
      <x:c r="L607" s="9"/>
      <x:c r="M607" s="9" t="str">
        <x:f>IF(A607="","",INDEX('입고대장'!$M$7:$M$1006,MATCH(A607,'입고대장'!$A$7:$A$1006,0)))</x:f>
      </x:c>
      <x:c r="N607" s="9"/>
    </x:row>
    <x:row r="608" ht="23" customHeight="1">
      <x:c r="A608" s="9"/>
      <x:c r="B608" s="10"/>
      <x:c r="C608" s="11"/>
      <x:c r="D608" s="11"/>
      <x:c r="E608" s="11"/>
      <x:c r="F608" s="11"/>
      <x:c r="G608" s="11"/>
      <x:c r="H608" s="11"/>
      <x:c r="I608" s="11"/>
      <x:c r="J608" s="11"/>
      <x:c r="K608" s="12" t="str">
        <x:f>IF(A608="","",E608*F608+G608*H608+I608*J608)</x:f>
      </x:c>
      <x:c r="L608" s="9"/>
      <x:c r="M608" s="9" t="str">
        <x:f>IF(A608="","",INDEX('입고대장'!$M$7:$M$1006,MATCH(A608,'입고대장'!$A$7:$A$1006,0)))</x:f>
      </x:c>
      <x:c r="N608" s="9"/>
    </x:row>
    <x:row r="609" ht="23" customHeight="1">
      <x:c r="A609" s="9"/>
      <x:c r="B609" s="10"/>
      <x:c r="C609" s="11"/>
      <x:c r="D609" s="11"/>
      <x:c r="E609" s="11"/>
      <x:c r="F609" s="11"/>
      <x:c r="G609" s="11"/>
      <x:c r="H609" s="11"/>
      <x:c r="I609" s="11"/>
      <x:c r="J609" s="11"/>
      <x:c r="K609" s="12" t="str">
        <x:f>IF(A609="","",E609*F609+G609*H609+I609*J609)</x:f>
      </x:c>
      <x:c r="L609" s="9"/>
      <x:c r="M609" s="9" t="str">
        <x:f>IF(A609="","",INDEX('입고대장'!$M$7:$M$1006,MATCH(A609,'입고대장'!$A$7:$A$1006,0)))</x:f>
      </x:c>
      <x:c r="N609" s="9"/>
    </x:row>
    <x:row r="610" ht="23" customHeight="1">
      <x:c r="A610" s="9"/>
      <x:c r="B610" s="10"/>
      <x:c r="C610" s="11"/>
      <x:c r="D610" s="11"/>
      <x:c r="E610" s="11"/>
      <x:c r="F610" s="11"/>
      <x:c r="G610" s="11"/>
      <x:c r="H610" s="11"/>
      <x:c r="I610" s="11"/>
      <x:c r="J610" s="11"/>
      <x:c r="K610" s="12" t="str">
        <x:f>IF(A610="","",E610*F610+G610*H610+I610*J610)</x:f>
      </x:c>
      <x:c r="L610" s="9"/>
      <x:c r="M610" s="9" t="str">
        <x:f>IF(A610="","",INDEX('입고대장'!$M$7:$M$1006,MATCH(A610,'입고대장'!$A$7:$A$1006,0)))</x:f>
      </x:c>
      <x:c r="N610" s="9"/>
    </x:row>
    <x:row r="611" ht="23" customHeight="1">
      <x:c r="A611" s="9"/>
      <x:c r="B611" s="10"/>
      <x:c r="C611" s="11"/>
      <x:c r="D611" s="11"/>
      <x:c r="E611" s="11"/>
      <x:c r="F611" s="11"/>
      <x:c r="G611" s="11"/>
      <x:c r="H611" s="11"/>
      <x:c r="I611" s="11"/>
      <x:c r="J611" s="11"/>
      <x:c r="K611" s="12" t="str">
        <x:f>IF(A611="","",E611*F611+G611*H611+I611*J611)</x:f>
      </x:c>
      <x:c r="L611" s="9"/>
      <x:c r="M611" s="9" t="str">
        <x:f>IF(A611="","",INDEX('입고대장'!$M$7:$M$1006,MATCH(A611,'입고대장'!$A$7:$A$1006,0)))</x:f>
      </x:c>
      <x:c r="N611" s="9"/>
    </x:row>
    <x:row r="612" ht="23" customHeight="1">
      <x:c r="A612" s="9"/>
      <x:c r="B612" s="10"/>
      <x:c r="C612" s="11"/>
      <x:c r="D612" s="11"/>
      <x:c r="E612" s="11"/>
      <x:c r="F612" s="11"/>
      <x:c r="G612" s="11"/>
      <x:c r="H612" s="11"/>
      <x:c r="I612" s="11"/>
      <x:c r="J612" s="11"/>
      <x:c r="K612" s="12" t="str">
        <x:f>IF(A612="","",E612*F612+G612*H612+I612*J612)</x:f>
      </x:c>
      <x:c r="L612" s="9"/>
      <x:c r="M612" s="9" t="str">
        <x:f>IF(A612="","",INDEX('입고대장'!$M$7:$M$1006,MATCH(A612,'입고대장'!$A$7:$A$1006,0)))</x:f>
      </x:c>
      <x:c r="N612" s="9"/>
    </x:row>
    <x:row r="613" ht="23" customHeight="1">
      <x:c r="A613" s="9"/>
      <x:c r="B613" s="10"/>
      <x:c r="C613" s="11"/>
      <x:c r="D613" s="11"/>
      <x:c r="E613" s="11"/>
      <x:c r="F613" s="11"/>
      <x:c r="G613" s="11"/>
      <x:c r="H613" s="11"/>
      <x:c r="I613" s="11"/>
      <x:c r="J613" s="11"/>
      <x:c r="K613" s="12" t="str">
        <x:f>IF(A613="","",E613*F613+G613*H613+I613*J613)</x:f>
      </x:c>
      <x:c r="L613" s="9"/>
      <x:c r="M613" s="9" t="str">
        <x:f>IF(A613="","",INDEX('입고대장'!$M$7:$M$1006,MATCH(A613,'입고대장'!$A$7:$A$1006,0)))</x:f>
      </x:c>
      <x:c r="N613" s="9"/>
    </x:row>
    <x:row r="614" ht="23" customHeight="1">
      <x:c r="A614" s="9"/>
      <x:c r="B614" s="10"/>
      <x:c r="C614" s="11"/>
      <x:c r="D614" s="11"/>
      <x:c r="E614" s="11"/>
      <x:c r="F614" s="11"/>
      <x:c r="G614" s="11"/>
      <x:c r="H614" s="11"/>
      <x:c r="I614" s="11"/>
      <x:c r="J614" s="11"/>
      <x:c r="K614" s="12" t="str">
        <x:f>IF(A614="","",E614*F614+G614*H614+I614*J614)</x:f>
      </x:c>
      <x:c r="L614" s="9"/>
      <x:c r="M614" s="9" t="str">
        <x:f>IF(A614="","",INDEX('입고대장'!$M$7:$M$1006,MATCH(A614,'입고대장'!$A$7:$A$1006,0)))</x:f>
      </x:c>
      <x:c r="N614" s="9"/>
    </x:row>
    <x:row r="615" ht="23" customHeight="1">
      <x:c r="A615" s="9"/>
      <x:c r="B615" s="10"/>
      <x:c r="C615" s="11"/>
      <x:c r="D615" s="11"/>
      <x:c r="E615" s="11"/>
      <x:c r="F615" s="11"/>
      <x:c r="G615" s="11"/>
      <x:c r="H615" s="11"/>
      <x:c r="I615" s="11"/>
      <x:c r="J615" s="11"/>
      <x:c r="K615" s="12" t="str">
        <x:f>IF(A615="","",E615*F615+G615*H615+I615*J615)</x:f>
      </x:c>
      <x:c r="L615" s="9"/>
      <x:c r="M615" s="9" t="str">
        <x:f>IF(A615="","",INDEX('입고대장'!$M$7:$M$1006,MATCH(A615,'입고대장'!$A$7:$A$1006,0)))</x:f>
      </x:c>
      <x:c r="N615" s="9"/>
    </x:row>
    <x:row r="616" ht="23" customHeight="1">
      <x:c r="A616" s="9"/>
      <x:c r="B616" s="10"/>
      <x:c r="C616" s="11"/>
      <x:c r="D616" s="11"/>
      <x:c r="E616" s="11"/>
      <x:c r="F616" s="11"/>
      <x:c r="G616" s="11"/>
      <x:c r="H616" s="11"/>
      <x:c r="I616" s="11"/>
      <x:c r="J616" s="11"/>
      <x:c r="K616" s="12" t="str">
        <x:f>IF(A616="","",E616*F616+G616*H616+I616*J616)</x:f>
      </x:c>
      <x:c r="L616" s="9"/>
      <x:c r="M616" s="9" t="str">
        <x:f>IF(A616="","",INDEX('입고대장'!$M$7:$M$1006,MATCH(A616,'입고대장'!$A$7:$A$1006,0)))</x:f>
      </x:c>
      <x:c r="N616" s="9"/>
    </x:row>
    <x:row r="617" ht="23" customHeight="1">
      <x:c r="A617" s="9"/>
      <x:c r="B617" s="10"/>
      <x:c r="C617" s="11"/>
      <x:c r="D617" s="11"/>
      <x:c r="E617" s="11"/>
      <x:c r="F617" s="11"/>
      <x:c r="G617" s="11"/>
      <x:c r="H617" s="11"/>
      <x:c r="I617" s="11"/>
      <x:c r="J617" s="11"/>
      <x:c r="K617" s="12" t="str">
        <x:f>IF(A617="","",E617*F617+G617*H617+I617*J617)</x:f>
      </x:c>
      <x:c r="L617" s="9"/>
      <x:c r="M617" s="9" t="str">
        <x:f>IF(A617="","",INDEX('입고대장'!$M$7:$M$1006,MATCH(A617,'입고대장'!$A$7:$A$1006,0)))</x:f>
      </x:c>
      <x:c r="N617" s="9"/>
    </x:row>
    <x:row r="618" ht="23" customHeight="1">
      <x:c r="A618" s="9"/>
      <x:c r="B618" s="10"/>
      <x:c r="C618" s="11"/>
      <x:c r="D618" s="11"/>
      <x:c r="E618" s="11"/>
      <x:c r="F618" s="11"/>
      <x:c r="G618" s="11"/>
      <x:c r="H618" s="11"/>
      <x:c r="I618" s="11"/>
      <x:c r="J618" s="11"/>
      <x:c r="K618" s="12" t="str">
        <x:f>IF(A618="","",E618*F618+G618*H618+I618*J618)</x:f>
      </x:c>
      <x:c r="L618" s="9"/>
      <x:c r="M618" s="9" t="str">
        <x:f>IF(A618="","",INDEX('입고대장'!$M$7:$M$1006,MATCH(A618,'입고대장'!$A$7:$A$1006,0)))</x:f>
      </x:c>
      <x:c r="N618" s="9"/>
    </x:row>
    <x:row r="619" ht="23" customHeight="1">
      <x:c r="A619" s="9"/>
      <x:c r="B619" s="10"/>
      <x:c r="C619" s="11"/>
      <x:c r="D619" s="11"/>
      <x:c r="E619" s="11"/>
      <x:c r="F619" s="11"/>
      <x:c r="G619" s="11"/>
      <x:c r="H619" s="11"/>
      <x:c r="I619" s="11"/>
      <x:c r="J619" s="11"/>
      <x:c r="K619" s="12" t="str">
        <x:f>IF(A619="","",E619*F619+G619*H619+I619*J619)</x:f>
      </x:c>
      <x:c r="L619" s="9"/>
      <x:c r="M619" s="9" t="str">
        <x:f>IF(A619="","",INDEX('입고대장'!$M$7:$M$1006,MATCH(A619,'입고대장'!$A$7:$A$1006,0)))</x:f>
      </x:c>
      <x:c r="N619" s="9"/>
    </x:row>
    <x:row r="620" ht="23" customHeight="1">
      <x:c r="A620" s="9"/>
      <x:c r="B620" s="10"/>
      <x:c r="C620" s="11"/>
      <x:c r="D620" s="11"/>
      <x:c r="E620" s="11"/>
      <x:c r="F620" s="11"/>
      <x:c r="G620" s="11"/>
      <x:c r="H620" s="11"/>
      <x:c r="I620" s="11"/>
      <x:c r="J620" s="11"/>
      <x:c r="K620" s="12" t="str">
        <x:f>IF(A620="","",E620*F620+G620*H620+I620*J620)</x:f>
      </x:c>
      <x:c r="L620" s="9"/>
      <x:c r="M620" s="9" t="str">
        <x:f>IF(A620="","",INDEX('입고대장'!$M$7:$M$1006,MATCH(A620,'입고대장'!$A$7:$A$1006,0)))</x:f>
      </x:c>
      <x:c r="N620" s="9"/>
    </x:row>
    <x:row r="621" ht="23" customHeight="1">
      <x:c r="A621" s="9"/>
      <x:c r="B621" s="10"/>
      <x:c r="C621" s="11"/>
      <x:c r="D621" s="11"/>
      <x:c r="E621" s="11"/>
      <x:c r="F621" s="11"/>
      <x:c r="G621" s="11"/>
      <x:c r="H621" s="11"/>
      <x:c r="I621" s="11"/>
      <x:c r="J621" s="11"/>
      <x:c r="K621" s="12" t="str">
        <x:f>IF(A621="","",E621*F621+G621*H621+I621*J621)</x:f>
      </x:c>
      <x:c r="L621" s="9"/>
      <x:c r="M621" s="9" t="str">
        <x:f>IF(A621="","",INDEX('입고대장'!$M$7:$M$1006,MATCH(A621,'입고대장'!$A$7:$A$1006,0)))</x:f>
      </x:c>
      <x:c r="N621" s="9"/>
    </x:row>
    <x:row r="622" ht="23" customHeight="1">
      <x:c r="A622" s="9"/>
      <x:c r="B622" s="10"/>
      <x:c r="C622" s="11"/>
      <x:c r="D622" s="11"/>
      <x:c r="E622" s="11"/>
      <x:c r="F622" s="11"/>
      <x:c r="G622" s="11"/>
      <x:c r="H622" s="11"/>
      <x:c r="I622" s="11"/>
      <x:c r="J622" s="11"/>
      <x:c r="K622" s="12" t="str">
        <x:f>IF(A622="","",E622*F622+G622*H622+I622*J622)</x:f>
      </x:c>
      <x:c r="L622" s="9"/>
      <x:c r="M622" s="9" t="str">
        <x:f>IF(A622="","",INDEX('입고대장'!$M$7:$M$1006,MATCH(A622,'입고대장'!$A$7:$A$1006,0)))</x:f>
      </x:c>
      <x:c r="N622" s="9"/>
    </x:row>
    <x:row r="623" ht="23" customHeight="1">
      <x:c r="A623" s="9"/>
      <x:c r="B623" s="10"/>
      <x:c r="C623" s="11"/>
      <x:c r="D623" s="11"/>
      <x:c r="E623" s="11"/>
      <x:c r="F623" s="11"/>
      <x:c r="G623" s="11"/>
      <x:c r="H623" s="11"/>
      <x:c r="I623" s="11"/>
      <x:c r="J623" s="11"/>
      <x:c r="K623" s="12" t="str">
        <x:f>IF(A623="","",E623*F623+G623*H623+I623*J623)</x:f>
      </x:c>
      <x:c r="L623" s="9"/>
      <x:c r="M623" s="9" t="str">
        <x:f>IF(A623="","",INDEX('입고대장'!$M$7:$M$1006,MATCH(A623,'입고대장'!$A$7:$A$1006,0)))</x:f>
      </x:c>
      <x:c r="N623" s="9"/>
    </x:row>
    <x:row r="624" ht="23" customHeight="1">
      <x:c r="A624" s="9"/>
      <x:c r="B624" s="10"/>
      <x:c r="C624" s="11"/>
      <x:c r="D624" s="11"/>
      <x:c r="E624" s="11"/>
      <x:c r="F624" s="11"/>
      <x:c r="G624" s="11"/>
      <x:c r="H624" s="11"/>
      <x:c r="I624" s="11"/>
      <x:c r="J624" s="11"/>
      <x:c r="K624" s="12" t="str">
        <x:f>IF(A624="","",E624*F624+G624*H624+I624*J624)</x:f>
      </x:c>
      <x:c r="L624" s="9"/>
      <x:c r="M624" s="9" t="str">
        <x:f>IF(A624="","",INDEX('입고대장'!$M$7:$M$1006,MATCH(A624,'입고대장'!$A$7:$A$1006,0)))</x:f>
      </x:c>
      <x:c r="N624" s="9"/>
    </x:row>
    <x:row r="625" ht="23" customHeight="1">
      <x:c r="A625" s="9"/>
      <x:c r="B625" s="10"/>
      <x:c r="C625" s="11"/>
      <x:c r="D625" s="11"/>
      <x:c r="E625" s="11"/>
      <x:c r="F625" s="11"/>
      <x:c r="G625" s="11"/>
      <x:c r="H625" s="11"/>
      <x:c r="I625" s="11"/>
      <x:c r="J625" s="11"/>
      <x:c r="K625" s="12" t="str">
        <x:f>IF(A625="","",E625*F625+G625*H625+I625*J625)</x:f>
      </x:c>
      <x:c r="L625" s="9"/>
      <x:c r="M625" s="9" t="str">
        <x:f>IF(A625="","",INDEX('입고대장'!$M$7:$M$1006,MATCH(A625,'입고대장'!$A$7:$A$1006,0)))</x:f>
      </x:c>
      <x:c r="N625" s="9"/>
    </x:row>
    <x:row r="626" ht="23" customHeight="1">
      <x:c r="A626" s="9"/>
      <x:c r="B626" s="10"/>
      <x:c r="C626" s="11"/>
      <x:c r="D626" s="11"/>
      <x:c r="E626" s="11"/>
      <x:c r="F626" s="11"/>
      <x:c r="G626" s="11"/>
      <x:c r="H626" s="11"/>
      <x:c r="I626" s="11"/>
      <x:c r="J626" s="11"/>
      <x:c r="K626" s="12" t="str">
        <x:f>IF(A626="","",E626*F626+G626*H626+I626*J626)</x:f>
      </x:c>
      <x:c r="L626" s="9"/>
      <x:c r="M626" s="9" t="str">
        <x:f>IF(A626="","",INDEX('입고대장'!$M$7:$M$1006,MATCH(A626,'입고대장'!$A$7:$A$1006,0)))</x:f>
      </x:c>
      <x:c r="N626" s="9"/>
    </x:row>
    <x:row r="627" ht="23" customHeight="1">
      <x:c r="A627" s="9"/>
      <x:c r="B627" s="10"/>
      <x:c r="C627" s="11"/>
      <x:c r="D627" s="11"/>
      <x:c r="E627" s="11"/>
      <x:c r="F627" s="11"/>
      <x:c r="G627" s="11"/>
      <x:c r="H627" s="11"/>
      <x:c r="I627" s="11"/>
      <x:c r="J627" s="11"/>
      <x:c r="K627" s="12" t="str">
        <x:f>IF(A627="","",E627*F627+G627*H627+I627*J627)</x:f>
      </x:c>
      <x:c r="L627" s="9"/>
      <x:c r="M627" s="9" t="str">
        <x:f>IF(A627="","",INDEX('입고대장'!$M$7:$M$1006,MATCH(A627,'입고대장'!$A$7:$A$1006,0)))</x:f>
      </x:c>
      <x:c r="N627" s="9"/>
    </x:row>
    <x:row r="628" ht="23" customHeight="1">
      <x:c r="A628" s="9"/>
      <x:c r="B628" s="10"/>
      <x:c r="C628" s="11"/>
      <x:c r="D628" s="11"/>
      <x:c r="E628" s="11"/>
      <x:c r="F628" s="11"/>
      <x:c r="G628" s="11"/>
      <x:c r="H628" s="11"/>
      <x:c r="I628" s="11"/>
      <x:c r="J628" s="11"/>
      <x:c r="K628" s="12" t="str">
        <x:f>IF(A628="","",E628*F628+G628*H628+I628*J628)</x:f>
      </x:c>
      <x:c r="L628" s="9"/>
      <x:c r="M628" s="9" t="str">
        <x:f>IF(A628="","",INDEX('입고대장'!$M$7:$M$1006,MATCH(A628,'입고대장'!$A$7:$A$1006,0)))</x:f>
      </x:c>
      <x:c r="N628" s="9"/>
    </x:row>
    <x:row r="629" ht="23" customHeight="1">
      <x:c r="A629" s="9"/>
      <x:c r="B629" s="10"/>
      <x:c r="C629" s="11"/>
      <x:c r="D629" s="11"/>
      <x:c r="E629" s="11"/>
      <x:c r="F629" s="11"/>
      <x:c r="G629" s="11"/>
      <x:c r="H629" s="11"/>
      <x:c r="I629" s="11"/>
      <x:c r="J629" s="11"/>
      <x:c r="K629" s="12" t="str">
        <x:f>IF(A629="","",E629*F629+G629*H629+I629*J629)</x:f>
      </x:c>
      <x:c r="L629" s="9"/>
      <x:c r="M629" s="9" t="str">
        <x:f>IF(A629="","",INDEX('입고대장'!$M$7:$M$1006,MATCH(A629,'입고대장'!$A$7:$A$1006,0)))</x:f>
      </x:c>
      <x:c r="N629" s="9"/>
    </x:row>
    <x:row r="630" ht="23" customHeight="1">
      <x:c r="A630" s="9"/>
      <x:c r="B630" s="10"/>
      <x:c r="C630" s="11"/>
      <x:c r="D630" s="11"/>
      <x:c r="E630" s="11"/>
      <x:c r="F630" s="11"/>
      <x:c r="G630" s="11"/>
      <x:c r="H630" s="11"/>
      <x:c r="I630" s="11"/>
      <x:c r="J630" s="11"/>
      <x:c r="K630" s="12" t="str">
        <x:f>IF(A630="","",E630*F630+G630*H630+I630*J630)</x:f>
      </x:c>
      <x:c r="L630" s="9"/>
      <x:c r="M630" s="9" t="str">
        <x:f>IF(A630="","",INDEX('입고대장'!$M$7:$M$1006,MATCH(A630,'입고대장'!$A$7:$A$1006,0)))</x:f>
      </x:c>
      <x:c r="N630" s="9"/>
    </x:row>
    <x:row r="631" ht="23" customHeight="1">
      <x:c r="A631" s="9"/>
      <x:c r="B631" s="10"/>
      <x:c r="C631" s="11"/>
      <x:c r="D631" s="11"/>
      <x:c r="E631" s="11"/>
      <x:c r="F631" s="11"/>
      <x:c r="G631" s="11"/>
      <x:c r="H631" s="11"/>
      <x:c r="I631" s="11"/>
      <x:c r="J631" s="11"/>
      <x:c r="K631" s="12" t="str">
        <x:f>IF(A631="","",E631*F631+G631*H631+I631*J631)</x:f>
      </x:c>
      <x:c r="L631" s="9"/>
      <x:c r="M631" s="9" t="str">
        <x:f>IF(A631="","",INDEX('입고대장'!$M$7:$M$1006,MATCH(A631,'입고대장'!$A$7:$A$1006,0)))</x:f>
      </x:c>
      <x:c r="N631" s="9"/>
    </x:row>
    <x:row r="632" ht="23" customHeight="1">
      <x:c r="A632" s="9"/>
      <x:c r="B632" s="10"/>
      <x:c r="C632" s="11"/>
      <x:c r="D632" s="11"/>
      <x:c r="E632" s="11"/>
      <x:c r="F632" s="11"/>
      <x:c r="G632" s="11"/>
      <x:c r="H632" s="11"/>
      <x:c r="I632" s="11"/>
      <x:c r="J632" s="11"/>
      <x:c r="K632" s="12" t="str">
        <x:f>IF(A632="","",E632*F632+G632*H632+I632*J632)</x:f>
      </x:c>
      <x:c r="L632" s="9"/>
      <x:c r="M632" s="9" t="str">
        <x:f>IF(A632="","",INDEX('입고대장'!$M$7:$M$1006,MATCH(A632,'입고대장'!$A$7:$A$1006,0)))</x:f>
      </x:c>
      <x:c r="N632" s="9"/>
    </x:row>
    <x:row r="633" ht="23" customHeight="1">
      <x:c r="A633" s="9"/>
      <x:c r="B633" s="10"/>
      <x:c r="C633" s="11"/>
      <x:c r="D633" s="11"/>
      <x:c r="E633" s="11"/>
      <x:c r="F633" s="11"/>
      <x:c r="G633" s="11"/>
      <x:c r="H633" s="11"/>
      <x:c r="I633" s="11"/>
      <x:c r="J633" s="11"/>
      <x:c r="K633" s="12" t="str">
        <x:f>IF(A633="","",E633*F633+G633*H633+I633*J633)</x:f>
      </x:c>
      <x:c r="L633" s="9"/>
      <x:c r="M633" s="9" t="str">
        <x:f>IF(A633="","",INDEX('입고대장'!$M$7:$M$1006,MATCH(A633,'입고대장'!$A$7:$A$1006,0)))</x:f>
      </x:c>
      <x:c r="N633" s="9"/>
    </x:row>
    <x:row r="634" ht="23" customHeight="1">
      <x:c r="A634" s="9"/>
      <x:c r="B634" s="10"/>
      <x:c r="C634" s="11"/>
      <x:c r="D634" s="11"/>
      <x:c r="E634" s="11"/>
      <x:c r="F634" s="11"/>
      <x:c r="G634" s="11"/>
      <x:c r="H634" s="11"/>
      <x:c r="I634" s="11"/>
      <x:c r="J634" s="11"/>
      <x:c r="K634" s="12" t="str">
        <x:f>IF(A634="","",E634*F634+G634*H634+I634*J634)</x:f>
      </x:c>
      <x:c r="L634" s="9"/>
      <x:c r="M634" s="9" t="str">
        <x:f>IF(A634="","",INDEX('입고대장'!$M$7:$M$1006,MATCH(A634,'입고대장'!$A$7:$A$1006,0)))</x:f>
      </x:c>
      <x:c r="N634" s="9"/>
    </x:row>
    <x:row r="635" ht="23" customHeight="1">
      <x:c r="A635" s="9"/>
      <x:c r="B635" s="10"/>
      <x:c r="C635" s="11"/>
      <x:c r="D635" s="11"/>
      <x:c r="E635" s="11"/>
      <x:c r="F635" s="11"/>
      <x:c r="G635" s="11"/>
      <x:c r="H635" s="11"/>
      <x:c r="I635" s="11"/>
      <x:c r="J635" s="11"/>
      <x:c r="K635" s="12" t="str">
        <x:f>IF(A635="","",E635*F635+G635*H635+I635*J635)</x:f>
      </x:c>
      <x:c r="L635" s="9"/>
      <x:c r="M635" s="9" t="str">
        <x:f>IF(A635="","",INDEX('입고대장'!$M$7:$M$1006,MATCH(A635,'입고대장'!$A$7:$A$1006,0)))</x:f>
      </x:c>
      <x:c r="N635" s="9"/>
    </x:row>
    <x:row r="636" ht="23" customHeight="1">
      <x:c r="A636" s="9"/>
      <x:c r="B636" s="10"/>
      <x:c r="C636" s="11"/>
      <x:c r="D636" s="11"/>
      <x:c r="E636" s="11"/>
      <x:c r="F636" s="11"/>
      <x:c r="G636" s="11"/>
      <x:c r="H636" s="11"/>
      <x:c r="I636" s="11"/>
      <x:c r="J636" s="11"/>
      <x:c r="K636" s="12" t="str">
        <x:f>IF(A636="","",E636*F636+G636*H636+I636*J636)</x:f>
      </x:c>
      <x:c r="L636" s="9"/>
      <x:c r="M636" s="9" t="str">
        <x:f>IF(A636="","",INDEX('입고대장'!$M$7:$M$1006,MATCH(A636,'입고대장'!$A$7:$A$1006,0)))</x:f>
      </x:c>
      <x:c r="N636" s="9"/>
    </x:row>
    <x:row r="637" ht="23" customHeight="1">
      <x:c r="A637" s="9"/>
      <x:c r="B637" s="10"/>
      <x:c r="C637" s="11"/>
      <x:c r="D637" s="11"/>
      <x:c r="E637" s="11"/>
      <x:c r="F637" s="11"/>
      <x:c r="G637" s="11"/>
      <x:c r="H637" s="11"/>
      <x:c r="I637" s="11"/>
      <x:c r="J637" s="11"/>
      <x:c r="K637" s="12" t="str">
        <x:f>IF(A637="","",E637*F637+G637*H637+I637*J637)</x:f>
      </x:c>
      <x:c r="L637" s="9"/>
      <x:c r="M637" s="9" t="str">
        <x:f>IF(A637="","",INDEX('입고대장'!$M$7:$M$1006,MATCH(A637,'입고대장'!$A$7:$A$1006,0)))</x:f>
      </x:c>
      <x:c r="N637" s="9"/>
    </x:row>
    <x:row r="638" ht="23" customHeight="1">
      <x:c r="A638" s="9"/>
      <x:c r="B638" s="10"/>
      <x:c r="C638" s="11"/>
      <x:c r="D638" s="11"/>
      <x:c r="E638" s="11"/>
      <x:c r="F638" s="11"/>
      <x:c r="G638" s="11"/>
      <x:c r="H638" s="11"/>
      <x:c r="I638" s="11"/>
      <x:c r="J638" s="11"/>
      <x:c r="K638" s="12" t="str">
        <x:f>IF(A638="","",E638*F638+G638*H638+I638*J638)</x:f>
      </x:c>
      <x:c r="L638" s="9"/>
      <x:c r="M638" s="9" t="str">
        <x:f>IF(A638="","",INDEX('입고대장'!$M$7:$M$1006,MATCH(A638,'입고대장'!$A$7:$A$1006,0)))</x:f>
      </x:c>
      <x:c r="N638" s="9"/>
    </x:row>
    <x:row r="639" ht="23" customHeight="1">
      <x:c r="A639" s="9"/>
      <x:c r="B639" s="10"/>
      <x:c r="C639" s="11"/>
      <x:c r="D639" s="11"/>
      <x:c r="E639" s="11"/>
      <x:c r="F639" s="11"/>
      <x:c r="G639" s="11"/>
      <x:c r="H639" s="11"/>
      <x:c r="I639" s="11"/>
      <x:c r="J639" s="11"/>
      <x:c r="K639" s="12" t="str">
        <x:f>IF(A639="","",E639*F639+G639*H639+I639*J639)</x:f>
      </x:c>
      <x:c r="L639" s="9"/>
      <x:c r="M639" s="9" t="str">
        <x:f>IF(A639="","",INDEX('입고대장'!$M$7:$M$1006,MATCH(A639,'입고대장'!$A$7:$A$1006,0)))</x:f>
      </x:c>
      <x:c r="N639" s="9"/>
    </x:row>
    <x:row r="640" ht="23" customHeight="1">
      <x:c r="A640" s="9"/>
      <x:c r="B640" s="10"/>
      <x:c r="C640" s="11"/>
      <x:c r="D640" s="11"/>
      <x:c r="E640" s="11"/>
      <x:c r="F640" s="11"/>
      <x:c r="G640" s="11"/>
      <x:c r="H640" s="11"/>
      <x:c r="I640" s="11"/>
      <x:c r="J640" s="11"/>
      <x:c r="K640" s="12" t="str">
        <x:f>IF(A640="","",E640*F640+G640*H640+I640*J640)</x:f>
      </x:c>
      <x:c r="L640" s="9"/>
      <x:c r="M640" s="9" t="str">
        <x:f>IF(A640="","",INDEX('입고대장'!$M$7:$M$1006,MATCH(A640,'입고대장'!$A$7:$A$1006,0)))</x:f>
      </x:c>
      <x:c r="N640" s="9"/>
    </x:row>
    <x:row r="641" ht="23" customHeight="1">
      <x:c r="A641" s="9"/>
      <x:c r="B641" s="10"/>
      <x:c r="C641" s="11"/>
      <x:c r="D641" s="11"/>
      <x:c r="E641" s="11"/>
      <x:c r="F641" s="11"/>
      <x:c r="G641" s="11"/>
      <x:c r="H641" s="11"/>
      <x:c r="I641" s="11"/>
      <x:c r="J641" s="11"/>
      <x:c r="K641" s="12" t="str">
        <x:f>IF(A641="","",E641*F641+G641*H641+I641*J641)</x:f>
      </x:c>
      <x:c r="L641" s="9"/>
      <x:c r="M641" s="9" t="str">
        <x:f>IF(A641="","",INDEX('입고대장'!$M$7:$M$1006,MATCH(A641,'입고대장'!$A$7:$A$1006,0)))</x:f>
      </x:c>
      <x:c r="N641" s="9"/>
    </x:row>
    <x:row r="642" ht="23" customHeight="1">
      <x:c r="A642" s="9"/>
      <x:c r="B642" s="10"/>
      <x:c r="C642" s="11"/>
      <x:c r="D642" s="11"/>
      <x:c r="E642" s="11"/>
      <x:c r="F642" s="11"/>
      <x:c r="G642" s="11"/>
      <x:c r="H642" s="11"/>
      <x:c r="I642" s="11"/>
      <x:c r="J642" s="11"/>
      <x:c r="K642" s="12" t="str">
        <x:f>IF(A642="","",E642*F642+G642*H642+I642*J642)</x:f>
      </x:c>
      <x:c r="L642" s="9"/>
      <x:c r="M642" s="9" t="str">
        <x:f>IF(A642="","",INDEX('입고대장'!$M$7:$M$1006,MATCH(A642,'입고대장'!$A$7:$A$1006,0)))</x:f>
      </x:c>
      <x:c r="N642" s="9"/>
    </x:row>
    <x:row r="643" ht="23" customHeight="1">
      <x:c r="A643" s="9"/>
      <x:c r="B643" s="10"/>
      <x:c r="C643" s="11"/>
      <x:c r="D643" s="11"/>
      <x:c r="E643" s="11"/>
      <x:c r="F643" s="11"/>
      <x:c r="G643" s="11"/>
      <x:c r="H643" s="11"/>
      <x:c r="I643" s="11"/>
      <x:c r="J643" s="11"/>
      <x:c r="K643" s="12" t="str">
        <x:f>IF(A643="","",E643*F643+G643*H643+I643*J643)</x:f>
      </x:c>
      <x:c r="L643" s="9"/>
      <x:c r="M643" s="9" t="str">
        <x:f>IF(A643="","",INDEX('입고대장'!$M$7:$M$1006,MATCH(A643,'입고대장'!$A$7:$A$1006,0)))</x:f>
      </x:c>
      <x:c r="N643" s="9"/>
    </x:row>
    <x:row r="644" ht="23" customHeight="1">
      <x:c r="A644" s="9"/>
      <x:c r="B644" s="10"/>
      <x:c r="C644" s="11"/>
      <x:c r="D644" s="11"/>
      <x:c r="E644" s="11"/>
      <x:c r="F644" s="11"/>
      <x:c r="G644" s="11"/>
      <x:c r="H644" s="11"/>
      <x:c r="I644" s="11"/>
      <x:c r="J644" s="11"/>
      <x:c r="K644" s="12" t="str">
        <x:f>IF(A644="","",E644*F644+G644*H644+I644*J644)</x:f>
      </x:c>
      <x:c r="L644" s="9"/>
      <x:c r="M644" s="9" t="str">
        <x:f>IF(A644="","",INDEX('입고대장'!$M$7:$M$1006,MATCH(A644,'입고대장'!$A$7:$A$1006,0)))</x:f>
      </x:c>
      <x:c r="N644" s="9"/>
    </x:row>
    <x:row r="645" ht="23" customHeight="1">
      <x:c r="A645" s="9"/>
      <x:c r="B645" s="10"/>
      <x:c r="C645" s="11"/>
      <x:c r="D645" s="11"/>
      <x:c r="E645" s="11"/>
      <x:c r="F645" s="11"/>
      <x:c r="G645" s="11"/>
      <x:c r="H645" s="11"/>
      <x:c r="I645" s="11"/>
      <x:c r="J645" s="11"/>
      <x:c r="K645" s="12" t="str">
        <x:f>IF(A645="","",E645*F645+G645*H645+I645*J645)</x:f>
      </x:c>
      <x:c r="L645" s="9"/>
      <x:c r="M645" s="9" t="str">
        <x:f>IF(A645="","",INDEX('입고대장'!$M$7:$M$1006,MATCH(A645,'입고대장'!$A$7:$A$1006,0)))</x:f>
      </x:c>
      <x:c r="N645" s="9"/>
    </x:row>
    <x:row r="646" ht="23" customHeight="1">
      <x:c r="A646" s="9"/>
      <x:c r="B646" s="10"/>
      <x:c r="C646" s="11"/>
      <x:c r="D646" s="11"/>
      <x:c r="E646" s="11"/>
      <x:c r="F646" s="11"/>
      <x:c r="G646" s="11"/>
      <x:c r="H646" s="11"/>
      <x:c r="I646" s="11"/>
      <x:c r="J646" s="11"/>
      <x:c r="K646" s="12" t="str">
        <x:f>IF(A646="","",E646*F646+G646*H646+I646*J646)</x:f>
      </x:c>
      <x:c r="L646" s="9"/>
      <x:c r="M646" s="9" t="str">
        <x:f>IF(A646="","",INDEX('입고대장'!$M$7:$M$1006,MATCH(A646,'입고대장'!$A$7:$A$1006,0)))</x:f>
      </x:c>
      <x:c r="N646" s="9"/>
    </x:row>
    <x:row r="647" ht="23" customHeight="1">
      <x:c r="A647" s="9"/>
      <x:c r="B647" s="10"/>
      <x:c r="C647" s="11"/>
      <x:c r="D647" s="11"/>
      <x:c r="E647" s="11"/>
      <x:c r="F647" s="11"/>
      <x:c r="G647" s="11"/>
      <x:c r="H647" s="11"/>
      <x:c r="I647" s="11"/>
      <x:c r="J647" s="11"/>
      <x:c r="K647" s="12" t="str">
        <x:f>IF(A647="","",E647*F647+G647*H647+I647*J647)</x:f>
      </x:c>
      <x:c r="L647" s="9"/>
      <x:c r="M647" s="9" t="str">
        <x:f>IF(A647="","",INDEX('입고대장'!$M$7:$M$1006,MATCH(A647,'입고대장'!$A$7:$A$1006,0)))</x:f>
      </x:c>
      <x:c r="N647" s="9"/>
    </x:row>
    <x:row r="648" ht="23" customHeight="1">
      <x:c r="A648" s="9"/>
      <x:c r="B648" s="10"/>
      <x:c r="C648" s="11"/>
      <x:c r="D648" s="11"/>
      <x:c r="E648" s="11"/>
      <x:c r="F648" s="11"/>
      <x:c r="G648" s="11"/>
      <x:c r="H648" s="11"/>
      <x:c r="I648" s="11"/>
      <x:c r="J648" s="11"/>
      <x:c r="K648" s="12" t="str">
        <x:f>IF(A648="","",E648*F648+G648*H648+I648*J648)</x:f>
      </x:c>
      <x:c r="L648" s="9"/>
      <x:c r="M648" s="9" t="str">
        <x:f>IF(A648="","",INDEX('입고대장'!$M$7:$M$1006,MATCH(A648,'입고대장'!$A$7:$A$1006,0)))</x:f>
      </x:c>
      <x:c r="N648" s="9"/>
    </x:row>
    <x:row r="649" ht="23" customHeight="1">
      <x:c r="A649" s="9"/>
      <x:c r="B649" s="10"/>
      <x:c r="C649" s="11"/>
      <x:c r="D649" s="11"/>
      <x:c r="E649" s="11"/>
      <x:c r="F649" s="11"/>
      <x:c r="G649" s="11"/>
      <x:c r="H649" s="11"/>
      <x:c r="I649" s="11"/>
      <x:c r="J649" s="11"/>
      <x:c r="K649" s="12" t="str">
        <x:f>IF(A649="","",E649*F649+G649*H649+I649*J649)</x:f>
      </x:c>
      <x:c r="L649" s="9"/>
      <x:c r="M649" s="9" t="str">
        <x:f>IF(A649="","",INDEX('입고대장'!$M$7:$M$1006,MATCH(A649,'입고대장'!$A$7:$A$1006,0)))</x:f>
      </x:c>
      <x:c r="N649" s="9"/>
    </x:row>
    <x:row r="650" ht="23" customHeight="1">
      <x:c r="A650" s="9"/>
      <x:c r="B650" s="10"/>
      <x:c r="C650" s="11"/>
      <x:c r="D650" s="11"/>
      <x:c r="E650" s="11"/>
      <x:c r="F650" s="11"/>
      <x:c r="G650" s="11"/>
      <x:c r="H650" s="11"/>
      <x:c r="I650" s="11"/>
      <x:c r="J650" s="11"/>
      <x:c r="K650" s="12" t="str">
        <x:f>IF(A650="","",E650*F650+G650*H650+I650*J650)</x:f>
      </x:c>
      <x:c r="L650" s="9"/>
      <x:c r="M650" s="9" t="str">
        <x:f>IF(A650="","",INDEX('입고대장'!$M$7:$M$1006,MATCH(A650,'입고대장'!$A$7:$A$1006,0)))</x:f>
      </x:c>
      <x:c r="N650" s="9"/>
    </x:row>
    <x:row r="651" ht="23" customHeight="1">
      <x:c r="A651" s="9"/>
      <x:c r="B651" s="10"/>
      <x:c r="C651" s="11"/>
      <x:c r="D651" s="11"/>
      <x:c r="E651" s="11"/>
      <x:c r="F651" s="11"/>
      <x:c r="G651" s="11"/>
      <x:c r="H651" s="11"/>
      <x:c r="I651" s="11"/>
      <x:c r="J651" s="11"/>
      <x:c r="K651" s="12" t="str">
        <x:f>IF(A651="","",E651*F651+G651*H651+I651*J651)</x:f>
      </x:c>
      <x:c r="L651" s="9"/>
      <x:c r="M651" s="9" t="str">
        <x:f>IF(A651="","",INDEX('입고대장'!$M$7:$M$1006,MATCH(A651,'입고대장'!$A$7:$A$1006,0)))</x:f>
      </x:c>
      <x:c r="N651" s="9"/>
    </x:row>
    <x:row r="652" ht="23" customHeight="1">
      <x:c r="A652" s="9"/>
      <x:c r="B652" s="10"/>
      <x:c r="C652" s="11"/>
      <x:c r="D652" s="11"/>
      <x:c r="E652" s="11"/>
      <x:c r="F652" s="11"/>
      <x:c r="G652" s="11"/>
      <x:c r="H652" s="11"/>
      <x:c r="I652" s="11"/>
      <x:c r="J652" s="11"/>
      <x:c r="K652" s="12" t="str">
        <x:f>IF(A652="","",E652*F652+G652*H652+I652*J652)</x:f>
      </x:c>
      <x:c r="L652" s="9"/>
      <x:c r="M652" s="9" t="str">
        <x:f>IF(A652="","",INDEX('입고대장'!$M$7:$M$1006,MATCH(A652,'입고대장'!$A$7:$A$1006,0)))</x:f>
      </x:c>
      <x:c r="N652" s="9"/>
    </x:row>
    <x:row r="653" ht="23" customHeight="1">
      <x:c r="A653" s="9"/>
      <x:c r="B653" s="10"/>
      <x:c r="C653" s="11"/>
      <x:c r="D653" s="11"/>
      <x:c r="E653" s="11"/>
      <x:c r="F653" s="11"/>
      <x:c r="G653" s="11"/>
      <x:c r="H653" s="11"/>
      <x:c r="I653" s="11"/>
      <x:c r="J653" s="11"/>
      <x:c r="K653" s="12" t="str">
        <x:f>IF(A653="","",E653*F653+G653*H653+I653*J653)</x:f>
      </x:c>
      <x:c r="L653" s="9"/>
      <x:c r="M653" s="9" t="str">
        <x:f>IF(A653="","",INDEX('입고대장'!$M$7:$M$1006,MATCH(A653,'입고대장'!$A$7:$A$1006,0)))</x:f>
      </x:c>
      <x:c r="N653" s="9"/>
    </x:row>
    <x:row r="654" ht="23" customHeight="1">
      <x:c r="A654" s="9"/>
      <x:c r="B654" s="10"/>
      <x:c r="C654" s="11"/>
      <x:c r="D654" s="11"/>
      <x:c r="E654" s="11"/>
      <x:c r="F654" s="11"/>
      <x:c r="G654" s="11"/>
      <x:c r="H654" s="11"/>
      <x:c r="I654" s="11"/>
      <x:c r="J654" s="11"/>
      <x:c r="K654" s="12" t="str">
        <x:f>IF(A654="","",E654*F654+G654*H654+I654*J654)</x:f>
      </x:c>
      <x:c r="L654" s="9"/>
      <x:c r="M654" s="9" t="str">
        <x:f>IF(A654="","",INDEX('입고대장'!$M$7:$M$1006,MATCH(A654,'입고대장'!$A$7:$A$1006,0)))</x:f>
      </x:c>
      <x:c r="N654" s="9"/>
    </x:row>
    <x:row r="655" ht="23" customHeight="1">
      <x:c r="A655" s="9"/>
      <x:c r="B655" s="10"/>
      <x:c r="C655" s="11"/>
      <x:c r="D655" s="11"/>
      <x:c r="E655" s="11"/>
      <x:c r="F655" s="11"/>
      <x:c r="G655" s="11"/>
      <x:c r="H655" s="11"/>
      <x:c r="I655" s="11"/>
      <x:c r="J655" s="11"/>
      <x:c r="K655" s="12" t="str">
        <x:f>IF(A655="","",E655*F655+G655*H655+I655*J655)</x:f>
      </x:c>
      <x:c r="L655" s="9"/>
      <x:c r="M655" s="9" t="str">
        <x:f>IF(A655="","",INDEX('입고대장'!$M$7:$M$1006,MATCH(A655,'입고대장'!$A$7:$A$1006,0)))</x:f>
      </x:c>
      <x:c r="N655" s="9"/>
    </x:row>
    <x:row r="656" ht="23" customHeight="1">
      <x:c r="A656" s="9"/>
      <x:c r="B656" s="10"/>
      <x:c r="C656" s="11"/>
      <x:c r="D656" s="11"/>
      <x:c r="E656" s="11"/>
      <x:c r="F656" s="11"/>
      <x:c r="G656" s="11"/>
      <x:c r="H656" s="11"/>
      <x:c r="I656" s="11"/>
      <x:c r="J656" s="11"/>
      <x:c r="K656" s="12" t="str">
        <x:f>IF(A656="","",E656*F656+G656*H656+I656*J656)</x:f>
      </x:c>
      <x:c r="L656" s="9"/>
      <x:c r="M656" s="9" t="str">
        <x:f>IF(A656="","",INDEX('입고대장'!$M$7:$M$1006,MATCH(A656,'입고대장'!$A$7:$A$1006,0)))</x:f>
      </x:c>
      <x:c r="N656" s="9"/>
    </x:row>
    <x:row r="657" ht="23" customHeight="1">
      <x:c r="A657" s="9"/>
      <x:c r="B657" s="10"/>
      <x:c r="C657" s="11"/>
      <x:c r="D657" s="11"/>
      <x:c r="E657" s="11"/>
      <x:c r="F657" s="11"/>
      <x:c r="G657" s="11"/>
      <x:c r="H657" s="11"/>
      <x:c r="I657" s="11"/>
      <x:c r="J657" s="11"/>
      <x:c r="K657" s="12" t="str">
        <x:f>IF(A657="","",E657*F657+G657*H657+I657*J657)</x:f>
      </x:c>
      <x:c r="L657" s="9"/>
      <x:c r="M657" s="9" t="str">
        <x:f>IF(A657="","",INDEX('입고대장'!$M$7:$M$1006,MATCH(A657,'입고대장'!$A$7:$A$1006,0)))</x:f>
      </x:c>
      <x:c r="N657" s="9"/>
    </x:row>
    <x:row r="658" ht="23" customHeight="1">
      <x:c r="A658" s="9"/>
      <x:c r="B658" s="10"/>
      <x:c r="C658" s="11"/>
      <x:c r="D658" s="11"/>
      <x:c r="E658" s="11"/>
      <x:c r="F658" s="11"/>
      <x:c r="G658" s="11"/>
      <x:c r="H658" s="11"/>
      <x:c r="I658" s="11"/>
      <x:c r="J658" s="11"/>
      <x:c r="K658" s="12" t="str">
        <x:f>IF(A658="","",E658*F658+G658*H658+I658*J658)</x:f>
      </x:c>
      <x:c r="L658" s="9"/>
      <x:c r="M658" s="9" t="str">
        <x:f>IF(A658="","",INDEX('입고대장'!$M$7:$M$1006,MATCH(A658,'입고대장'!$A$7:$A$1006,0)))</x:f>
      </x:c>
      <x:c r="N658" s="9"/>
    </x:row>
    <x:row r="659" ht="23" customHeight="1">
      <x:c r="A659" s="9"/>
      <x:c r="B659" s="10"/>
      <x:c r="C659" s="11"/>
      <x:c r="D659" s="11"/>
      <x:c r="E659" s="11"/>
      <x:c r="F659" s="11"/>
      <x:c r="G659" s="11"/>
      <x:c r="H659" s="11"/>
      <x:c r="I659" s="11"/>
      <x:c r="J659" s="11"/>
      <x:c r="K659" s="12" t="str">
        <x:f>IF(A659="","",E659*F659+G659*H659+I659*J659)</x:f>
      </x:c>
      <x:c r="L659" s="9"/>
      <x:c r="M659" s="9" t="str">
        <x:f>IF(A659="","",INDEX('입고대장'!$M$7:$M$1006,MATCH(A659,'입고대장'!$A$7:$A$1006,0)))</x:f>
      </x:c>
      <x:c r="N659" s="9"/>
    </x:row>
    <x:row r="660" ht="23" customHeight="1">
      <x:c r="A660" s="9"/>
      <x:c r="B660" s="10"/>
      <x:c r="C660" s="11"/>
      <x:c r="D660" s="11"/>
      <x:c r="E660" s="11"/>
      <x:c r="F660" s="11"/>
      <x:c r="G660" s="11"/>
      <x:c r="H660" s="11"/>
      <x:c r="I660" s="11"/>
      <x:c r="J660" s="11"/>
      <x:c r="K660" s="12" t="str">
        <x:f>IF(A660="","",E660*F660+G660*H660+I660*J660)</x:f>
      </x:c>
      <x:c r="L660" s="9"/>
      <x:c r="M660" s="9" t="str">
        <x:f>IF(A660="","",INDEX('입고대장'!$M$7:$M$1006,MATCH(A660,'입고대장'!$A$7:$A$1006,0)))</x:f>
      </x:c>
      <x:c r="N660" s="9"/>
    </x:row>
    <x:row r="661" ht="23" customHeight="1">
      <x:c r="A661" s="9"/>
      <x:c r="B661" s="10"/>
      <x:c r="C661" s="11"/>
      <x:c r="D661" s="11"/>
      <x:c r="E661" s="11"/>
      <x:c r="F661" s="11"/>
      <x:c r="G661" s="11"/>
      <x:c r="H661" s="11"/>
      <x:c r="I661" s="11"/>
      <x:c r="J661" s="11"/>
      <x:c r="K661" s="12" t="str">
        <x:f>IF(A661="","",E661*F661+G661*H661+I661*J661)</x:f>
      </x:c>
      <x:c r="L661" s="9"/>
      <x:c r="M661" s="9" t="str">
        <x:f>IF(A661="","",INDEX('입고대장'!$M$7:$M$1006,MATCH(A661,'입고대장'!$A$7:$A$1006,0)))</x:f>
      </x:c>
      <x:c r="N661" s="9"/>
    </x:row>
    <x:row r="662" ht="23" customHeight="1">
      <x:c r="A662" s="9"/>
      <x:c r="B662" s="10"/>
      <x:c r="C662" s="11"/>
      <x:c r="D662" s="11"/>
      <x:c r="E662" s="11"/>
      <x:c r="F662" s="11"/>
      <x:c r="G662" s="11"/>
      <x:c r="H662" s="11"/>
      <x:c r="I662" s="11"/>
      <x:c r="J662" s="11"/>
      <x:c r="K662" s="12" t="str">
        <x:f>IF(A662="","",E662*F662+G662*H662+I662*J662)</x:f>
      </x:c>
      <x:c r="L662" s="9"/>
      <x:c r="M662" s="9" t="str">
        <x:f>IF(A662="","",INDEX('입고대장'!$M$7:$M$1006,MATCH(A662,'입고대장'!$A$7:$A$1006,0)))</x:f>
      </x:c>
      <x:c r="N662" s="9"/>
    </x:row>
    <x:row r="663" ht="23" customHeight="1">
      <x:c r="A663" s="9"/>
      <x:c r="B663" s="10"/>
      <x:c r="C663" s="11"/>
      <x:c r="D663" s="11"/>
      <x:c r="E663" s="11"/>
      <x:c r="F663" s="11"/>
      <x:c r="G663" s="11"/>
      <x:c r="H663" s="11"/>
      <x:c r="I663" s="11"/>
      <x:c r="J663" s="11"/>
      <x:c r="K663" s="12" t="str">
        <x:f>IF(A663="","",E663*F663+G663*H663+I663*J663)</x:f>
      </x:c>
      <x:c r="L663" s="9"/>
      <x:c r="M663" s="9" t="str">
        <x:f>IF(A663="","",INDEX('입고대장'!$M$7:$M$1006,MATCH(A663,'입고대장'!$A$7:$A$1006,0)))</x:f>
      </x:c>
      <x:c r="N663" s="9"/>
    </x:row>
    <x:row r="664" ht="23" customHeight="1">
      <x:c r="A664" s="9"/>
      <x:c r="B664" s="10"/>
      <x:c r="C664" s="11"/>
      <x:c r="D664" s="11"/>
      <x:c r="E664" s="11"/>
      <x:c r="F664" s="11"/>
      <x:c r="G664" s="11"/>
      <x:c r="H664" s="11"/>
      <x:c r="I664" s="11"/>
      <x:c r="J664" s="11"/>
      <x:c r="K664" s="12" t="str">
        <x:f>IF(A664="","",E664*F664+G664*H664+I664*J664)</x:f>
      </x:c>
      <x:c r="L664" s="9"/>
      <x:c r="M664" s="9" t="str">
        <x:f>IF(A664="","",INDEX('입고대장'!$M$7:$M$1006,MATCH(A664,'입고대장'!$A$7:$A$1006,0)))</x:f>
      </x:c>
      <x:c r="N664" s="9"/>
    </x:row>
    <x:row r="665" ht="23" customHeight="1">
      <x:c r="A665" s="9"/>
      <x:c r="B665" s="10"/>
      <x:c r="C665" s="11"/>
      <x:c r="D665" s="11"/>
      <x:c r="E665" s="11"/>
      <x:c r="F665" s="11"/>
      <x:c r="G665" s="11"/>
      <x:c r="H665" s="11"/>
      <x:c r="I665" s="11"/>
      <x:c r="J665" s="11"/>
      <x:c r="K665" s="12" t="str">
        <x:f>IF(A665="","",E665*F665+G665*H665+I665*J665)</x:f>
      </x:c>
      <x:c r="L665" s="9"/>
      <x:c r="M665" s="9" t="str">
        <x:f>IF(A665="","",INDEX('입고대장'!$M$7:$M$1006,MATCH(A665,'입고대장'!$A$7:$A$1006,0)))</x:f>
      </x:c>
      <x:c r="N665" s="9"/>
    </x:row>
    <x:row r="666" ht="23" customHeight="1">
      <x:c r="A666" s="9"/>
      <x:c r="B666" s="10"/>
      <x:c r="C666" s="11"/>
      <x:c r="D666" s="11"/>
      <x:c r="E666" s="11"/>
      <x:c r="F666" s="11"/>
      <x:c r="G666" s="11"/>
      <x:c r="H666" s="11"/>
      <x:c r="I666" s="11"/>
      <x:c r="J666" s="11"/>
      <x:c r="K666" s="12" t="str">
        <x:f>IF(A666="","",E666*F666+G666*H666+I666*J666)</x:f>
      </x:c>
      <x:c r="L666" s="9"/>
      <x:c r="M666" s="9" t="str">
        <x:f>IF(A666="","",INDEX('입고대장'!$M$7:$M$1006,MATCH(A666,'입고대장'!$A$7:$A$1006,0)))</x:f>
      </x:c>
      <x:c r="N666" s="9"/>
    </x:row>
    <x:row r="667" ht="23" customHeight="1">
      <x:c r="A667" s="9"/>
      <x:c r="B667" s="10"/>
      <x:c r="C667" s="11"/>
      <x:c r="D667" s="11"/>
      <x:c r="E667" s="11"/>
      <x:c r="F667" s="11"/>
      <x:c r="G667" s="11"/>
      <x:c r="H667" s="11"/>
      <x:c r="I667" s="11"/>
      <x:c r="J667" s="11"/>
      <x:c r="K667" s="12" t="str">
        <x:f>IF(A667="","",E667*F667+G667*H667+I667*J667)</x:f>
      </x:c>
      <x:c r="L667" s="9"/>
      <x:c r="M667" s="9" t="str">
        <x:f>IF(A667="","",INDEX('입고대장'!$M$7:$M$1006,MATCH(A667,'입고대장'!$A$7:$A$1006,0)))</x:f>
      </x:c>
      <x:c r="N667" s="9"/>
    </x:row>
    <x:row r="668" ht="23" customHeight="1">
      <x:c r="A668" s="9"/>
      <x:c r="B668" s="10"/>
      <x:c r="C668" s="11"/>
      <x:c r="D668" s="11"/>
      <x:c r="E668" s="11"/>
      <x:c r="F668" s="11"/>
      <x:c r="G668" s="11"/>
      <x:c r="H668" s="11"/>
      <x:c r="I668" s="11"/>
      <x:c r="J668" s="11"/>
      <x:c r="K668" s="12" t="str">
        <x:f>IF(A668="","",E668*F668+G668*H668+I668*J668)</x:f>
      </x:c>
      <x:c r="L668" s="9"/>
      <x:c r="M668" s="9" t="str">
        <x:f>IF(A668="","",INDEX('입고대장'!$M$7:$M$1006,MATCH(A668,'입고대장'!$A$7:$A$1006,0)))</x:f>
      </x:c>
      <x:c r="N668" s="9"/>
    </x:row>
    <x:row r="669" ht="23" customHeight="1">
      <x:c r="A669" s="9"/>
      <x:c r="B669" s="10"/>
      <x:c r="C669" s="11"/>
      <x:c r="D669" s="11"/>
      <x:c r="E669" s="11"/>
      <x:c r="F669" s="11"/>
      <x:c r="G669" s="11"/>
      <x:c r="H669" s="11"/>
      <x:c r="I669" s="11"/>
      <x:c r="J669" s="11"/>
      <x:c r="K669" s="12" t="str">
        <x:f>IF(A669="","",E669*F669+G669*H669+I669*J669)</x:f>
      </x:c>
      <x:c r="L669" s="9"/>
      <x:c r="M669" s="9" t="str">
        <x:f>IF(A669="","",INDEX('입고대장'!$M$7:$M$1006,MATCH(A669,'입고대장'!$A$7:$A$1006,0)))</x:f>
      </x:c>
      <x:c r="N669" s="9"/>
    </x:row>
    <x:row r="670" ht="23" customHeight="1">
      <x:c r="A670" s="9"/>
      <x:c r="B670" s="10"/>
      <x:c r="C670" s="11"/>
      <x:c r="D670" s="11"/>
      <x:c r="E670" s="11"/>
      <x:c r="F670" s="11"/>
      <x:c r="G670" s="11"/>
      <x:c r="H670" s="11"/>
      <x:c r="I670" s="11"/>
      <x:c r="J670" s="11"/>
      <x:c r="K670" s="12" t="str">
        <x:f>IF(A670="","",E670*F670+G670*H670+I670*J670)</x:f>
      </x:c>
      <x:c r="L670" s="9"/>
      <x:c r="M670" s="9" t="str">
        <x:f>IF(A670="","",INDEX('입고대장'!$M$7:$M$1006,MATCH(A670,'입고대장'!$A$7:$A$1006,0)))</x:f>
      </x:c>
      <x:c r="N670" s="9"/>
    </x:row>
    <x:row r="671" ht="23" customHeight="1">
      <x:c r="A671" s="9"/>
      <x:c r="B671" s="10"/>
      <x:c r="C671" s="11"/>
      <x:c r="D671" s="11"/>
      <x:c r="E671" s="11"/>
      <x:c r="F671" s="11"/>
      <x:c r="G671" s="11"/>
      <x:c r="H671" s="11"/>
      <x:c r="I671" s="11"/>
      <x:c r="J671" s="11"/>
      <x:c r="K671" s="12" t="str">
        <x:f>IF(A671="","",E671*F671+G671*H671+I671*J671)</x:f>
      </x:c>
      <x:c r="L671" s="9"/>
      <x:c r="M671" s="9" t="str">
        <x:f>IF(A671="","",INDEX('입고대장'!$M$7:$M$1006,MATCH(A671,'입고대장'!$A$7:$A$1006,0)))</x:f>
      </x:c>
      <x:c r="N671" s="9"/>
    </x:row>
    <x:row r="672" ht="23" customHeight="1">
      <x:c r="A672" s="9"/>
      <x:c r="B672" s="10"/>
      <x:c r="C672" s="11"/>
      <x:c r="D672" s="11"/>
      <x:c r="E672" s="11"/>
      <x:c r="F672" s="11"/>
      <x:c r="G672" s="11"/>
      <x:c r="H672" s="11"/>
      <x:c r="I672" s="11"/>
      <x:c r="J672" s="11"/>
      <x:c r="K672" s="12" t="str">
        <x:f>IF(A672="","",E672*F672+G672*H672+I672*J672)</x:f>
      </x:c>
      <x:c r="L672" s="9"/>
      <x:c r="M672" s="9" t="str">
        <x:f>IF(A672="","",INDEX('입고대장'!$M$7:$M$1006,MATCH(A672,'입고대장'!$A$7:$A$1006,0)))</x:f>
      </x:c>
      <x:c r="N672" s="9"/>
    </x:row>
    <x:row r="673" ht="23" customHeight="1">
      <x:c r="A673" s="9"/>
      <x:c r="B673" s="10"/>
      <x:c r="C673" s="11"/>
      <x:c r="D673" s="11"/>
      <x:c r="E673" s="11"/>
      <x:c r="F673" s="11"/>
      <x:c r="G673" s="11"/>
      <x:c r="H673" s="11"/>
      <x:c r="I673" s="11"/>
      <x:c r="J673" s="11"/>
      <x:c r="K673" s="12" t="str">
        <x:f>IF(A673="","",E673*F673+G673*H673+I673*J673)</x:f>
      </x:c>
      <x:c r="L673" s="9"/>
      <x:c r="M673" s="9" t="str">
        <x:f>IF(A673="","",INDEX('입고대장'!$M$7:$M$1006,MATCH(A673,'입고대장'!$A$7:$A$1006,0)))</x:f>
      </x:c>
      <x:c r="N673" s="9"/>
    </x:row>
    <x:row r="674" ht="23" customHeight="1">
      <x:c r="A674" s="9"/>
      <x:c r="B674" s="10"/>
      <x:c r="C674" s="11"/>
      <x:c r="D674" s="11"/>
      <x:c r="E674" s="11"/>
      <x:c r="F674" s="11"/>
      <x:c r="G674" s="11"/>
      <x:c r="H674" s="11"/>
      <x:c r="I674" s="11"/>
      <x:c r="J674" s="11"/>
      <x:c r="K674" s="12" t="str">
        <x:f>IF(A674="","",E674*F674+G674*H674+I674*J674)</x:f>
      </x:c>
      <x:c r="L674" s="9"/>
      <x:c r="M674" s="9" t="str">
        <x:f>IF(A674="","",INDEX('입고대장'!$M$7:$M$1006,MATCH(A674,'입고대장'!$A$7:$A$1006,0)))</x:f>
      </x:c>
      <x:c r="N674" s="9"/>
    </x:row>
    <x:row r="675" ht="23" customHeight="1">
      <x:c r="A675" s="9"/>
      <x:c r="B675" s="10"/>
      <x:c r="C675" s="11"/>
      <x:c r="D675" s="11"/>
      <x:c r="E675" s="11"/>
      <x:c r="F675" s="11"/>
      <x:c r="G675" s="11"/>
      <x:c r="H675" s="11"/>
      <x:c r="I675" s="11"/>
      <x:c r="J675" s="11"/>
      <x:c r="K675" s="12" t="str">
        <x:f>IF(A675="","",E675*F675+G675*H675+I675*J675)</x:f>
      </x:c>
      <x:c r="L675" s="9"/>
      <x:c r="M675" s="9" t="str">
        <x:f>IF(A675="","",INDEX('입고대장'!$M$7:$M$1006,MATCH(A675,'입고대장'!$A$7:$A$1006,0)))</x:f>
      </x:c>
      <x:c r="N675" s="9"/>
    </x:row>
    <x:row r="676" ht="23" customHeight="1">
      <x:c r="A676" s="9"/>
      <x:c r="B676" s="10"/>
      <x:c r="C676" s="11"/>
      <x:c r="D676" s="11"/>
      <x:c r="E676" s="11"/>
      <x:c r="F676" s="11"/>
      <x:c r="G676" s="11"/>
      <x:c r="H676" s="11"/>
      <x:c r="I676" s="11"/>
      <x:c r="J676" s="11"/>
      <x:c r="K676" s="12" t="str">
        <x:f>IF(A676="","",E676*F676+G676*H676+I676*J676)</x:f>
      </x:c>
      <x:c r="L676" s="9"/>
      <x:c r="M676" s="9" t="str">
        <x:f>IF(A676="","",INDEX('입고대장'!$M$7:$M$1006,MATCH(A676,'입고대장'!$A$7:$A$1006,0)))</x:f>
      </x:c>
      <x:c r="N676" s="9"/>
    </x:row>
    <x:row r="677" ht="23" customHeight="1">
      <x:c r="A677" s="9"/>
      <x:c r="B677" s="10"/>
      <x:c r="C677" s="11"/>
      <x:c r="D677" s="11"/>
      <x:c r="E677" s="11"/>
      <x:c r="F677" s="11"/>
      <x:c r="G677" s="11"/>
      <x:c r="H677" s="11"/>
      <x:c r="I677" s="11"/>
      <x:c r="J677" s="11"/>
      <x:c r="K677" s="12" t="str">
        <x:f>IF(A677="","",E677*F677+G677*H677+I677*J677)</x:f>
      </x:c>
      <x:c r="L677" s="9"/>
      <x:c r="M677" s="9" t="str">
        <x:f>IF(A677="","",INDEX('입고대장'!$M$7:$M$1006,MATCH(A677,'입고대장'!$A$7:$A$1006,0)))</x:f>
      </x:c>
      <x:c r="N677" s="9"/>
    </x:row>
    <x:row r="678" ht="23" customHeight="1">
      <x:c r="A678" s="9"/>
      <x:c r="B678" s="10"/>
      <x:c r="C678" s="11"/>
      <x:c r="D678" s="11"/>
      <x:c r="E678" s="11"/>
      <x:c r="F678" s="11"/>
      <x:c r="G678" s="11"/>
      <x:c r="H678" s="11"/>
      <x:c r="I678" s="11"/>
      <x:c r="J678" s="11"/>
      <x:c r="K678" s="12" t="str">
        <x:f>IF(A678="","",E678*F678+G678*H678+I678*J678)</x:f>
      </x:c>
      <x:c r="L678" s="9"/>
      <x:c r="M678" s="9" t="str">
        <x:f>IF(A678="","",INDEX('입고대장'!$M$7:$M$1006,MATCH(A678,'입고대장'!$A$7:$A$1006,0)))</x:f>
      </x:c>
      <x:c r="N678" s="9"/>
    </x:row>
    <x:row r="679" ht="23" customHeight="1">
      <x:c r="A679" s="9"/>
      <x:c r="B679" s="10"/>
      <x:c r="C679" s="11"/>
      <x:c r="D679" s="11"/>
      <x:c r="E679" s="11"/>
      <x:c r="F679" s="11"/>
      <x:c r="G679" s="11"/>
      <x:c r="H679" s="11"/>
      <x:c r="I679" s="11"/>
      <x:c r="J679" s="11"/>
      <x:c r="K679" s="12" t="str">
        <x:f>IF(A679="","",E679*F679+G679*H679+I679*J679)</x:f>
      </x:c>
      <x:c r="L679" s="9"/>
      <x:c r="M679" s="9" t="str">
        <x:f>IF(A679="","",INDEX('입고대장'!$M$7:$M$1006,MATCH(A679,'입고대장'!$A$7:$A$1006,0)))</x:f>
      </x:c>
      <x:c r="N679" s="9"/>
    </x:row>
    <x:row r="680" ht="23" customHeight="1">
      <x:c r="A680" s="9"/>
      <x:c r="B680" s="10"/>
      <x:c r="C680" s="11"/>
      <x:c r="D680" s="11"/>
      <x:c r="E680" s="11"/>
      <x:c r="F680" s="11"/>
      <x:c r="G680" s="11"/>
      <x:c r="H680" s="11"/>
      <x:c r="I680" s="11"/>
      <x:c r="J680" s="11"/>
      <x:c r="K680" s="12" t="str">
        <x:f>IF(A680="","",E680*F680+G680*H680+I680*J680)</x:f>
      </x:c>
      <x:c r="L680" s="9"/>
      <x:c r="M680" s="9" t="str">
        <x:f>IF(A680="","",INDEX('입고대장'!$M$7:$M$1006,MATCH(A680,'입고대장'!$A$7:$A$1006,0)))</x:f>
      </x:c>
      <x:c r="N680" s="9"/>
    </x:row>
    <x:row r="681" ht="23" customHeight="1">
      <x:c r="A681" s="9"/>
      <x:c r="B681" s="10"/>
      <x:c r="C681" s="11"/>
      <x:c r="D681" s="11"/>
      <x:c r="E681" s="11"/>
      <x:c r="F681" s="11"/>
      <x:c r="G681" s="11"/>
      <x:c r="H681" s="11"/>
      <x:c r="I681" s="11"/>
      <x:c r="J681" s="11"/>
      <x:c r="K681" s="12" t="str">
        <x:f>IF(A681="","",E681*F681+G681*H681+I681*J681)</x:f>
      </x:c>
      <x:c r="L681" s="9"/>
      <x:c r="M681" s="9" t="str">
        <x:f>IF(A681="","",INDEX('입고대장'!$M$7:$M$1006,MATCH(A681,'입고대장'!$A$7:$A$1006,0)))</x:f>
      </x:c>
      <x:c r="N681" s="9"/>
    </x:row>
    <x:row r="682" ht="23" customHeight="1">
      <x:c r="A682" s="9"/>
      <x:c r="B682" s="10"/>
      <x:c r="C682" s="11"/>
      <x:c r="D682" s="11"/>
      <x:c r="E682" s="11"/>
      <x:c r="F682" s="11"/>
      <x:c r="G682" s="11"/>
      <x:c r="H682" s="11"/>
      <x:c r="I682" s="11"/>
      <x:c r="J682" s="11"/>
      <x:c r="K682" s="12" t="str">
        <x:f>IF(A682="","",E682*F682+G682*H682+I682*J682)</x:f>
      </x:c>
      <x:c r="L682" s="9"/>
      <x:c r="M682" s="9" t="str">
        <x:f>IF(A682="","",INDEX('입고대장'!$M$7:$M$1006,MATCH(A682,'입고대장'!$A$7:$A$1006,0)))</x:f>
      </x:c>
      <x:c r="N682" s="9"/>
    </x:row>
    <x:row r="683" ht="23" customHeight="1">
      <x:c r="A683" s="9"/>
      <x:c r="B683" s="10"/>
      <x:c r="C683" s="11"/>
      <x:c r="D683" s="11"/>
      <x:c r="E683" s="11"/>
      <x:c r="F683" s="11"/>
      <x:c r="G683" s="11"/>
      <x:c r="H683" s="11"/>
      <x:c r="I683" s="11"/>
      <x:c r="J683" s="11"/>
      <x:c r="K683" s="12" t="str">
        <x:f>IF(A683="","",E683*F683+G683*H683+I683*J683)</x:f>
      </x:c>
      <x:c r="L683" s="9"/>
      <x:c r="M683" s="9" t="str">
        <x:f>IF(A683="","",INDEX('입고대장'!$M$7:$M$1006,MATCH(A683,'입고대장'!$A$7:$A$1006,0)))</x:f>
      </x:c>
      <x:c r="N683" s="9"/>
    </x:row>
    <x:row r="684" ht="23" customHeight="1">
      <x:c r="A684" s="9"/>
      <x:c r="B684" s="10"/>
      <x:c r="C684" s="11"/>
      <x:c r="D684" s="11"/>
      <x:c r="E684" s="11"/>
      <x:c r="F684" s="11"/>
      <x:c r="G684" s="11"/>
      <x:c r="H684" s="11"/>
      <x:c r="I684" s="11"/>
      <x:c r="J684" s="11"/>
      <x:c r="K684" s="12" t="str">
        <x:f>IF(A684="","",E684*F684+G684*H684+I684*J684)</x:f>
      </x:c>
      <x:c r="L684" s="9"/>
      <x:c r="M684" s="9" t="str">
        <x:f>IF(A684="","",INDEX('입고대장'!$M$7:$M$1006,MATCH(A684,'입고대장'!$A$7:$A$1006,0)))</x:f>
      </x:c>
      <x:c r="N684" s="9"/>
    </x:row>
    <x:row r="685" ht="23" customHeight="1">
      <x:c r="A685" s="9"/>
      <x:c r="B685" s="10"/>
      <x:c r="C685" s="11"/>
      <x:c r="D685" s="11"/>
      <x:c r="E685" s="11"/>
      <x:c r="F685" s="11"/>
      <x:c r="G685" s="11"/>
      <x:c r="H685" s="11"/>
      <x:c r="I685" s="11"/>
      <x:c r="J685" s="11"/>
      <x:c r="K685" s="12" t="str">
        <x:f>IF(A685="","",E685*F685+G685*H685+I685*J685)</x:f>
      </x:c>
      <x:c r="L685" s="9"/>
      <x:c r="M685" s="9" t="str">
        <x:f>IF(A685="","",INDEX('입고대장'!$M$7:$M$1006,MATCH(A685,'입고대장'!$A$7:$A$1006,0)))</x:f>
      </x:c>
      <x:c r="N685" s="9"/>
    </x:row>
    <x:row r="686" ht="23" customHeight="1">
      <x:c r="A686" s="9"/>
      <x:c r="B686" s="10"/>
      <x:c r="C686" s="11"/>
      <x:c r="D686" s="11"/>
      <x:c r="E686" s="11"/>
      <x:c r="F686" s="11"/>
      <x:c r="G686" s="11"/>
      <x:c r="H686" s="11"/>
      <x:c r="I686" s="11"/>
      <x:c r="J686" s="11"/>
      <x:c r="K686" s="12" t="str">
        <x:f>IF(A686="","",E686*F686+G686*H686+I686*J686)</x:f>
      </x:c>
      <x:c r="L686" s="9"/>
      <x:c r="M686" s="9" t="str">
        <x:f>IF(A686="","",INDEX('입고대장'!$M$7:$M$1006,MATCH(A686,'입고대장'!$A$7:$A$1006,0)))</x:f>
      </x:c>
      <x:c r="N686" s="9"/>
    </x:row>
    <x:row r="687" ht="23" customHeight="1">
      <x:c r="A687" s="9"/>
      <x:c r="B687" s="10"/>
      <x:c r="C687" s="11"/>
      <x:c r="D687" s="11"/>
      <x:c r="E687" s="11"/>
      <x:c r="F687" s="11"/>
      <x:c r="G687" s="11"/>
      <x:c r="H687" s="11"/>
      <x:c r="I687" s="11"/>
      <x:c r="J687" s="11"/>
      <x:c r="K687" s="12" t="str">
        <x:f>IF(A687="","",E687*F687+G687*H687+I687*J687)</x:f>
      </x:c>
      <x:c r="L687" s="9"/>
      <x:c r="M687" s="9" t="str">
        <x:f>IF(A687="","",INDEX('입고대장'!$M$7:$M$1006,MATCH(A687,'입고대장'!$A$7:$A$1006,0)))</x:f>
      </x:c>
      <x:c r="N687" s="9"/>
    </x:row>
    <x:row r="688" ht="23" customHeight="1">
      <x:c r="A688" s="9"/>
      <x:c r="B688" s="10"/>
      <x:c r="C688" s="11"/>
      <x:c r="D688" s="11"/>
      <x:c r="E688" s="11"/>
      <x:c r="F688" s="11"/>
      <x:c r="G688" s="11"/>
      <x:c r="H688" s="11"/>
      <x:c r="I688" s="11"/>
      <x:c r="J688" s="11"/>
      <x:c r="K688" s="12" t="str">
        <x:f>IF(A688="","",E688*F688+G688*H688+I688*J688)</x:f>
      </x:c>
      <x:c r="L688" s="9"/>
      <x:c r="M688" s="9" t="str">
        <x:f>IF(A688="","",INDEX('입고대장'!$M$7:$M$1006,MATCH(A688,'입고대장'!$A$7:$A$1006,0)))</x:f>
      </x:c>
      <x:c r="N688" s="9"/>
    </x:row>
    <x:row r="689" ht="23" customHeight="1">
      <x:c r="A689" s="9"/>
      <x:c r="B689" s="10"/>
      <x:c r="C689" s="11"/>
      <x:c r="D689" s="11"/>
      <x:c r="E689" s="11"/>
      <x:c r="F689" s="11"/>
      <x:c r="G689" s="11"/>
      <x:c r="H689" s="11"/>
      <x:c r="I689" s="11"/>
      <x:c r="J689" s="11"/>
      <x:c r="K689" s="12" t="str">
        <x:f>IF(A689="","",E689*F689+G689*H689+I689*J689)</x:f>
      </x:c>
      <x:c r="L689" s="9"/>
      <x:c r="M689" s="9" t="str">
        <x:f>IF(A689="","",INDEX('입고대장'!$M$7:$M$1006,MATCH(A689,'입고대장'!$A$7:$A$1006,0)))</x:f>
      </x:c>
      <x:c r="N689" s="9"/>
    </x:row>
    <x:row r="690" ht="23" customHeight="1">
      <x:c r="A690" s="9"/>
      <x:c r="B690" s="10"/>
      <x:c r="C690" s="11"/>
      <x:c r="D690" s="11"/>
      <x:c r="E690" s="11"/>
      <x:c r="F690" s="11"/>
      <x:c r="G690" s="11"/>
      <x:c r="H690" s="11"/>
      <x:c r="I690" s="11"/>
      <x:c r="J690" s="11"/>
      <x:c r="K690" s="12" t="str">
        <x:f>IF(A690="","",E690*F690+G690*H690+I690*J690)</x:f>
      </x:c>
      <x:c r="L690" s="9"/>
      <x:c r="M690" s="9" t="str">
        <x:f>IF(A690="","",INDEX('입고대장'!$M$7:$M$1006,MATCH(A690,'입고대장'!$A$7:$A$1006,0)))</x:f>
      </x:c>
      <x:c r="N690" s="9"/>
    </x:row>
    <x:row r="691" ht="23" customHeight="1">
      <x:c r="A691" s="9"/>
      <x:c r="B691" s="10"/>
      <x:c r="C691" s="11"/>
      <x:c r="D691" s="11"/>
      <x:c r="E691" s="11"/>
      <x:c r="F691" s="11"/>
      <x:c r="G691" s="11"/>
      <x:c r="H691" s="11"/>
      <x:c r="I691" s="11"/>
      <x:c r="J691" s="11"/>
      <x:c r="K691" s="12" t="str">
        <x:f>IF(A691="","",E691*F691+G691*H691+I691*J691)</x:f>
      </x:c>
      <x:c r="L691" s="9"/>
      <x:c r="M691" s="9" t="str">
        <x:f>IF(A691="","",INDEX('입고대장'!$M$7:$M$1006,MATCH(A691,'입고대장'!$A$7:$A$1006,0)))</x:f>
      </x:c>
      <x:c r="N691" s="9"/>
    </x:row>
    <x:row r="692" ht="23" customHeight="1">
      <x:c r="A692" s="9"/>
      <x:c r="B692" s="10"/>
      <x:c r="C692" s="11"/>
      <x:c r="D692" s="11"/>
      <x:c r="E692" s="11"/>
      <x:c r="F692" s="11"/>
      <x:c r="G692" s="11"/>
      <x:c r="H692" s="11"/>
      <x:c r="I692" s="11"/>
      <x:c r="J692" s="11"/>
      <x:c r="K692" s="12" t="str">
        <x:f>IF(A692="","",E692*F692+G692*H692+I692*J692)</x:f>
      </x:c>
      <x:c r="L692" s="9"/>
      <x:c r="M692" s="9" t="str">
        <x:f>IF(A692="","",INDEX('입고대장'!$M$7:$M$1006,MATCH(A692,'입고대장'!$A$7:$A$1006,0)))</x:f>
      </x:c>
      <x:c r="N692" s="9"/>
    </x:row>
    <x:row r="693" ht="23" customHeight="1">
      <x:c r="A693" s="9"/>
      <x:c r="B693" s="10"/>
      <x:c r="C693" s="11"/>
      <x:c r="D693" s="11"/>
      <x:c r="E693" s="11"/>
      <x:c r="F693" s="11"/>
      <x:c r="G693" s="11"/>
      <x:c r="H693" s="11"/>
      <x:c r="I693" s="11"/>
      <x:c r="J693" s="11"/>
      <x:c r="K693" s="12" t="str">
        <x:f>IF(A693="","",E693*F693+G693*H693+I693*J693)</x:f>
      </x:c>
      <x:c r="L693" s="9"/>
      <x:c r="M693" s="9" t="str">
        <x:f>IF(A693="","",INDEX('입고대장'!$M$7:$M$1006,MATCH(A693,'입고대장'!$A$7:$A$1006,0)))</x:f>
      </x:c>
      <x:c r="N693" s="9"/>
    </x:row>
    <x:row r="694" ht="23" customHeight="1">
      <x:c r="A694" s="9"/>
      <x:c r="B694" s="10"/>
      <x:c r="C694" s="11"/>
      <x:c r="D694" s="11"/>
      <x:c r="E694" s="11"/>
      <x:c r="F694" s="11"/>
      <x:c r="G694" s="11"/>
      <x:c r="H694" s="11"/>
      <x:c r="I694" s="11"/>
      <x:c r="J694" s="11"/>
      <x:c r="K694" s="12" t="str">
        <x:f>IF(A694="","",E694*F694+G694*H694+I694*J694)</x:f>
      </x:c>
      <x:c r="L694" s="9"/>
      <x:c r="M694" s="9" t="str">
        <x:f>IF(A694="","",INDEX('입고대장'!$M$7:$M$1006,MATCH(A694,'입고대장'!$A$7:$A$1006,0)))</x:f>
      </x:c>
      <x:c r="N694" s="9"/>
    </x:row>
    <x:row r="695" ht="23" customHeight="1">
      <x:c r="A695" s="9"/>
      <x:c r="B695" s="10"/>
      <x:c r="C695" s="11"/>
      <x:c r="D695" s="11"/>
      <x:c r="E695" s="11"/>
      <x:c r="F695" s="11"/>
      <x:c r="G695" s="11"/>
      <x:c r="H695" s="11"/>
      <x:c r="I695" s="11"/>
      <x:c r="J695" s="11"/>
      <x:c r="K695" s="12" t="str">
        <x:f>IF(A695="","",E695*F695+G695*H695+I695*J695)</x:f>
      </x:c>
      <x:c r="L695" s="9"/>
      <x:c r="M695" s="9" t="str">
        <x:f>IF(A695="","",INDEX('입고대장'!$M$7:$M$1006,MATCH(A695,'입고대장'!$A$7:$A$1006,0)))</x:f>
      </x:c>
      <x:c r="N695" s="9"/>
    </x:row>
    <x:row r="696" ht="23" customHeight="1">
      <x:c r="A696" s="9"/>
      <x:c r="B696" s="10"/>
      <x:c r="C696" s="11"/>
      <x:c r="D696" s="11"/>
      <x:c r="E696" s="11"/>
      <x:c r="F696" s="11"/>
      <x:c r="G696" s="11"/>
      <x:c r="H696" s="11"/>
      <x:c r="I696" s="11"/>
      <x:c r="J696" s="11"/>
      <x:c r="K696" s="12" t="str">
        <x:f>IF(A696="","",E696*F696+G696*H696+I696*J696)</x:f>
      </x:c>
      <x:c r="L696" s="9"/>
      <x:c r="M696" s="9" t="str">
        <x:f>IF(A696="","",INDEX('입고대장'!$M$7:$M$1006,MATCH(A696,'입고대장'!$A$7:$A$1006,0)))</x:f>
      </x:c>
      <x:c r="N696" s="9"/>
    </x:row>
    <x:row r="697" ht="23" customHeight="1">
      <x:c r="A697" s="9"/>
      <x:c r="B697" s="10"/>
      <x:c r="C697" s="11"/>
      <x:c r="D697" s="11"/>
      <x:c r="E697" s="11"/>
      <x:c r="F697" s="11"/>
      <x:c r="G697" s="11"/>
      <x:c r="H697" s="11"/>
      <x:c r="I697" s="11"/>
      <x:c r="J697" s="11"/>
      <x:c r="K697" s="12" t="str">
        <x:f>IF(A697="","",E697*F697+G697*H697+I697*J697)</x:f>
      </x:c>
      <x:c r="L697" s="9"/>
      <x:c r="M697" s="9" t="str">
        <x:f>IF(A697="","",INDEX('입고대장'!$M$7:$M$1006,MATCH(A697,'입고대장'!$A$7:$A$1006,0)))</x:f>
      </x:c>
      <x:c r="N697" s="9"/>
    </x:row>
    <x:row r="698" ht="23" customHeight="1">
      <x:c r="A698" s="9"/>
      <x:c r="B698" s="10"/>
      <x:c r="C698" s="11"/>
      <x:c r="D698" s="11"/>
      <x:c r="E698" s="11"/>
      <x:c r="F698" s="11"/>
      <x:c r="G698" s="11"/>
      <x:c r="H698" s="11"/>
      <x:c r="I698" s="11"/>
      <x:c r="J698" s="11"/>
      <x:c r="K698" s="12" t="str">
        <x:f>IF(A698="","",E698*F698+G698*H698+I698*J698)</x:f>
      </x:c>
      <x:c r="L698" s="9"/>
      <x:c r="M698" s="9" t="str">
        <x:f>IF(A698="","",INDEX('입고대장'!$M$7:$M$1006,MATCH(A698,'입고대장'!$A$7:$A$1006,0)))</x:f>
      </x:c>
      <x:c r="N698" s="9"/>
    </x:row>
    <x:row r="699" ht="23" customHeight="1">
      <x:c r="A699" s="9"/>
      <x:c r="B699" s="10"/>
      <x:c r="C699" s="11"/>
      <x:c r="D699" s="11"/>
      <x:c r="E699" s="11"/>
      <x:c r="F699" s="11"/>
      <x:c r="G699" s="11"/>
      <x:c r="H699" s="11"/>
      <x:c r="I699" s="11"/>
      <x:c r="J699" s="11"/>
      <x:c r="K699" s="12" t="str">
        <x:f>IF(A699="","",E699*F699+G699*H699+I699*J699)</x:f>
      </x:c>
      <x:c r="L699" s="9"/>
      <x:c r="M699" s="9" t="str">
        <x:f>IF(A699="","",INDEX('입고대장'!$M$7:$M$1006,MATCH(A699,'입고대장'!$A$7:$A$1006,0)))</x:f>
      </x:c>
      <x:c r="N699" s="9"/>
    </x:row>
    <x:row r="700" ht="23" customHeight="1">
      <x:c r="A700" s="9"/>
      <x:c r="B700" s="10"/>
      <x:c r="C700" s="11"/>
      <x:c r="D700" s="11"/>
      <x:c r="E700" s="11"/>
      <x:c r="F700" s="11"/>
      <x:c r="G700" s="11"/>
      <x:c r="H700" s="11"/>
      <x:c r="I700" s="11"/>
      <x:c r="J700" s="11"/>
      <x:c r="K700" s="12" t="str">
        <x:f>IF(A700="","",E700*F700+G700*H700+I700*J700)</x:f>
      </x:c>
      <x:c r="L700" s="9"/>
      <x:c r="M700" s="9" t="str">
        <x:f>IF(A700="","",INDEX('입고대장'!$M$7:$M$1006,MATCH(A700,'입고대장'!$A$7:$A$1006,0)))</x:f>
      </x:c>
      <x:c r="N700" s="9"/>
    </x:row>
    <x:row r="701" ht="23" customHeight="1">
      <x:c r="A701" s="9"/>
      <x:c r="B701" s="10"/>
      <x:c r="C701" s="11"/>
      <x:c r="D701" s="11"/>
      <x:c r="E701" s="11"/>
      <x:c r="F701" s="11"/>
      <x:c r="G701" s="11"/>
      <x:c r="H701" s="11"/>
      <x:c r="I701" s="11"/>
      <x:c r="J701" s="11"/>
      <x:c r="K701" s="12" t="str">
        <x:f>IF(A701="","",E701*F701+G701*H701+I701*J701)</x:f>
      </x:c>
      <x:c r="L701" s="9"/>
      <x:c r="M701" s="9" t="str">
        <x:f>IF(A701="","",INDEX('입고대장'!$M$7:$M$1006,MATCH(A701,'입고대장'!$A$7:$A$1006,0)))</x:f>
      </x:c>
      <x:c r="N701" s="9"/>
    </x:row>
    <x:row r="702" ht="23" customHeight="1">
      <x:c r="A702" s="9"/>
      <x:c r="B702" s="10"/>
      <x:c r="C702" s="11"/>
      <x:c r="D702" s="11"/>
      <x:c r="E702" s="11"/>
      <x:c r="F702" s="11"/>
      <x:c r="G702" s="11"/>
      <x:c r="H702" s="11"/>
      <x:c r="I702" s="11"/>
      <x:c r="J702" s="11"/>
      <x:c r="K702" s="12" t="str">
        <x:f>IF(A702="","",E702*F702+G702*H702+I702*J702)</x:f>
      </x:c>
      <x:c r="L702" s="9"/>
      <x:c r="M702" s="9" t="str">
        <x:f>IF(A702="","",INDEX('입고대장'!$M$7:$M$1006,MATCH(A702,'입고대장'!$A$7:$A$1006,0)))</x:f>
      </x:c>
      <x:c r="N702" s="9"/>
    </x:row>
    <x:row r="703" ht="23" customHeight="1">
      <x:c r="A703" s="9"/>
      <x:c r="B703" s="10"/>
      <x:c r="C703" s="11"/>
      <x:c r="D703" s="11"/>
      <x:c r="E703" s="11"/>
      <x:c r="F703" s="11"/>
      <x:c r="G703" s="11"/>
      <x:c r="H703" s="11"/>
      <x:c r="I703" s="11"/>
      <x:c r="J703" s="11"/>
      <x:c r="K703" s="12" t="str">
        <x:f>IF(A703="","",E703*F703+G703*H703+I703*J703)</x:f>
      </x:c>
      <x:c r="L703" s="9"/>
      <x:c r="M703" s="9" t="str">
        <x:f>IF(A703="","",INDEX('입고대장'!$M$7:$M$1006,MATCH(A703,'입고대장'!$A$7:$A$1006,0)))</x:f>
      </x:c>
      <x:c r="N703" s="9"/>
    </x:row>
    <x:row r="704" ht="23" customHeight="1">
      <x:c r="A704" s="9"/>
      <x:c r="B704" s="10"/>
      <x:c r="C704" s="11"/>
      <x:c r="D704" s="11"/>
      <x:c r="E704" s="11"/>
      <x:c r="F704" s="11"/>
      <x:c r="G704" s="11"/>
      <x:c r="H704" s="11"/>
      <x:c r="I704" s="11"/>
      <x:c r="J704" s="11"/>
      <x:c r="K704" s="12" t="str">
        <x:f>IF(A704="","",E704*F704+G704*H704+I704*J704)</x:f>
      </x:c>
      <x:c r="L704" s="9"/>
      <x:c r="M704" s="9" t="str">
        <x:f>IF(A704="","",INDEX('입고대장'!$M$7:$M$1006,MATCH(A704,'입고대장'!$A$7:$A$1006,0)))</x:f>
      </x:c>
      <x:c r="N704" s="9"/>
    </x:row>
    <x:row r="705" ht="23" customHeight="1">
      <x:c r="A705" s="9"/>
      <x:c r="B705" s="10"/>
      <x:c r="C705" s="11"/>
      <x:c r="D705" s="11"/>
      <x:c r="E705" s="11"/>
      <x:c r="F705" s="11"/>
      <x:c r="G705" s="11"/>
      <x:c r="H705" s="11"/>
      <x:c r="I705" s="11"/>
      <x:c r="J705" s="11"/>
      <x:c r="K705" s="12" t="str">
        <x:f>IF(A705="","",E705*F705+G705*H705+I705*J705)</x:f>
      </x:c>
      <x:c r="L705" s="9"/>
      <x:c r="M705" s="9" t="str">
        <x:f>IF(A705="","",INDEX('입고대장'!$M$7:$M$1006,MATCH(A705,'입고대장'!$A$7:$A$1006,0)))</x:f>
      </x:c>
      <x:c r="N705" s="9"/>
    </x:row>
    <x:row r="706" ht="23" customHeight="1">
      <x:c r="A706" s="9"/>
      <x:c r="B706" s="10"/>
      <x:c r="C706" s="11"/>
      <x:c r="D706" s="11"/>
      <x:c r="E706" s="11"/>
      <x:c r="F706" s="11"/>
      <x:c r="G706" s="11"/>
      <x:c r="H706" s="11"/>
      <x:c r="I706" s="11"/>
      <x:c r="J706" s="11"/>
      <x:c r="K706" s="12" t="str">
        <x:f>IF(A706="","",E706*F706+G706*H706+I706*J706)</x:f>
      </x:c>
      <x:c r="L706" s="9"/>
      <x:c r="M706" s="9" t="str">
        <x:f>IF(A706="","",INDEX('입고대장'!$M$7:$M$1006,MATCH(A706,'입고대장'!$A$7:$A$1006,0)))</x:f>
      </x:c>
      <x:c r="N706" s="9"/>
    </x:row>
    <x:row r="707" ht="23" customHeight="1">
      <x:c r="A707" s="9"/>
      <x:c r="B707" s="10"/>
      <x:c r="C707" s="11"/>
      <x:c r="D707" s="11"/>
      <x:c r="E707" s="11"/>
      <x:c r="F707" s="11"/>
      <x:c r="G707" s="11"/>
      <x:c r="H707" s="11"/>
      <x:c r="I707" s="11"/>
      <x:c r="J707" s="11"/>
      <x:c r="K707" s="12" t="str">
        <x:f>IF(A707="","",E707*F707+G707*H707+I707*J707)</x:f>
      </x:c>
      <x:c r="L707" s="9"/>
      <x:c r="M707" s="9" t="str">
        <x:f>IF(A707="","",INDEX('입고대장'!$M$7:$M$1006,MATCH(A707,'입고대장'!$A$7:$A$1006,0)))</x:f>
      </x:c>
      <x:c r="N707" s="9"/>
    </x:row>
    <x:row r="708" ht="23" customHeight="1">
      <x:c r="A708" s="9"/>
      <x:c r="B708" s="10"/>
      <x:c r="C708" s="11"/>
      <x:c r="D708" s="11"/>
      <x:c r="E708" s="11"/>
      <x:c r="F708" s="11"/>
      <x:c r="G708" s="11"/>
      <x:c r="H708" s="11"/>
      <x:c r="I708" s="11"/>
      <x:c r="J708" s="11"/>
      <x:c r="K708" s="12" t="str">
        <x:f>IF(A708="","",E708*F708+G708*H708+I708*J708)</x:f>
      </x:c>
      <x:c r="L708" s="9"/>
      <x:c r="M708" s="9" t="str">
        <x:f>IF(A708="","",INDEX('입고대장'!$M$7:$M$1006,MATCH(A708,'입고대장'!$A$7:$A$1006,0)))</x:f>
      </x:c>
      <x:c r="N708" s="9"/>
    </x:row>
    <x:row r="709" ht="23" customHeight="1">
      <x:c r="A709" s="9"/>
      <x:c r="B709" s="10"/>
      <x:c r="C709" s="11"/>
      <x:c r="D709" s="11"/>
      <x:c r="E709" s="11"/>
      <x:c r="F709" s="11"/>
      <x:c r="G709" s="11"/>
      <x:c r="H709" s="11"/>
      <x:c r="I709" s="11"/>
      <x:c r="J709" s="11"/>
      <x:c r="K709" s="12" t="str">
        <x:f>IF(A709="","",E709*F709+G709*H709+I709*J709)</x:f>
      </x:c>
      <x:c r="L709" s="9"/>
      <x:c r="M709" s="9" t="str">
        <x:f>IF(A709="","",INDEX('입고대장'!$M$7:$M$1006,MATCH(A709,'입고대장'!$A$7:$A$1006,0)))</x:f>
      </x:c>
      <x:c r="N709" s="9"/>
    </x:row>
    <x:row r="710" ht="23" customHeight="1">
      <x:c r="A710" s="9"/>
      <x:c r="B710" s="10"/>
      <x:c r="C710" s="11"/>
      <x:c r="D710" s="11"/>
      <x:c r="E710" s="11"/>
      <x:c r="F710" s="11"/>
      <x:c r="G710" s="11"/>
      <x:c r="H710" s="11"/>
      <x:c r="I710" s="11"/>
      <x:c r="J710" s="11"/>
      <x:c r="K710" s="12" t="str">
        <x:f>IF(A710="","",E710*F710+G710*H710+I710*J710)</x:f>
      </x:c>
      <x:c r="L710" s="9"/>
      <x:c r="M710" s="9" t="str">
        <x:f>IF(A710="","",INDEX('입고대장'!$M$7:$M$1006,MATCH(A710,'입고대장'!$A$7:$A$1006,0)))</x:f>
      </x:c>
      <x:c r="N710" s="9"/>
    </x:row>
    <x:row r="711" ht="23" customHeight="1">
      <x:c r="A711" s="9"/>
      <x:c r="B711" s="10"/>
      <x:c r="C711" s="11"/>
      <x:c r="D711" s="11"/>
      <x:c r="E711" s="11"/>
      <x:c r="F711" s="11"/>
      <x:c r="G711" s="11"/>
      <x:c r="H711" s="11"/>
      <x:c r="I711" s="11"/>
      <x:c r="J711" s="11"/>
      <x:c r="K711" s="12" t="str">
        <x:f>IF(A711="","",E711*F711+G711*H711+I711*J711)</x:f>
      </x:c>
      <x:c r="L711" s="9"/>
      <x:c r="M711" s="9" t="str">
        <x:f>IF(A711="","",INDEX('입고대장'!$M$7:$M$1006,MATCH(A711,'입고대장'!$A$7:$A$1006,0)))</x:f>
      </x:c>
      <x:c r="N711" s="9"/>
    </x:row>
    <x:row r="712" ht="23" customHeight="1">
      <x:c r="A712" s="9"/>
      <x:c r="B712" s="10"/>
      <x:c r="C712" s="11"/>
      <x:c r="D712" s="11"/>
      <x:c r="E712" s="11"/>
      <x:c r="F712" s="11"/>
      <x:c r="G712" s="11"/>
      <x:c r="H712" s="11"/>
      <x:c r="I712" s="11"/>
      <x:c r="J712" s="11"/>
      <x:c r="K712" s="12" t="str">
        <x:f>IF(A712="","",E712*F712+G712*H712+I712*J712)</x:f>
      </x:c>
      <x:c r="L712" s="9"/>
      <x:c r="M712" s="9" t="str">
        <x:f>IF(A712="","",INDEX('입고대장'!$M$7:$M$1006,MATCH(A712,'입고대장'!$A$7:$A$1006,0)))</x:f>
      </x:c>
      <x:c r="N712" s="9"/>
    </x:row>
    <x:row r="713" ht="23" customHeight="1">
      <x:c r="A713" s="9"/>
      <x:c r="B713" s="10"/>
      <x:c r="C713" s="11"/>
      <x:c r="D713" s="11"/>
      <x:c r="E713" s="11"/>
      <x:c r="F713" s="11"/>
      <x:c r="G713" s="11"/>
      <x:c r="H713" s="11"/>
      <x:c r="I713" s="11"/>
      <x:c r="J713" s="11"/>
      <x:c r="K713" s="12" t="str">
        <x:f>IF(A713="","",E713*F713+G713*H713+I713*J713)</x:f>
      </x:c>
      <x:c r="L713" s="9"/>
      <x:c r="M713" s="9" t="str">
        <x:f>IF(A713="","",INDEX('입고대장'!$M$7:$M$1006,MATCH(A713,'입고대장'!$A$7:$A$1006,0)))</x:f>
      </x:c>
      <x:c r="N713" s="9"/>
    </x:row>
    <x:row r="714" ht="23" customHeight="1">
      <x:c r="A714" s="9"/>
      <x:c r="B714" s="10"/>
      <x:c r="C714" s="11"/>
      <x:c r="D714" s="11"/>
      <x:c r="E714" s="11"/>
      <x:c r="F714" s="11"/>
      <x:c r="G714" s="11"/>
      <x:c r="H714" s="11"/>
      <x:c r="I714" s="11"/>
      <x:c r="J714" s="11"/>
      <x:c r="K714" s="12" t="str">
        <x:f>IF(A714="","",E714*F714+G714*H714+I714*J714)</x:f>
      </x:c>
      <x:c r="L714" s="9"/>
      <x:c r="M714" s="9" t="str">
        <x:f>IF(A714="","",INDEX('입고대장'!$M$7:$M$1006,MATCH(A714,'입고대장'!$A$7:$A$1006,0)))</x:f>
      </x:c>
      <x:c r="N714" s="9"/>
    </x:row>
    <x:row r="715" ht="23" customHeight="1">
      <x:c r="A715" s="9"/>
      <x:c r="B715" s="10"/>
      <x:c r="C715" s="11"/>
      <x:c r="D715" s="11"/>
      <x:c r="E715" s="11"/>
      <x:c r="F715" s="11"/>
      <x:c r="G715" s="11"/>
      <x:c r="H715" s="11"/>
      <x:c r="I715" s="11"/>
      <x:c r="J715" s="11"/>
      <x:c r="K715" s="12" t="str">
        <x:f>IF(A715="","",E715*F715+G715*H715+I715*J715)</x:f>
      </x:c>
      <x:c r="L715" s="9"/>
      <x:c r="M715" s="9" t="str">
        <x:f>IF(A715="","",INDEX('입고대장'!$M$7:$M$1006,MATCH(A715,'입고대장'!$A$7:$A$1006,0)))</x:f>
      </x:c>
      <x:c r="N715" s="9"/>
    </x:row>
    <x:row r="716" ht="23" customHeight="1">
      <x:c r="A716" s="9"/>
      <x:c r="B716" s="10"/>
      <x:c r="C716" s="11"/>
      <x:c r="D716" s="11"/>
      <x:c r="E716" s="11"/>
      <x:c r="F716" s="11"/>
      <x:c r="G716" s="11"/>
      <x:c r="H716" s="11"/>
      <x:c r="I716" s="11"/>
      <x:c r="J716" s="11"/>
      <x:c r="K716" s="12" t="str">
        <x:f>IF(A716="","",E716*F716+G716*H716+I716*J716)</x:f>
      </x:c>
      <x:c r="L716" s="9"/>
      <x:c r="M716" s="9" t="str">
        <x:f>IF(A716="","",INDEX('입고대장'!$M$7:$M$1006,MATCH(A716,'입고대장'!$A$7:$A$1006,0)))</x:f>
      </x:c>
      <x:c r="N716" s="9"/>
    </x:row>
    <x:row r="717" ht="23" customHeight="1">
      <x:c r="A717" s="9"/>
      <x:c r="B717" s="10"/>
      <x:c r="C717" s="11"/>
      <x:c r="D717" s="11"/>
      <x:c r="E717" s="11"/>
      <x:c r="F717" s="11"/>
      <x:c r="G717" s="11"/>
      <x:c r="H717" s="11"/>
      <x:c r="I717" s="11"/>
      <x:c r="J717" s="11"/>
      <x:c r="K717" s="12" t="str">
        <x:f>IF(A717="","",E717*F717+G717*H717+I717*J717)</x:f>
      </x:c>
      <x:c r="L717" s="9"/>
      <x:c r="M717" s="9" t="str">
        <x:f>IF(A717="","",INDEX('입고대장'!$M$7:$M$1006,MATCH(A717,'입고대장'!$A$7:$A$1006,0)))</x:f>
      </x:c>
      <x:c r="N717" s="9"/>
    </x:row>
    <x:row r="718" ht="23" customHeight="1">
      <x:c r="A718" s="9"/>
      <x:c r="B718" s="10"/>
      <x:c r="C718" s="11"/>
      <x:c r="D718" s="11"/>
      <x:c r="E718" s="11"/>
      <x:c r="F718" s="11"/>
      <x:c r="G718" s="11"/>
      <x:c r="H718" s="11"/>
      <x:c r="I718" s="11"/>
      <x:c r="J718" s="11"/>
      <x:c r="K718" s="12" t="str">
        <x:f>IF(A718="","",E718*F718+G718*H718+I718*J718)</x:f>
      </x:c>
      <x:c r="L718" s="9"/>
      <x:c r="M718" s="9" t="str">
        <x:f>IF(A718="","",INDEX('입고대장'!$M$7:$M$1006,MATCH(A718,'입고대장'!$A$7:$A$1006,0)))</x:f>
      </x:c>
      <x:c r="N718" s="9"/>
    </x:row>
    <x:row r="719" ht="23" customHeight="1">
      <x:c r="A719" s="9"/>
      <x:c r="B719" s="10"/>
      <x:c r="C719" s="11"/>
      <x:c r="D719" s="11"/>
      <x:c r="E719" s="11"/>
      <x:c r="F719" s="11"/>
      <x:c r="G719" s="11"/>
      <x:c r="H719" s="11"/>
      <x:c r="I719" s="11"/>
      <x:c r="J719" s="11"/>
      <x:c r="K719" s="12" t="str">
        <x:f>IF(A719="","",E719*F719+G719*H719+I719*J719)</x:f>
      </x:c>
      <x:c r="L719" s="9"/>
      <x:c r="M719" s="9" t="str">
        <x:f>IF(A719="","",INDEX('입고대장'!$M$7:$M$1006,MATCH(A719,'입고대장'!$A$7:$A$1006,0)))</x:f>
      </x:c>
      <x:c r="N719" s="9"/>
    </x:row>
    <x:row r="720" ht="23" customHeight="1">
      <x:c r="A720" s="9"/>
      <x:c r="B720" s="10"/>
      <x:c r="C720" s="11"/>
      <x:c r="D720" s="11"/>
      <x:c r="E720" s="11"/>
      <x:c r="F720" s="11"/>
      <x:c r="G720" s="11"/>
      <x:c r="H720" s="11"/>
      <x:c r="I720" s="11"/>
      <x:c r="J720" s="11"/>
      <x:c r="K720" s="12" t="str">
        <x:f>IF(A720="","",E720*F720+G720*H720+I720*J720)</x:f>
      </x:c>
      <x:c r="L720" s="9"/>
      <x:c r="M720" s="9" t="str">
        <x:f>IF(A720="","",INDEX('입고대장'!$M$7:$M$1006,MATCH(A720,'입고대장'!$A$7:$A$1006,0)))</x:f>
      </x:c>
      <x:c r="N720" s="9"/>
    </x:row>
    <x:row r="721" ht="23" customHeight="1">
      <x:c r="A721" s="9"/>
      <x:c r="B721" s="10"/>
      <x:c r="C721" s="11"/>
      <x:c r="D721" s="11"/>
      <x:c r="E721" s="11"/>
      <x:c r="F721" s="11"/>
      <x:c r="G721" s="11"/>
      <x:c r="H721" s="11"/>
      <x:c r="I721" s="11"/>
      <x:c r="J721" s="11"/>
      <x:c r="K721" s="12" t="str">
        <x:f>IF(A721="","",E721*F721+G721*H721+I721*J721)</x:f>
      </x:c>
      <x:c r="L721" s="9"/>
      <x:c r="M721" s="9" t="str">
        <x:f>IF(A721="","",INDEX('입고대장'!$M$7:$M$1006,MATCH(A721,'입고대장'!$A$7:$A$1006,0)))</x:f>
      </x:c>
      <x:c r="N721" s="9"/>
    </x:row>
    <x:row r="722" ht="23" customHeight="1">
      <x:c r="A722" s="9"/>
      <x:c r="B722" s="10"/>
      <x:c r="C722" s="11"/>
      <x:c r="D722" s="11"/>
      <x:c r="E722" s="11"/>
      <x:c r="F722" s="11"/>
      <x:c r="G722" s="11"/>
      <x:c r="H722" s="11"/>
      <x:c r="I722" s="11"/>
      <x:c r="J722" s="11"/>
      <x:c r="K722" s="12" t="str">
        <x:f>IF(A722="","",E722*F722+G722*H722+I722*J722)</x:f>
      </x:c>
      <x:c r="L722" s="9"/>
      <x:c r="M722" s="9" t="str">
        <x:f>IF(A722="","",INDEX('입고대장'!$M$7:$M$1006,MATCH(A722,'입고대장'!$A$7:$A$1006,0)))</x:f>
      </x:c>
      <x:c r="N722" s="9"/>
    </x:row>
    <x:row r="723" ht="23" customHeight="1">
      <x:c r="A723" s="9"/>
      <x:c r="B723" s="10"/>
      <x:c r="C723" s="11"/>
      <x:c r="D723" s="11"/>
      <x:c r="E723" s="11"/>
      <x:c r="F723" s="11"/>
      <x:c r="G723" s="11"/>
      <x:c r="H723" s="11"/>
      <x:c r="I723" s="11"/>
      <x:c r="J723" s="11"/>
      <x:c r="K723" s="12" t="str">
        <x:f>IF(A723="","",E723*F723+G723*H723+I723*J723)</x:f>
      </x:c>
      <x:c r="L723" s="9"/>
      <x:c r="M723" s="9" t="str">
        <x:f>IF(A723="","",INDEX('입고대장'!$M$7:$M$1006,MATCH(A723,'입고대장'!$A$7:$A$1006,0)))</x:f>
      </x:c>
      <x:c r="N723" s="9"/>
    </x:row>
    <x:row r="724" ht="23" customHeight="1">
      <x:c r="A724" s="9"/>
      <x:c r="B724" s="10"/>
      <x:c r="C724" s="11"/>
      <x:c r="D724" s="11"/>
      <x:c r="E724" s="11"/>
      <x:c r="F724" s="11"/>
      <x:c r="G724" s="11"/>
      <x:c r="H724" s="11"/>
      <x:c r="I724" s="11"/>
      <x:c r="J724" s="11"/>
      <x:c r="K724" s="12" t="str">
        <x:f>IF(A724="","",E724*F724+G724*H724+I724*J724)</x:f>
      </x:c>
      <x:c r="L724" s="9"/>
      <x:c r="M724" s="9" t="str">
        <x:f>IF(A724="","",INDEX('입고대장'!$M$7:$M$1006,MATCH(A724,'입고대장'!$A$7:$A$1006,0)))</x:f>
      </x:c>
      <x:c r="N724" s="9"/>
    </x:row>
    <x:row r="725" ht="23" customHeight="1">
      <x:c r="A725" s="9"/>
      <x:c r="B725" s="10"/>
      <x:c r="C725" s="11"/>
      <x:c r="D725" s="11"/>
      <x:c r="E725" s="11"/>
      <x:c r="F725" s="11"/>
      <x:c r="G725" s="11"/>
      <x:c r="H725" s="11"/>
      <x:c r="I725" s="11"/>
      <x:c r="J725" s="11"/>
      <x:c r="K725" s="12" t="str">
        <x:f>IF(A725="","",E725*F725+G725*H725+I725*J725)</x:f>
      </x:c>
      <x:c r="L725" s="9"/>
      <x:c r="M725" s="9" t="str">
        <x:f>IF(A725="","",INDEX('입고대장'!$M$7:$M$1006,MATCH(A725,'입고대장'!$A$7:$A$1006,0)))</x:f>
      </x:c>
      <x:c r="N725" s="9"/>
    </x:row>
    <x:row r="726" ht="23" customHeight="1">
      <x:c r="A726" s="9"/>
      <x:c r="B726" s="10"/>
      <x:c r="C726" s="11"/>
      <x:c r="D726" s="11"/>
      <x:c r="E726" s="11"/>
      <x:c r="F726" s="11"/>
      <x:c r="G726" s="11"/>
      <x:c r="H726" s="11"/>
      <x:c r="I726" s="11"/>
      <x:c r="J726" s="11"/>
      <x:c r="K726" s="12" t="str">
        <x:f>IF(A726="","",E726*F726+G726*H726+I726*J726)</x:f>
      </x:c>
      <x:c r="L726" s="9"/>
      <x:c r="M726" s="9" t="str">
        <x:f>IF(A726="","",INDEX('입고대장'!$M$7:$M$1006,MATCH(A726,'입고대장'!$A$7:$A$1006,0)))</x:f>
      </x:c>
      <x:c r="N726" s="9"/>
    </x:row>
    <x:row r="727" ht="23" customHeight="1">
      <x:c r="A727" s="9"/>
      <x:c r="B727" s="10"/>
      <x:c r="C727" s="11"/>
      <x:c r="D727" s="11"/>
      <x:c r="E727" s="11"/>
      <x:c r="F727" s="11"/>
      <x:c r="G727" s="11"/>
      <x:c r="H727" s="11"/>
      <x:c r="I727" s="11"/>
      <x:c r="J727" s="11"/>
      <x:c r="K727" s="12" t="str">
        <x:f>IF(A727="","",E727*F727+G727*H727+I727*J727)</x:f>
      </x:c>
      <x:c r="L727" s="9"/>
      <x:c r="M727" s="9" t="str">
        <x:f>IF(A727="","",INDEX('입고대장'!$M$7:$M$1006,MATCH(A727,'입고대장'!$A$7:$A$1006,0)))</x:f>
      </x:c>
      <x:c r="N727" s="9"/>
    </x:row>
    <x:row r="728" ht="23" customHeight="1">
      <x:c r="A728" s="9"/>
      <x:c r="B728" s="10"/>
      <x:c r="C728" s="11"/>
      <x:c r="D728" s="11"/>
      <x:c r="E728" s="11"/>
      <x:c r="F728" s="11"/>
      <x:c r="G728" s="11"/>
      <x:c r="H728" s="11"/>
      <x:c r="I728" s="11"/>
      <x:c r="J728" s="11"/>
      <x:c r="K728" s="12" t="str">
        <x:f>IF(A728="","",E728*F728+G728*H728+I728*J728)</x:f>
      </x:c>
      <x:c r="L728" s="9"/>
      <x:c r="M728" s="9" t="str">
        <x:f>IF(A728="","",INDEX('입고대장'!$M$7:$M$1006,MATCH(A728,'입고대장'!$A$7:$A$1006,0)))</x:f>
      </x:c>
      <x:c r="N728" s="9"/>
    </x:row>
    <x:row r="729" ht="23" customHeight="1">
      <x:c r="A729" s="9"/>
      <x:c r="B729" s="10"/>
      <x:c r="C729" s="11"/>
      <x:c r="D729" s="11"/>
      <x:c r="E729" s="11"/>
      <x:c r="F729" s="11"/>
      <x:c r="G729" s="11"/>
      <x:c r="H729" s="11"/>
      <x:c r="I729" s="11"/>
      <x:c r="J729" s="11"/>
      <x:c r="K729" s="12" t="str">
        <x:f>IF(A729="","",E729*F729+G729*H729+I729*J729)</x:f>
      </x:c>
      <x:c r="L729" s="9"/>
      <x:c r="M729" s="9" t="str">
        <x:f>IF(A729="","",INDEX('입고대장'!$M$7:$M$1006,MATCH(A729,'입고대장'!$A$7:$A$1006,0)))</x:f>
      </x:c>
      <x:c r="N729" s="9"/>
    </x:row>
    <x:row r="730" ht="23" customHeight="1">
      <x:c r="A730" s="9"/>
      <x:c r="B730" s="10"/>
      <x:c r="C730" s="11"/>
      <x:c r="D730" s="11"/>
      <x:c r="E730" s="11"/>
      <x:c r="F730" s="11"/>
      <x:c r="G730" s="11"/>
      <x:c r="H730" s="11"/>
      <x:c r="I730" s="11"/>
      <x:c r="J730" s="11"/>
      <x:c r="K730" s="12" t="str">
        <x:f>IF(A730="","",E730*F730+G730*H730+I730*J730)</x:f>
      </x:c>
      <x:c r="L730" s="9"/>
      <x:c r="M730" s="9" t="str">
        <x:f>IF(A730="","",INDEX('입고대장'!$M$7:$M$1006,MATCH(A730,'입고대장'!$A$7:$A$1006,0)))</x:f>
      </x:c>
      <x:c r="N730" s="9"/>
    </x:row>
    <x:row r="731" ht="23" customHeight="1">
      <x:c r="A731" s="9"/>
      <x:c r="B731" s="10"/>
      <x:c r="C731" s="11"/>
      <x:c r="D731" s="11"/>
      <x:c r="E731" s="11"/>
      <x:c r="F731" s="11"/>
      <x:c r="G731" s="11"/>
      <x:c r="H731" s="11"/>
      <x:c r="I731" s="11"/>
      <x:c r="J731" s="11"/>
      <x:c r="K731" s="12" t="str">
        <x:f>IF(A731="","",E731*F731+G731*H731+I731*J731)</x:f>
      </x:c>
      <x:c r="L731" s="9"/>
      <x:c r="M731" s="9" t="str">
        <x:f>IF(A731="","",INDEX('입고대장'!$M$7:$M$1006,MATCH(A731,'입고대장'!$A$7:$A$1006,0)))</x:f>
      </x:c>
      <x:c r="N731" s="9"/>
    </x:row>
    <x:row r="732" ht="23" customHeight="1">
      <x:c r="A732" s="9"/>
      <x:c r="B732" s="10"/>
      <x:c r="C732" s="11"/>
      <x:c r="D732" s="11"/>
      <x:c r="E732" s="11"/>
      <x:c r="F732" s="11"/>
      <x:c r="G732" s="11"/>
      <x:c r="H732" s="11"/>
      <x:c r="I732" s="11"/>
      <x:c r="J732" s="11"/>
      <x:c r="K732" s="12" t="str">
        <x:f>IF(A732="","",E732*F732+G732*H732+I732*J732)</x:f>
      </x:c>
      <x:c r="L732" s="9"/>
      <x:c r="M732" s="9" t="str">
        <x:f>IF(A732="","",INDEX('입고대장'!$M$7:$M$1006,MATCH(A732,'입고대장'!$A$7:$A$1006,0)))</x:f>
      </x:c>
      <x:c r="N732" s="9"/>
    </x:row>
    <x:row r="733" ht="23" customHeight="1">
      <x:c r="A733" s="9"/>
      <x:c r="B733" s="10"/>
      <x:c r="C733" s="11"/>
      <x:c r="D733" s="11"/>
      <x:c r="E733" s="11"/>
      <x:c r="F733" s="11"/>
      <x:c r="G733" s="11"/>
      <x:c r="H733" s="11"/>
      <x:c r="I733" s="11"/>
      <x:c r="J733" s="11"/>
      <x:c r="K733" s="12" t="str">
        <x:f>IF(A733="","",E733*F733+G733*H733+I733*J733)</x:f>
      </x:c>
      <x:c r="L733" s="9"/>
      <x:c r="M733" s="9" t="str">
        <x:f>IF(A733="","",INDEX('입고대장'!$M$7:$M$1006,MATCH(A733,'입고대장'!$A$7:$A$1006,0)))</x:f>
      </x:c>
      <x:c r="N733" s="9"/>
    </x:row>
    <x:row r="734" ht="23" customHeight="1">
      <x:c r="A734" s="9"/>
      <x:c r="B734" s="10"/>
      <x:c r="C734" s="11"/>
      <x:c r="D734" s="11"/>
      <x:c r="E734" s="11"/>
      <x:c r="F734" s="11"/>
      <x:c r="G734" s="11"/>
      <x:c r="H734" s="11"/>
      <x:c r="I734" s="11"/>
      <x:c r="J734" s="11"/>
      <x:c r="K734" s="12" t="str">
        <x:f>IF(A734="","",E734*F734+G734*H734+I734*J734)</x:f>
      </x:c>
      <x:c r="L734" s="9"/>
      <x:c r="M734" s="9" t="str">
        <x:f>IF(A734="","",INDEX('입고대장'!$M$7:$M$1006,MATCH(A734,'입고대장'!$A$7:$A$1006,0)))</x:f>
      </x:c>
      <x:c r="N734" s="9"/>
    </x:row>
    <x:row r="735" ht="23" customHeight="1">
      <x:c r="A735" s="9"/>
      <x:c r="B735" s="10"/>
      <x:c r="C735" s="11"/>
      <x:c r="D735" s="11"/>
      <x:c r="E735" s="11"/>
      <x:c r="F735" s="11"/>
      <x:c r="G735" s="11"/>
      <x:c r="H735" s="11"/>
      <x:c r="I735" s="11"/>
      <x:c r="J735" s="11"/>
      <x:c r="K735" s="12" t="str">
        <x:f>IF(A735="","",E735*F735+G735*H735+I735*J735)</x:f>
      </x:c>
      <x:c r="L735" s="9"/>
      <x:c r="M735" s="9" t="str">
        <x:f>IF(A735="","",INDEX('입고대장'!$M$7:$M$1006,MATCH(A735,'입고대장'!$A$7:$A$1006,0)))</x:f>
      </x:c>
      <x:c r="N735" s="9"/>
    </x:row>
    <x:row r="736" ht="23" customHeight="1">
      <x:c r="A736" s="9"/>
      <x:c r="B736" s="10"/>
      <x:c r="C736" s="11"/>
      <x:c r="D736" s="11"/>
      <x:c r="E736" s="11"/>
      <x:c r="F736" s="11"/>
      <x:c r="G736" s="11"/>
      <x:c r="H736" s="11"/>
      <x:c r="I736" s="11"/>
      <x:c r="J736" s="11"/>
      <x:c r="K736" s="12" t="str">
        <x:f>IF(A736="","",E736*F736+G736*H736+I736*J736)</x:f>
      </x:c>
      <x:c r="L736" s="9"/>
      <x:c r="M736" s="9" t="str">
        <x:f>IF(A736="","",INDEX('입고대장'!$M$7:$M$1006,MATCH(A736,'입고대장'!$A$7:$A$1006,0)))</x:f>
      </x:c>
      <x:c r="N736" s="9"/>
    </x:row>
    <x:row r="737" ht="23" customHeight="1">
      <x:c r="A737" s="9"/>
      <x:c r="B737" s="10"/>
      <x:c r="C737" s="11"/>
      <x:c r="D737" s="11"/>
      <x:c r="E737" s="11"/>
      <x:c r="F737" s="11"/>
      <x:c r="G737" s="11"/>
      <x:c r="H737" s="11"/>
      <x:c r="I737" s="11"/>
      <x:c r="J737" s="11"/>
      <x:c r="K737" s="12" t="str">
        <x:f>IF(A737="","",E737*F737+G737*H737+I737*J737)</x:f>
      </x:c>
      <x:c r="L737" s="9"/>
      <x:c r="M737" s="9" t="str">
        <x:f>IF(A737="","",INDEX('입고대장'!$M$7:$M$1006,MATCH(A737,'입고대장'!$A$7:$A$1006,0)))</x:f>
      </x:c>
      <x:c r="N737" s="9"/>
    </x:row>
    <x:row r="738" ht="23" customHeight="1">
      <x:c r="A738" s="9"/>
      <x:c r="B738" s="10"/>
      <x:c r="C738" s="11"/>
      <x:c r="D738" s="11"/>
      <x:c r="E738" s="11"/>
      <x:c r="F738" s="11"/>
      <x:c r="G738" s="11"/>
      <x:c r="H738" s="11"/>
      <x:c r="I738" s="11"/>
      <x:c r="J738" s="11"/>
      <x:c r="K738" s="12" t="str">
        <x:f>IF(A738="","",E738*F738+G738*H738+I738*J738)</x:f>
      </x:c>
      <x:c r="L738" s="9"/>
      <x:c r="M738" s="9" t="str">
        <x:f>IF(A738="","",INDEX('입고대장'!$M$7:$M$1006,MATCH(A738,'입고대장'!$A$7:$A$1006,0)))</x:f>
      </x:c>
      <x:c r="N738" s="9"/>
    </x:row>
    <x:row r="739" ht="23" customHeight="1">
      <x:c r="A739" s="9"/>
      <x:c r="B739" s="10"/>
      <x:c r="C739" s="11"/>
      <x:c r="D739" s="11"/>
      <x:c r="E739" s="11"/>
      <x:c r="F739" s="11"/>
      <x:c r="G739" s="11"/>
      <x:c r="H739" s="11"/>
      <x:c r="I739" s="11"/>
      <x:c r="J739" s="11"/>
      <x:c r="K739" s="12" t="str">
        <x:f>IF(A739="","",E739*F739+G739*H739+I739*J739)</x:f>
      </x:c>
      <x:c r="L739" s="9"/>
      <x:c r="M739" s="9" t="str">
        <x:f>IF(A739="","",INDEX('입고대장'!$M$7:$M$1006,MATCH(A739,'입고대장'!$A$7:$A$1006,0)))</x:f>
      </x:c>
      <x:c r="N739" s="9"/>
    </x:row>
    <x:row r="740" ht="23" customHeight="1">
      <x:c r="A740" s="9"/>
      <x:c r="B740" s="10"/>
      <x:c r="C740" s="11"/>
      <x:c r="D740" s="11"/>
      <x:c r="E740" s="11"/>
      <x:c r="F740" s="11"/>
      <x:c r="G740" s="11"/>
      <x:c r="H740" s="11"/>
      <x:c r="I740" s="11"/>
      <x:c r="J740" s="11"/>
      <x:c r="K740" s="12" t="str">
        <x:f>IF(A740="","",E740*F740+G740*H740+I740*J740)</x:f>
      </x:c>
      <x:c r="L740" s="9"/>
      <x:c r="M740" s="9" t="str">
        <x:f>IF(A740="","",INDEX('입고대장'!$M$7:$M$1006,MATCH(A740,'입고대장'!$A$7:$A$1006,0)))</x:f>
      </x:c>
      <x:c r="N740" s="9"/>
    </x:row>
    <x:row r="741" ht="23" customHeight="1">
      <x:c r="A741" s="9"/>
      <x:c r="B741" s="10"/>
      <x:c r="C741" s="11"/>
      <x:c r="D741" s="11"/>
      <x:c r="E741" s="11"/>
      <x:c r="F741" s="11"/>
      <x:c r="G741" s="11"/>
      <x:c r="H741" s="11"/>
      <x:c r="I741" s="11"/>
      <x:c r="J741" s="11"/>
      <x:c r="K741" s="12" t="str">
        <x:f>IF(A741="","",E741*F741+G741*H741+I741*J741)</x:f>
      </x:c>
      <x:c r="L741" s="9"/>
      <x:c r="M741" s="9" t="str">
        <x:f>IF(A741="","",INDEX('입고대장'!$M$7:$M$1006,MATCH(A741,'입고대장'!$A$7:$A$1006,0)))</x:f>
      </x:c>
      <x:c r="N741" s="9"/>
    </x:row>
    <x:row r="742" ht="23" customHeight="1">
      <x:c r="A742" s="9"/>
      <x:c r="B742" s="10"/>
      <x:c r="C742" s="11"/>
      <x:c r="D742" s="11"/>
      <x:c r="E742" s="11"/>
      <x:c r="F742" s="11"/>
      <x:c r="G742" s="11"/>
      <x:c r="H742" s="11"/>
      <x:c r="I742" s="11"/>
      <x:c r="J742" s="11"/>
      <x:c r="K742" s="12" t="str">
        <x:f>IF(A742="","",E742*F742+G742*H742+I742*J742)</x:f>
      </x:c>
      <x:c r="L742" s="9"/>
      <x:c r="M742" s="9" t="str">
        <x:f>IF(A742="","",INDEX('입고대장'!$M$7:$M$1006,MATCH(A742,'입고대장'!$A$7:$A$1006,0)))</x:f>
      </x:c>
      <x:c r="N742" s="9"/>
    </x:row>
    <x:row r="743" ht="23" customHeight="1">
      <x:c r="A743" s="9"/>
      <x:c r="B743" s="10"/>
      <x:c r="C743" s="11"/>
      <x:c r="D743" s="11"/>
      <x:c r="E743" s="11"/>
      <x:c r="F743" s="11"/>
      <x:c r="G743" s="11"/>
      <x:c r="H743" s="11"/>
      <x:c r="I743" s="11"/>
      <x:c r="J743" s="11"/>
      <x:c r="K743" s="12" t="str">
        <x:f>IF(A743="","",E743*F743+G743*H743+I743*J743)</x:f>
      </x:c>
      <x:c r="L743" s="9"/>
      <x:c r="M743" s="9" t="str">
        <x:f>IF(A743="","",INDEX('입고대장'!$M$7:$M$1006,MATCH(A743,'입고대장'!$A$7:$A$1006,0)))</x:f>
      </x:c>
      <x:c r="N743" s="9"/>
    </x:row>
    <x:row r="744" ht="23" customHeight="1">
      <x:c r="A744" s="9"/>
      <x:c r="B744" s="10"/>
      <x:c r="C744" s="11"/>
      <x:c r="D744" s="11"/>
      <x:c r="E744" s="11"/>
      <x:c r="F744" s="11"/>
      <x:c r="G744" s="11"/>
      <x:c r="H744" s="11"/>
      <x:c r="I744" s="11"/>
      <x:c r="J744" s="11"/>
      <x:c r="K744" s="12" t="str">
        <x:f>IF(A744="","",E744*F744+G744*H744+I744*J744)</x:f>
      </x:c>
      <x:c r="L744" s="9"/>
      <x:c r="M744" s="9" t="str">
        <x:f>IF(A744="","",INDEX('입고대장'!$M$7:$M$1006,MATCH(A744,'입고대장'!$A$7:$A$1006,0)))</x:f>
      </x:c>
      <x:c r="N744" s="9"/>
    </x:row>
    <x:row r="745" ht="23" customHeight="1">
      <x:c r="A745" s="9"/>
      <x:c r="B745" s="10"/>
      <x:c r="C745" s="11"/>
      <x:c r="D745" s="11"/>
      <x:c r="E745" s="11"/>
      <x:c r="F745" s="11"/>
      <x:c r="G745" s="11"/>
      <x:c r="H745" s="11"/>
      <x:c r="I745" s="11"/>
      <x:c r="J745" s="11"/>
      <x:c r="K745" s="12" t="str">
        <x:f>IF(A745="","",E745*F745+G745*H745+I745*J745)</x:f>
      </x:c>
      <x:c r="L745" s="9"/>
      <x:c r="M745" s="9" t="str">
        <x:f>IF(A745="","",INDEX('입고대장'!$M$7:$M$1006,MATCH(A745,'입고대장'!$A$7:$A$1006,0)))</x:f>
      </x:c>
      <x:c r="N745" s="9"/>
    </x:row>
    <x:row r="746" ht="23" customHeight="1">
      <x:c r="A746" s="9"/>
      <x:c r="B746" s="10"/>
      <x:c r="C746" s="11"/>
      <x:c r="D746" s="11"/>
      <x:c r="E746" s="11"/>
      <x:c r="F746" s="11"/>
      <x:c r="G746" s="11"/>
      <x:c r="H746" s="11"/>
      <x:c r="I746" s="11"/>
      <x:c r="J746" s="11"/>
      <x:c r="K746" s="12" t="str">
        <x:f>IF(A746="","",E746*F746+G746*H746+I746*J746)</x:f>
      </x:c>
      <x:c r="L746" s="9"/>
      <x:c r="M746" s="9" t="str">
        <x:f>IF(A746="","",INDEX('입고대장'!$M$7:$M$1006,MATCH(A746,'입고대장'!$A$7:$A$1006,0)))</x:f>
      </x:c>
      <x:c r="N746" s="9"/>
    </x:row>
    <x:row r="747" ht="23" customHeight="1">
      <x:c r="A747" s="9"/>
      <x:c r="B747" s="10"/>
      <x:c r="C747" s="11"/>
      <x:c r="D747" s="11"/>
      <x:c r="E747" s="11"/>
      <x:c r="F747" s="11"/>
      <x:c r="G747" s="11"/>
      <x:c r="H747" s="11"/>
      <x:c r="I747" s="11"/>
      <x:c r="J747" s="11"/>
      <x:c r="K747" s="12" t="str">
        <x:f>IF(A747="","",E747*F747+G747*H747+I747*J747)</x:f>
      </x:c>
      <x:c r="L747" s="9"/>
      <x:c r="M747" s="9" t="str">
        <x:f>IF(A747="","",INDEX('입고대장'!$M$7:$M$1006,MATCH(A747,'입고대장'!$A$7:$A$1006,0)))</x:f>
      </x:c>
      <x:c r="N747" s="9"/>
    </x:row>
    <x:row r="748" ht="23" customHeight="1">
      <x:c r="A748" s="9"/>
      <x:c r="B748" s="10"/>
      <x:c r="C748" s="11"/>
      <x:c r="D748" s="11"/>
      <x:c r="E748" s="11"/>
      <x:c r="F748" s="11"/>
      <x:c r="G748" s="11"/>
      <x:c r="H748" s="11"/>
      <x:c r="I748" s="11"/>
      <x:c r="J748" s="11"/>
      <x:c r="K748" s="12" t="str">
        <x:f>IF(A748="","",E748*F748+G748*H748+I748*J748)</x:f>
      </x:c>
      <x:c r="L748" s="9"/>
      <x:c r="M748" s="9" t="str">
        <x:f>IF(A748="","",INDEX('입고대장'!$M$7:$M$1006,MATCH(A748,'입고대장'!$A$7:$A$1006,0)))</x:f>
      </x:c>
      <x:c r="N748" s="9"/>
    </x:row>
    <x:row r="749" ht="23" customHeight="1">
      <x:c r="A749" s="9"/>
      <x:c r="B749" s="10"/>
      <x:c r="C749" s="11"/>
      <x:c r="D749" s="11"/>
      <x:c r="E749" s="11"/>
      <x:c r="F749" s="11"/>
      <x:c r="G749" s="11"/>
      <x:c r="H749" s="11"/>
      <x:c r="I749" s="11"/>
      <x:c r="J749" s="11"/>
      <x:c r="K749" s="12" t="str">
        <x:f>IF(A749="","",E749*F749+G749*H749+I749*J749)</x:f>
      </x:c>
      <x:c r="L749" s="9"/>
      <x:c r="M749" s="9" t="str">
        <x:f>IF(A749="","",INDEX('입고대장'!$M$7:$M$1006,MATCH(A749,'입고대장'!$A$7:$A$1006,0)))</x:f>
      </x:c>
      <x:c r="N749" s="9"/>
    </x:row>
    <x:row r="750" ht="23" customHeight="1">
      <x:c r="A750" s="9"/>
      <x:c r="B750" s="10"/>
      <x:c r="C750" s="11"/>
      <x:c r="D750" s="11"/>
      <x:c r="E750" s="11"/>
      <x:c r="F750" s="11"/>
      <x:c r="G750" s="11"/>
      <x:c r="H750" s="11"/>
      <x:c r="I750" s="11"/>
      <x:c r="J750" s="11"/>
      <x:c r="K750" s="12" t="str">
        <x:f>IF(A750="","",E750*F750+G750*H750+I750*J750)</x:f>
      </x:c>
      <x:c r="L750" s="9"/>
      <x:c r="M750" s="9" t="str">
        <x:f>IF(A750="","",INDEX('입고대장'!$M$7:$M$1006,MATCH(A750,'입고대장'!$A$7:$A$1006,0)))</x:f>
      </x:c>
      <x:c r="N750" s="9"/>
    </x:row>
    <x:row r="751" ht="23" customHeight="1">
      <x:c r="A751" s="9"/>
      <x:c r="B751" s="10"/>
      <x:c r="C751" s="11"/>
      <x:c r="D751" s="11"/>
      <x:c r="E751" s="11"/>
      <x:c r="F751" s="11"/>
      <x:c r="G751" s="11"/>
      <x:c r="H751" s="11"/>
      <x:c r="I751" s="11"/>
      <x:c r="J751" s="11"/>
      <x:c r="K751" s="12" t="str">
        <x:f>IF(A751="","",E751*F751+G751*H751+I751*J751)</x:f>
      </x:c>
      <x:c r="L751" s="9"/>
      <x:c r="M751" s="9" t="str">
        <x:f>IF(A751="","",INDEX('입고대장'!$M$7:$M$1006,MATCH(A751,'입고대장'!$A$7:$A$1006,0)))</x:f>
      </x:c>
      <x:c r="N751" s="9"/>
    </x:row>
    <x:row r="752" ht="23" customHeight="1">
      <x:c r="A752" s="9"/>
      <x:c r="B752" s="10"/>
      <x:c r="C752" s="11"/>
      <x:c r="D752" s="11"/>
      <x:c r="E752" s="11"/>
      <x:c r="F752" s="11"/>
      <x:c r="G752" s="11"/>
      <x:c r="H752" s="11"/>
      <x:c r="I752" s="11"/>
      <x:c r="J752" s="11"/>
      <x:c r="K752" s="12" t="str">
        <x:f>IF(A752="","",E752*F752+G752*H752+I752*J752)</x:f>
      </x:c>
      <x:c r="L752" s="9"/>
      <x:c r="M752" s="9" t="str">
        <x:f>IF(A752="","",INDEX('입고대장'!$M$7:$M$1006,MATCH(A752,'입고대장'!$A$7:$A$1006,0)))</x:f>
      </x:c>
      <x:c r="N752" s="9"/>
    </x:row>
    <x:row r="753" ht="23" customHeight="1">
      <x:c r="A753" s="9"/>
      <x:c r="B753" s="10"/>
      <x:c r="C753" s="11"/>
      <x:c r="D753" s="11"/>
      <x:c r="E753" s="11"/>
      <x:c r="F753" s="11"/>
      <x:c r="G753" s="11"/>
      <x:c r="H753" s="11"/>
      <x:c r="I753" s="11"/>
      <x:c r="J753" s="11"/>
      <x:c r="K753" s="12" t="str">
        <x:f>IF(A753="","",E753*F753+G753*H753+I753*J753)</x:f>
      </x:c>
      <x:c r="L753" s="9"/>
      <x:c r="M753" s="9" t="str">
        <x:f>IF(A753="","",INDEX('입고대장'!$M$7:$M$1006,MATCH(A753,'입고대장'!$A$7:$A$1006,0)))</x:f>
      </x:c>
      <x:c r="N753" s="9"/>
    </x:row>
    <x:row r="754" ht="23" customHeight="1">
      <x:c r="A754" s="9"/>
      <x:c r="B754" s="10"/>
      <x:c r="C754" s="11"/>
      <x:c r="D754" s="11"/>
      <x:c r="E754" s="11"/>
      <x:c r="F754" s="11"/>
      <x:c r="G754" s="11"/>
      <x:c r="H754" s="11"/>
      <x:c r="I754" s="11"/>
      <x:c r="J754" s="11"/>
      <x:c r="K754" s="12" t="str">
        <x:f>IF(A754="","",E754*F754+G754*H754+I754*J754)</x:f>
      </x:c>
      <x:c r="L754" s="9"/>
      <x:c r="M754" s="9" t="str">
        <x:f>IF(A754="","",INDEX('입고대장'!$M$7:$M$1006,MATCH(A754,'입고대장'!$A$7:$A$1006,0)))</x:f>
      </x:c>
      <x:c r="N754" s="9"/>
    </x:row>
    <x:row r="755" ht="23" customHeight="1">
      <x:c r="A755" s="9"/>
      <x:c r="B755" s="10"/>
      <x:c r="C755" s="11"/>
      <x:c r="D755" s="11"/>
      <x:c r="E755" s="11"/>
      <x:c r="F755" s="11"/>
      <x:c r="G755" s="11"/>
      <x:c r="H755" s="11"/>
      <x:c r="I755" s="11"/>
      <x:c r="J755" s="11"/>
      <x:c r="K755" s="12" t="str">
        <x:f>IF(A755="","",E755*F755+G755*H755+I755*J755)</x:f>
      </x:c>
      <x:c r="L755" s="9"/>
      <x:c r="M755" s="9" t="str">
        <x:f>IF(A755="","",INDEX('입고대장'!$M$7:$M$1006,MATCH(A755,'입고대장'!$A$7:$A$1006,0)))</x:f>
      </x:c>
      <x:c r="N755" s="9"/>
    </x:row>
    <x:row r="756" ht="23" customHeight="1">
      <x:c r="A756" s="9"/>
      <x:c r="B756" s="10"/>
      <x:c r="C756" s="11"/>
      <x:c r="D756" s="11"/>
      <x:c r="E756" s="11"/>
      <x:c r="F756" s="11"/>
      <x:c r="G756" s="11"/>
      <x:c r="H756" s="11"/>
      <x:c r="I756" s="11"/>
      <x:c r="J756" s="11"/>
      <x:c r="K756" s="12" t="str">
        <x:f>IF(A756="","",E756*F756+G756*H756+I756*J756)</x:f>
      </x:c>
      <x:c r="L756" s="9"/>
      <x:c r="M756" s="9" t="str">
        <x:f>IF(A756="","",INDEX('입고대장'!$M$7:$M$1006,MATCH(A756,'입고대장'!$A$7:$A$1006,0)))</x:f>
      </x:c>
      <x:c r="N756" s="9"/>
    </x:row>
    <x:row r="757" ht="23" customHeight="1">
      <x:c r="A757" s="9"/>
      <x:c r="B757" s="10"/>
      <x:c r="C757" s="11"/>
      <x:c r="D757" s="11"/>
      <x:c r="E757" s="11"/>
      <x:c r="F757" s="11"/>
      <x:c r="G757" s="11"/>
      <x:c r="H757" s="11"/>
      <x:c r="I757" s="11"/>
      <x:c r="J757" s="11"/>
      <x:c r="K757" s="12" t="str">
        <x:f>IF(A757="","",E757*F757+G757*H757+I757*J757)</x:f>
      </x:c>
      <x:c r="L757" s="9"/>
      <x:c r="M757" s="9" t="str">
        <x:f>IF(A757="","",INDEX('입고대장'!$M$7:$M$1006,MATCH(A757,'입고대장'!$A$7:$A$1006,0)))</x:f>
      </x:c>
      <x:c r="N757" s="9"/>
    </x:row>
    <x:row r="758" ht="23" customHeight="1">
      <x:c r="A758" s="9"/>
      <x:c r="B758" s="10"/>
      <x:c r="C758" s="11"/>
      <x:c r="D758" s="11"/>
      <x:c r="E758" s="11"/>
      <x:c r="F758" s="11"/>
      <x:c r="G758" s="11"/>
      <x:c r="H758" s="11"/>
      <x:c r="I758" s="11"/>
      <x:c r="J758" s="11"/>
      <x:c r="K758" s="12" t="str">
        <x:f>IF(A758="","",E758*F758+G758*H758+I758*J758)</x:f>
      </x:c>
      <x:c r="L758" s="9"/>
      <x:c r="M758" s="9" t="str">
        <x:f>IF(A758="","",INDEX('입고대장'!$M$7:$M$1006,MATCH(A758,'입고대장'!$A$7:$A$1006,0)))</x:f>
      </x:c>
      <x:c r="N758" s="9"/>
    </x:row>
    <x:row r="759" ht="23" customHeight="1">
      <x:c r="A759" s="9"/>
      <x:c r="B759" s="10"/>
      <x:c r="C759" s="11"/>
      <x:c r="D759" s="11"/>
      <x:c r="E759" s="11"/>
      <x:c r="F759" s="11"/>
      <x:c r="G759" s="11"/>
      <x:c r="H759" s="11"/>
      <x:c r="I759" s="11"/>
      <x:c r="J759" s="11"/>
      <x:c r="K759" s="12" t="str">
        <x:f>IF(A759="","",E759*F759+G759*H759+I759*J759)</x:f>
      </x:c>
      <x:c r="L759" s="9"/>
      <x:c r="M759" s="9" t="str">
        <x:f>IF(A759="","",INDEX('입고대장'!$M$7:$M$1006,MATCH(A759,'입고대장'!$A$7:$A$1006,0)))</x:f>
      </x:c>
      <x:c r="N759" s="9"/>
    </x:row>
    <x:row r="760" ht="23" customHeight="1">
      <x:c r="A760" s="9"/>
      <x:c r="B760" s="10"/>
      <x:c r="C760" s="11"/>
      <x:c r="D760" s="11"/>
      <x:c r="E760" s="11"/>
      <x:c r="F760" s="11"/>
      <x:c r="G760" s="11"/>
      <x:c r="H760" s="11"/>
      <x:c r="I760" s="11"/>
      <x:c r="J760" s="11"/>
      <x:c r="K760" s="12" t="str">
        <x:f>IF(A760="","",E760*F760+G760*H760+I760*J760)</x:f>
      </x:c>
      <x:c r="L760" s="9"/>
      <x:c r="M760" s="9" t="str">
        <x:f>IF(A760="","",INDEX('입고대장'!$M$7:$M$1006,MATCH(A760,'입고대장'!$A$7:$A$1006,0)))</x:f>
      </x:c>
      <x:c r="N760" s="9"/>
    </x:row>
    <x:row r="761" ht="23" customHeight="1">
      <x:c r="A761" s="9"/>
      <x:c r="B761" s="10"/>
      <x:c r="C761" s="11"/>
      <x:c r="D761" s="11"/>
      <x:c r="E761" s="11"/>
      <x:c r="F761" s="11"/>
      <x:c r="G761" s="11"/>
      <x:c r="H761" s="11"/>
      <x:c r="I761" s="11"/>
      <x:c r="J761" s="11"/>
      <x:c r="K761" s="12" t="str">
        <x:f>IF(A761="","",E761*F761+G761*H761+I761*J761)</x:f>
      </x:c>
      <x:c r="L761" s="9"/>
      <x:c r="M761" s="9" t="str">
        <x:f>IF(A761="","",INDEX('입고대장'!$M$7:$M$1006,MATCH(A761,'입고대장'!$A$7:$A$1006,0)))</x:f>
      </x:c>
      <x:c r="N761" s="9"/>
    </x:row>
    <x:row r="762" ht="23" customHeight="1">
      <x:c r="A762" s="9"/>
      <x:c r="B762" s="10"/>
      <x:c r="C762" s="11"/>
      <x:c r="D762" s="11"/>
      <x:c r="E762" s="11"/>
      <x:c r="F762" s="11"/>
      <x:c r="G762" s="11"/>
      <x:c r="H762" s="11"/>
      <x:c r="I762" s="11"/>
      <x:c r="J762" s="11"/>
      <x:c r="K762" s="12" t="str">
        <x:f>IF(A762="","",E762*F762+G762*H762+I762*J762)</x:f>
      </x:c>
      <x:c r="L762" s="9"/>
      <x:c r="M762" s="9" t="str">
        <x:f>IF(A762="","",INDEX('입고대장'!$M$7:$M$1006,MATCH(A762,'입고대장'!$A$7:$A$1006,0)))</x:f>
      </x:c>
      <x:c r="N762" s="9"/>
    </x:row>
    <x:row r="763" ht="23" customHeight="1">
      <x:c r="A763" s="9"/>
      <x:c r="B763" s="10"/>
      <x:c r="C763" s="11"/>
      <x:c r="D763" s="11"/>
      <x:c r="E763" s="11"/>
      <x:c r="F763" s="11"/>
      <x:c r="G763" s="11"/>
      <x:c r="H763" s="11"/>
      <x:c r="I763" s="11"/>
      <x:c r="J763" s="11"/>
      <x:c r="K763" s="12" t="str">
        <x:f>IF(A763="","",E763*F763+G763*H763+I763*J763)</x:f>
      </x:c>
      <x:c r="L763" s="9"/>
      <x:c r="M763" s="9" t="str">
        <x:f>IF(A763="","",INDEX('입고대장'!$M$7:$M$1006,MATCH(A763,'입고대장'!$A$7:$A$1006,0)))</x:f>
      </x:c>
      <x:c r="N763" s="9"/>
    </x:row>
    <x:row r="764" ht="23" customHeight="1">
      <x:c r="A764" s="9"/>
      <x:c r="B764" s="10"/>
      <x:c r="C764" s="11"/>
      <x:c r="D764" s="11"/>
      <x:c r="E764" s="11"/>
      <x:c r="F764" s="11"/>
      <x:c r="G764" s="11"/>
      <x:c r="H764" s="11"/>
      <x:c r="I764" s="11"/>
      <x:c r="J764" s="11"/>
      <x:c r="K764" s="12" t="str">
        <x:f>IF(A764="","",E764*F764+G764*H764+I764*J764)</x:f>
      </x:c>
      <x:c r="L764" s="9"/>
      <x:c r="M764" s="9" t="str">
        <x:f>IF(A764="","",INDEX('입고대장'!$M$7:$M$1006,MATCH(A764,'입고대장'!$A$7:$A$1006,0)))</x:f>
      </x:c>
      <x:c r="N764" s="9"/>
    </x:row>
    <x:row r="765" ht="23" customHeight="1">
      <x:c r="A765" s="9"/>
      <x:c r="B765" s="10"/>
      <x:c r="C765" s="11"/>
      <x:c r="D765" s="11"/>
      <x:c r="E765" s="11"/>
      <x:c r="F765" s="11"/>
      <x:c r="G765" s="11"/>
      <x:c r="H765" s="11"/>
      <x:c r="I765" s="11"/>
      <x:c r="J765" s="11"/>
      <x:c r="K765" s="12" t="str">
        <x:f>IF(A765="","",E765*F765+G765*H765+I765*J765)</x:f>
      </x:c>
      <x:c r="L765" s="9"/>
      <x:c r="M765" s="9" t="str">
        <x:f>IF(A765="","",INDEX('입고대장'!$M$7:$M$1006,MATCH(A765,'입고대장'!$A$7:$A$1006,0)))</x:f>
      </x:c>
      <x:c r="N765" s="9"/>
    </x:row>
    <x:row r="766" ht="23" customHeight="1">
      <x:c r="A766" s="9"/>
      <x:c r="B766" s="10"/>
      <x:c r="C766" s="11"/>
      <x:c r="D766" s="11"/>
      <x:c r="E766" s="11"/>
      <x:c r="F766" s="11"/>
      <x:c r="G766" s="11"/>
      <x:c r="H766" s="11"/>
      <x:c r="I766" s="11"/>
      <x:c r="J766" s="11"/>
      <x:c r="K766" s="12" t="str">
        <x:f>IF(A766="","",E766*F766+G766*H766+I766*J766)</x:f>
      </x:c>
      <x:c r="L766" s="9"/>
      <x:c r="M766" s="9" t="str">
        <x:f>IF(A766="","",INDEX('입고대장'!$M$7:$M$1006,MATCH(A766,'입고대장'!$A$7:$A$1006,0)))</x:f>
      </x:c>
      <x:c r="N766" s="9"/>
    </x:row>
    <x:row r="767" ht="23" customHeight="1">
      <x:c r="A767" s="9"/>
      <x:c r="B767" s="10"/>
      <x:c r="C767" s="11"/>
      <x:c r="D767" s="11"/>
      <x:c r="E767" s="11"/>
      <x:c r="F767" s="11"/>
      <x:c r="G767" s="11"/>
      <x:c r="H767" s="11"/>
      <x:c r="I767" s="11"/>
      <x:c r="J767" s="11"/>
      <x:c r="K767" s="12" t="str">
        <x:f>IF(A767="","",E767*F767+G767*H767+I767*J767)</x:f>
      </x:c>
      <x:c r="L767" s="9"/>
      <x:c r="M767" s="9" t="str">
        <x:f>IF(A767="","",INDEX('입고대장'!$M$7:$M$1006,MATCH(A767,'입고대장'!$A$7:$A$1006,0)))</x:f>
      </x:c>
      <x:c r="N767" s="9"/>
    </x:row>
    <x:row r="768" ht="23" customHeight="1">
      <x:c r="A768" s="9"/>
      <x:c r="B768" s="10"/>
      <x:c r="C768" s="11"/>
      <x:c r="D768" s="11"/>
      <x:c r="E768" s="11"/>
      <x:c r="F768" s="11"/>
      <x:c r="G768" s="11"/>
      <x:c r="H768" s="11"/>
      <x:c r="I768" s="11"/>
      <x:c r="J768" s="11"/>
      <x:c r="K768" s="12" t="str">
        <x:f>IF(A768="","",E768*F768+G768*H768+I768*J768)</x:f>
      </x:c>
      <x:c r="L768" s="9"/>
      <x:c r="M768" s="9" t="str">
        <x:f>IF(A768="","",INDEX('입고대장'!$M$7:$M$1006,MATCH(A768,'입고대장'!$A$7:$A$1006,0)))</x:f>
      </x:c>
      <x:c r="N768" s="9"/>
    </x:row>
    <x:row r="769" ht="23" customHeight="1">
      <x:c r="A769" s="9"/>
      <x:c r="B769" s="10"/>
      <x:c r="C769" s="11"/>
      <x:c r="D769" s="11"/>
      <x:c r="E769" s="11"/>
      <x:c r="F769" s="11"/>
      <x:c r="G769" s="11"/>
      <x:c r="H769" s="11"/>
      <x:c r="I769" s="11"/>
      <x:c r="J769" s="11"/>
      <x:c r="K769" s="12" t="str">
        <x:f>IF(A769="","",E769*F769+G769*H769+I769*J769)</x:f>
      </x:c>
      <x:c r="L769" s="9"/>
      <x:c r="M769" s="9" t="str">
        <x:f>IF(A769="","",INDEX('입고대장'!$M$7:$M$1006,MATCH(A769,'입고대장'!$A$7:$A$1006,0)))</x:f>
      </x:c>
      <x:c r="N769" s="9"/>
    </x:row>
    <x:row r="770" ht="23" customHeight="1">
      <x:c r="A770" s="9"/>
      <x:c r="B770" s="10"/>
      <x:c r="C770" s="11"/>
      <x:c r="D770" s="11"/>
      <x:c r="E770" s="11"/>
      <x:c r="F770" s="11"/>
      <x:c r="G770" s="11"/>
      <x:c r="H770" s="11"/>
      <x:c r="I770" s="11"/>
      <x:c r="J770" s="11"/>
      <x:c r="K770" s="12" t="str">
        <x:f>IF(A770="","",E770*F770+G770*H770+I770*J770)</x:f>
      </x:c>
      <x:c r="L770" s="9"/>
      <x:c r="M770" s="9" t="str">
        <x:f>IF(A770="","",INDEX('입고대장'!$M$7:$M$1006,MATCH(A770,'입고대장'!$A$7:$A$1006,0)))</x:f>
      </x:c>
      <x:c r="N770" s="9"/>
    </x:row>
    <x:row r="771" ht="23" customHeight="1">
      <x:c r="A771" s="9"/>
      <x:c r="B771" s="10"/>
      <x:c r="C771" s="11"/>
      <x:c r="D771" s="11"/>
      <x:c r="E771" s="11"/>
      <x:c r="F771" s="11"/>
      <x:c r="G771" s="11"/>
      <x:c r="H771" s="11"/>
      <x:c r="I771" s="11"/>
      <x:c r="J771" s="11"/>
      <x:c r="K771" s="12" t="str">
        <x:f>IF(A771="","",E771*F771+G771*H771+I771*J771)</x:f>
      </x:c>
      <x:c r="L771" s="9"/>
      <x:c r="M771" s="9" t="str">
        <x:f>IF(A771="","",INDEX('입고대장'!$M$7:$M$1006,MATCH(A771,'입고대장'!$A$7:$A$1006,0)))</x:f>
      </x:c>
      <x:c r="N771" s="9"/>
    </x:row>
    <x:row r="772" ht="23" customHeight="1">
      <x:c r="A772" s="9"/>
      <x:c r="B772" s="10"/>
      <x:c r="C772" s="11"/>
      <x:c r="D772" s="11"/>
      <x:c r="E772" s="11"/>
      <x:c r="F772" s="11"/>
      <x:c r="G772" s="11"/>
      <x:c r="H772" s="11"/>
      <x:c r="I772" s="11"/>
      <x:c r="J772" s="11"/>
      <x:c r="K772" s="12" t="str">
        <x:f>IF(A772="","",E772*F772+G772*H772+I772*J772)</x:f>
      </x:c>
      <x:c r="L772" s="9"/>
      <x:c r="M772" s="9" t="str">
        <x:f>IF(A772="","",INDEX('입고대장'!$M$7:$M$1006,MATCH(A772,'입고대장'!$A$7:$A$1006,0)))</x:f>
      </x:c>
      <x:c r="N772" s="9"/>
    </x:row>
    <x:row r="773" ht="23" customHeight="1">
      <x:c r="A773" s="9"/>
      <x:c r="B773" s="10"/>
      <x:c r="C773" s="11"/>
      <x:c r="D773" s="11"/>
      <x:c r="E773" s="11"/>
      <x:c r="F773" s="11"/>
      <x:c r="G773" s="11"/>
      <x:c r="H773" s="11"/>
      <x:c r="I773" s="11"/>
      <x:c r="J773" s="11"/>
      <x:c r="K773" s="12" t="str">
        <x:f>IF(A773="","",E773*F773+G773*H773+I773*J773)</x:f>
      </x:c>
      <x:c r="L773" s="9"/>
      <x:c r="M773" s="9" t="str">
        <x:f>IF(A773="","",INDEX('입고대장'!$M$7:$M$1006,MATCH(A773,'입고대장'!$A$7:$A$1006,0)))</x:f>
      </x:c>
      <x:c r="N773" s="9"/>
    </x:row>
    <x:row r="774" ht="23" customHeight="1">
      <x:c r="A774" s="9"/>
      <x:c r="B774" s="10"/>
      <x:c r="C774" s="11"/>
      <x:c r="D774" s="11"/>
      <x:c r="E774" s="11"/>
      <x:c r="F774" s="11"/>
      <x:c r="G774" s="11"/>
      <x:c r="H774" s="11"/>
      <x:c r="I774" s="11"/>
      <x:c r="J774" s="11"/>
      <x:c r="K774" s="12" t="str">
        <x:f>IF(A774="","",E774*F774+G774*H774+I774*J774)</x:f>
      </x:c>
      <x:c r="L774" s="9"/>
      <x:c r="M774" s="9" t="str">
        <x:f>IF(A774="","",INDEX('입고대장'!$M$7:$M$1006,MATCH(A774,'입고대장'!$A$7:$A$1006,0)))</x:f>
      </x:c>
      <x:c r="N774" s="9"/>
    </x:row>
    <x:row r="775" ht="23" customHeight="1">
      <x:c r="A775" s="9"/>
      <x:c r="B775" s="10"/>
      <x:c r="C775" s="11"/>
      <x:c r="D775" s="11"/>
      <x:c r="E775" s="11"/>
      <x:c r="F775" s="11"/>
      <x:c r="G775" s="11"/>
      <x:c r="H775" s="11"/>
      <x:c r="I775" s="11"/>
      <x:c r="J775" s="11"/>
      <x:c r="K775" s="12" t="str">
        <x:f>IF(A775="","",E775*F775+G775*H775+I775*J775)</x:f>
      </x:c>
      <x:c r="L775" s="9"/>
      <x:c r="M775" s="9" t="str">
        <x:f>IF(A775="","",INDEX('입고대장'!$M$7:$M$1006,MATCH(A775,'입고대장'!$A$7:$A$1006,0)))</x:f>
      </x:c>
      <x:c r="N775" s="9"/>
    </x:row>
    <x:row r="776" ht="23" customHeight="1">
      <x:c r="A776" s="9"/>
      <x:c r="B776" s="10"/>
      <x:c r="C776" s="11"/>
      <x:c r="D776" s="11"/>
      <x:c r="E776" s="11"/>
      <x:c r="F776" s="11"/>
      <x:c r="G776" s="11"/>
      <x:c r="H776" s="11"/>
      <x:c r="I776" s="11"/>
      <x:c r="J776" s="11"/>
      <x:c r="K776" s="12" t="str">
        <x:f>IF(A776="","",E776*F776+G776*H776+I776*J776)</x:f>
      </x:c>
      <x:c r="L776" s="9"/>
      <x:c r="M776" s="9" t="str">
        <x:f>IF(A776="","",INDEX('입고대장'!$M$7:$M$1006,MATCH(A776,'입고대장'!$A$7:$A$1006,0)))</x:f>
      </x:c>
      <x:c r="N776" s="9"/>
    </x:row>
    <x:row r="777" ht="23" customHeight="1">
      <x:c r="A777" s="9"/>
      <x:c r="B777" s="10"/>
      <x:c r="C777" s="11"/>
      <x:c r="D777" s="11"/>
      <x:c r="E777" s="11"/>
      <x:c r="F777" s="11"/>
      <x:c r="G777" s="11"/>
      <x:c r="H777" s="11"/>
      <x:c r="I777" s="11"/>
      <x:c r="J777" s="11"/>
      <x:c r="K777" s="12" t="str">
        <x:f>IF(A777="","",E777*F777+G777*H777+I777*J777)</x:f>
      </x:c>
      <x:c r="L777" s="9"/>
      <x:c r="M777" s="9" t="str">
        <x:f>IF(A777="","",INDEX('입고대장'!$M$7:$M$1006,MATCH(A777,'입고대장'!$A$7:$A$1006,0)))</x:f>
      </x:c>
      <x:c r="N777" s="9"/>
    </x:row>
    <x:row r="778" ht="23" customHeight="1">
      <x:c r="A778" s="9"/>
      <x:c r="B778" s="10"/>
      <x:c r="C778" s="11"/>
      <x:c r="D778" s="11"/>
      <x:c r="E778" s="11"/>
      <x:c r="F778" s="11"/>
      <x:c r="G778" s="11"/>
      <x:c r="H778" s="11"/>
      <x:c r="I778" s="11"/>
      <x:c r="J778" s="11"/>
      <x:c r="K778" s="12" t="str">
        <x:f>IF(A778="","",E778*F778+G778*H778+I778*J778)</x:f>
      </x:c>
      <x:c r="L778" s="9"/>
      <x:c r="M778" s="9" t="str">
        <x:f>IF(A778="","",INDEX('입고대장'!$M$7:$M$1006,MATCH(A778,'입고대장'!$A$7:$A$1006,0)))</x:f>
      </x:c>
      <x:c r="N778" s="9"/>
    </x:row>
    <x:row r="779" ht="23" customHeight="1">
      <x:c r="A779" s="9"/>
      <x:c r="B779" s="10"/>
      <x:c r="C779" s="11"/>
      <x:c r="D779" s="11"/>
      <x:c r="E779" s="11"/>
      <x:c r="F779" s="11"/>
      <x:c r="G779" s="11"/>
      <x:c r="H779" s="11"/>
      <x:c r="I779" s="11"/>
      <x:c r="J779" s="11"/>
      <x:c r="K779" s="12" t="str">
        <x:f>IF(A779="","",E779*F779+G779*H779+I779*J779)</x:f>
      </x:c>
      <x:c r="L779" s="9"/>
      <x:c r="M779" s="9" t="str">
        <x:f>IF(A779="","",INDEX('입고대장'!$M$7:$M$1006,MATCH(A779,'입고대장'!$A$7:$A$1006,0)))</x:f>
      </x:c>
      <x:c r="N779" s="9"/>
    </x:row>
    <x:row r="780" ht="23" customHeight="1">
      <x:c r="A780" s="9"/>
      <x:c r="B780" s="10"/>
      <x:c r="C780" s="11"/>
      <x:c r="D780" s="11"/>
      <x:c r="E780" s="11"/>
      <x:c r="F780" s="11"/>
      <x:c r="G780" s="11"/>
      <x:c r="H780" s="11"/>
      <x:c r="I780" s="11"/>
      <x:c r="J780" s="11"/>
      <x:c r="K780" s="12" t="str">
        <x:f>IF(A780="","",E780*F780+G780*H780+I780*J780)</x:f>
      </x:c>
      <x:c r="L780" s="9"/>
      <x:c r="M780" s="9" t="str">
        <x:f>IF(A780="","",INDEX('입고대장'!$M$7:$M$1006,MATCH(A780,'입고대장'!$A$7:$A$1006,0)))</x:f>
      </x:c>
      <x:c r="N780" s="9"/>
    </x:row>
    <x:row r="781" ht="23" customHeight="1">
      <x:c r="A781" s="9"/>
      <x:c r="B781" s="10"/>
      <x:c r="C781" s="11"/>
      <x:c r="D781" s="11"/>
      <x:c r="E781" s="11"/>
      <x:c r="F781" s="11"/>
      <x:c r="G781" s="11"/>
      <x:c r="H781" s="11"/>
      <x:c r="I781" s="11"/>
      <x:c r="J781" s="11"/>
      <x:c r="K781" s="12" t="str">
        <x:f>IF(A781="","",E781*F781+G781*H781+I781*J781)</x:f>
      </x:c>
      <x:c r="L781" s="9"/>
      <x:c r="M781" s="9" t="str">
        <x:f>IF(A781="","",INDEX('입고대장'!$M$7:$M$1006,MATCH(A781,'입고대장'!$A$7:$A$1006,0)))</x:f>
      </x:c>
      <x:c r="N781" s="9"/>
    </x:row>
    <x:row r="782" ht="23" customHeight="1">
      <x:c r="A782" s="9"/>
      <x:c r="B782" s="10"/>
      <x:c r="C782" s="11"/>
      <x:c r="D782" s="11"/>
      <x:c r="E782" s="11"/>
      <x:c r="F782" s="11"/>
      <x:c r="G782" s="11"/>
      <x:c r="H782" s="11"/>
      <x:c r="I782" s="11"/>
      <x:c r="J782" s="11"/>
      <x:c r="K782" s="12" t="str">
        <x:f>IF(A782="","",E782*F782+G782*H782+I782*J782)</x:f>
      </x:c>
      <x:c r="L782" s="9"/>
      <x:c r="M782" s="9" t="str">
        <x:f>IF(A782="","",INDEX('입고대장'!$M$7:$M$1006,MATCH(A782,'입고대장'!$A$7:$A$1006,0)))</x:f>
      </x:c>
      <x:c r="N782" s="9"/>
    </x:row>
    <x:row r="783" ht="23" customHeight="1">
      <x:c r="A783" s="9"/>
      <x:c r="B783" s="10"/>
      <x:c r="C783" s="11"/>
      <x:c r="D783" s="11"/>
      <x:c r="E783" s="11"/>
      <x:c r="F783" s="11"/>
      <x:c r="G783" s="11"/>
      <x:c r="H783" s="11"/>
      <x:c r="I783" s="11"/>
      <x:c r="J783" s="11"/>
      <x:c r="K783" s="12" t="str">
        <x:f>IF(A783="","",E783*F783+G783*H783+I783*J783)</x:f>
      </x:c>
      <x:c r="L783" s="9"/>
      <x:c r="M783" s="9" t="str">
        <x:f>IF(A783="","",INDEX('입고대장'!$M$7:$M$1006,MATCH(A783,'입고대장'!$A$7:$A$1006,0)))</x:f>
      </x:c>
      <x:c r="N783" s="9"/>
    </x:row>
    <x:row r="784" ht="23" customHeight="1">
      <x:c r="A784" s="9"/>
      <x:c r="B784" s="10"/>
      <x:c r="C784" s="11"/>
      <x:c r="D784" s="11"/>
      <x:c r="E784" s="11"/>
      <x:c r="F784" s="11"/>
      <x:c r="G784" s="11"/>
      <x:c r="H784" s="11"/>
      <x:c r="I784" s="11"/>
      <x:c r="J784" s="11"/>
      <x:c r="K784" s="12" t="str">
        <x:f>IF(A784="","",E784*F784+G784*H784+I784*J784)</x:f>
      </x:c>
      <x:c r="L784" s="9"/>
      <x:c r="M784" s="9" t="str">
        <x:f>IF(A784="","",INDEX('입고대장'!$M$7:$M$1006,MATCH(A784,'입고대장'!$A$7:$A$1006,0)))</x:f>
      </x:c>
      <x:c r="N784" s="9"/>
    </x:row>
    <x:row r="785" ht="23" customHeight="1">
      <x:c r="A785" s="9"/>
      <x:c r="B785" s="10"/>
      <x:c r="C785" s="11"/>
      <x:c r="D785" s="11"/>
      <x:c r="E785" s="11"/>
      <x:c r="F785" s="11"/>
      <x:c r="G785" s="11"/>
      <x:c r="H785" s="11"/>
      <x:c r="I785" s="11"/>
      <x:c r="J785" s="11"/>
      <x:c r="K785" s="12" t="str">
        <x:f>IF(A785="","",E785*F785+G785*H785+I785*J785)</x:f>
      </x:c>
      <x:c r="L785" s="9"/>
      <x:c r="M785" s="9" t="str">
        <x:f>IF(A785="","",INDEX('입고대장'!$M$7:$M$1006,MATCH(A785,'입고대장'!$A$7:$A$1006,0)))</x:f>
      </x:c>
      <x:c r="N785" s="9"/>
    </x:row>
    <x:row r="786" ht="23" customHeight="1">
      <x:c r="A786" s="9"/>
      <x:c r="B786" s="10"/>
      <x:c r="C786" s="11"/>
      <x:c r="D786" s="11"/>
      <x:c r="E786" s="11"/>
      <x:c r="F786" s="11"/>
      <x:c r="G786" s="11"/>
      <x:c r="H786" s="11"/>
      <x:c r="I786" s="11"/>
      <x:c r="J786" s="11"/>
      <x:c r="K786" s="12" t="str">
        <x:f>IF(A786="","",E786*F786+G786*H786+I786*J786)</x:f>
      </x:c>
      <x:c r="L786" s="9"/>
      <x:c r="M786" s="9" t="str">
        <x:f>IF(A786="","",INDEX('입고대장'!$M$7:$M$1006,MATCH(A786,'입고대장'!$A$7:$A$1006,0)))</x:f>
      </x:c>
      <x:c r="N786" s="9"/>
    </x:row>
    <x:row r="787" ht="23" customHeight="1">
      <x:c r="A787" s="9"/>
      <x:c r="B787" s="10"/>
      <x:c r="C787" s="11"/>
      <x:c r="D787" s="11"/>
      <x:c r="E787" s="11"/>
      <x:c r="F787" s="11"/>
      <x:c r="G787" s="11"/>
      <x:c r="H787" s="11"/>
      <x:c r="I787" s="11"/>
      <x:c r="J787" s="11"/>
      <x:c r="K787" s="12" t="str">
        <x:f>IF(A787="","",E787*F787+G787*H787+I787*J787)</x:f>
      </x:c>
      <x:c r="L787" s="9"/>
      <x:c r="M787" s="9" t="str">
        <x:f>IF(A787="","",INDEX('입고대장'!$M$7:$M$1006,MATCH(A787,'입고대장'!$A$7:$A$1006,0)))</x:f>
      </x:c>
      <x:c r="N787" s="9"/>
    </x:row>
    <x:row r="788" ht="23" customHeight="1">
      <x:c r="A788" s="9"/>
      <x:c r="B788" s="10"/>
      <x:c r="C788" s="11"/>
      <x:c r="D788" s="11"/>
      <x:c r="E788" s="11"/>
      <x:c r="F788" s="11"/>
      <x:c r="G788" s="11"/>
      <x:c r="H788" s="11"/>
      <x:c r="I788" s="11"/>
      <x:c r="J788" s="11"/>
      <x:c r="K788" s="12" t="str">
        <x:f>IF(A788="","",E788*F788+G788*H788+I788*J788)</x:f>
      </x:c>
      <x:c r="L788" s="9"/>
      <x:c r="M788" s="9" t="str">
        <x:f>IF(A788="","",INDEX('입고대장'!$M$7:$M$1006,MATCH(A788,'입고대장'!$A$7:$A$1006,0)))</x:f>
      </x:c>
      <x:c r="N788" s="9"/>
    </x:row>
    <x:row r="789" ht="23" customHeight="1">
      <x:c r="A789" s="9"/>
      <x:c r="B789" s="10"/>
      <x:c r="C789" s="11"/>
      <x:c r="D789" s="11"/>
      <x:c r="E789" s="11"/>
      <x:c r="F789" s="11"/>
      <x:c r="G789" s="11"/>
      <x:c r="H789" s="11"/>
      <x:c r="I789" s="11"/>
      <x:c r="J789" s="11"/>
      <x:c r="K789" s="12" t="str">
        <x:f>IF(A789="","",E789*F789+G789*H789+I789*J789)</x:f>
      </x:c>
      <x:c r="L789" s="9"/>
      <x:c r="M789" s="9" t="str">
        <x:f>IF(A789="","",INDEX('입고대장'!$M$7:$M$1006,MATCH(A789,'입고대장'!$A$7:$A$1006,0)))</x:f>
      </x:c>
      <x:c r="N789" s="9"/>
    </x:row>
    <x:row r="790" ht="23" customHeight="1">
      <x:c r="A790" s="9"/>
      <x:c r="B790" s="10"/>
      <x:c r="C790" s="11"/>
      <x:c r="D790" s="11"/>
      <x:c r="E790" s="11"/>
      <x:c r="F790" s="11"/>
      <x:c r="G790" s="11"/>
      <x:c r="H790" s="11"/>
      <x:c r="I790" s="11"/>
      <x:c r="J790" s="11"/>
      <x:c r="K790" s="12" t="str">
        <x:f>IF(A790="","",E790*F790+G790*H790+I790*J790)</x:f>
      </x:c>
      <x:c r="L790" s="9"/>
      <x:c r="M790" s="9" t="str">
        <x:f>IF(A790="","",INDEX('입고대장'!$M$7:$M$1006,MATCH(A790,'입고대장'!$A$7:$A$1006,0)))</x:f>
      </x:c>
      <x:c r="N790" s="9"/>
    </x:row>
    <x:row r="791" ht="23" customHeight="1">
      <x:c r="A791" s="9"/>
      <x:c r="B791" s="10"/>
      <x:c r="C791" s="11"/>
      <x:c r="D791" s="11"/>
      <x:c r="E791" s="11"/>
      <x:c r="F791" s="11"/>
      <x:c r="G791" s="11"/>
      <x:c r="H791" s="11"/>
      <x:c r="I791" s="11"/>
      <x:c r="J791" s="11"/>
      <x:c r="K791" s="12" t="str">
        <x:f>IF(A791="","",E791*F791+G791*H791+I791*J791)</x:f>
      </x:c>
      <x:c r="L791" s="9"/>
      <x:c r="M791" s="9" t="str">
        <x:f>IF(A791="","",INDEX('입고대장'!$M$7:$M$1006,MATCH(A791,'입고대장'!$A$7:$A$1006,0)))</x:f>
      </x:c>
      <x:c r="N791" s="9"/>
    </x:row>
    <x:row r="792" ht="23" customHeight="1">
      <x:c r="A792" s="9"/>
      <x:c r="B792" s="10"/>
      <x:c r="C792" s="11"/>
      <x:c r="D792" s="11"/>
      <x:c r="E792" s="11"/>
      <x:c r="F792" s="11"/>
      <x:c r="G792" s="11"/>
      <x:c r="H792" s="11"/>
      <x:c r="I792" s="11"/>
      <x:c r="J792" s="11"/>
      <x:c r="K792" s="12" t="str">
        <x:f>IF(A792="","",E792*F792+G792*H792+I792*J792)</x:f>
      </x:c>
      <x:c r="L792" s="9"/>
      <x:c r="M792" s="9" t="str">
        <x:f>IF(A792="","",INDEX('입고대장'!$M$7:$M$1006,MATCH(A792,'입고대장'!$A$7:$A$1006,0)))</x:f>
      </x:c>
      <x:c r="N792" s="9"/>
    </x:row>
    <x:row r="793" ht="23" customHeight="1">
      <x:c r="A793" s="9"/>
      <x:c r="B793" s="10"/>
      <x:c r="C793" s="11"/>
      <x:c r="D793" s="11"/>
      <x:c r="E793" s="11"/>
      <x:c r="F793" s="11"/>
      <x:c r="G793" s="11"/>
      <x:c r="H793" s="11"/>
      <x:c r="I793" s="11"/>
      <x:c r="J793" s="11"/>
      <x:c r="K793" s="12" t="str">
        <x:f>IF(A793="","",E793*F793+G793*H793+I793*J793)</x:f>
      </x:c>
      <x:c r="L793" s="9"/>
      <x:c r="M793" s="9" t="str">
        <x:f>IF(A793="","",INDEX('입고대장'!$M$7:$M$1006,MATCH(A793,'입고대장'!$A$7:$A$1006,0)))</x:f>
      </x:c>
      <x:c r="N793" s="9"/>
    </x:row>
    <x:row r="794" ht="23" customHeight="1">
      <x:c r="A794" s="9"/>
      <x:c r="B794" s="10"/>
      <x:c r="C794" s="11"/>
      <x:c r="D794" s="11"/>
      <x:c r="E794" s="11"/>
      <x:c r="F794" s="11"/>
      <x:c r="G794" s="11"/>
      <x:c r="H794" s="11"/>
      <x:c r="I794" s="11"/>
      <x:c r="J794" s="11"/>
      <x:c r="K794" s="12" t="str">
        <x:f>IF(A794="","",E794*F794+G794*H794+I794*J794)</x:f>
      </x:c>
      <x:c r="L794" s="9"/>
      <x:c r="M794" s="9" t="str">
        <x:f>IF(A794="","",INDEX('입고대장'!$M$7:$M$1006,MATCH(A794,'입고대장'!$A$7:$A$1006,0)))</x:f>
      </x:c>
      <x:c r="N794" s="9"/>
    </x:row>
    <x:row r="795" ht="23" customHeight="1">
      <x:c r="A795" s="9"/>
      <x:c r="B795" s="10"/>
      <x:c r="C795" s="11"/>
      <x:c r="D795" s="11"/>
      <x:c r="E795" s="11"/>
      <x:c r="F795" s="11"/>
      <x:c r="G795" s="11"/>
      <x:c r="H795" s="11"/>
      <x:c r="I795" s="11"/>
      <x:c r="J795" s="11"/>
      <x:c r="K795" s="12" t="str">
        <x:f>IF(A795="","",E795*F795+G795*H795+I795*J795)</x:f>
      </x:c>
      <x:c r="L795" s="9"/>
      <x:c r="M795" s="9" t="str">
        <x:f>IF(A795="","",INDEX('입고대장'!$M$7:$M$1006,MATCH(A795,'입고대장'!$A$7:$A$1006,0)))</x:f>
      </x:c>
      <x:c r="N795" s="9"/>
    </x:row>
    <x:row r="796" ht="23" customHeight="1">
      <x:c r="A796" s="9"/>
      <x:c r="B796" s="10"/>
      <x:c r="C796" s="11"/>
      <x:c r="D796" s="11"/>
      <x:c r="E796" s="11"/>
      <x:c r="F796" s="11"/>
      <x:c r="G796" s="11"/>
      <x:c r="H796" s="11"/>
      <x:c r="I796" s="11"/>
      <x:c r="J796" s="11"/>
      <x:c r="K796" s="12" t="str">
        <x:f>IF(A796="","",E796*F796+G796*H796+I796*J796)</x:f>
      </x:c>
      <x:c r="L796" s="9"/>
      <x:c r="M796" s="9" t="str">
        <x:f>IF(A796="","",INDEX('입고대장'!$M$7:$M$1006,MATCH(A796,'입고대장'!$A$7:$A$1006,0)))</x:f>
      </x:c>
      <x:c r="N796" s="9"/>
    </x:row>
    <x:row r="797" ht="23" customHeight="1">
      <x:c r="A797" s="9"/>
      <x:c r="B797" s="10"/>
      <x:c r="C797" s="11"/>
      <x:c r="D797" s="11"/>
      <x:c r="E797" s="11"/>
      <x:c r="F797" s="11"/>
      <x:c r="G797" s="11"/>
      <x:c r="H797" s="11"/>
      <x:c r="I797" s="11"/>
      <x:c r="J797" s="11"/>
      <x:c r="K797" s="12" t="str">
        <x:f>IF(A797="","",E797*F797+G797*H797+I797*J797)</x:f>
      </x:c>
      <x:c r="L797" s="9"/>
      <x:c r="M797" s="9" t="str">
        <x:f>IF(A797="","",INDEX('입고대장'!$M$7:$M$1006,MATCH(A797,'입고대장'!$A$7:$A$1006,0)))</x:f>
      </x:c>
      <x:c r="N797" s="9"/>
    </x:row>
    <x:row r="798" ht="23" customHeight="1">
      <x:c r="A798" s="9"/>
      <x:c r="B798" s="10"/>
      <x:c r="C798" s="11"/>
      <x:c r="D798" s="11"/>
      <x:c r="E798" s="11"/>
      <x:c r="F798" s="11"/>
      <x:c r="G798" s="11"/>
      <x:c r="H798" s="11"/>
      <x:c r="I798" s="11"/>
      <x:c r="J798" s="11"/>
      <x:c r="K798" s="12" t="str">
        <x:f>IF(A798="","",E798*F798+G798*H798+I798*J798)</x:f>
      </x:c>
      <x:c r="L798" s="9"/>
      <x:c r="M798" s="9" t="str">
        <x:f>IF(A798="","",INDEX('입고대장'!$M$7:$M$1006,MATCH(A798,'입고대장'!$A$7:$A$1006,0)))</x:f>
      </x:c>
      <x:c r="N798" s="9"/>
    </x:row>
    <x:row r="799" ht="23" customHeight="1">
      <x:c r="A799" s="9"/>
      <x:c r="B799" s="10"/>
      <x:c r="C799" s="11"/>
      <x:c r="D799" s="11"/>
      <x:c r="E799" s="11"/>
      <x:c r="F799" s="11"/>
      <x:c r="G799" s="11"/>
      <x:c r="H799" s="11"/>
      <x:c r="I799" s="11"/>
      <x:c r="J799" s="11"/>
      <x:c r="K799" s="12" t="str">
        <x:f>IF(A799="","",E799*F799+G799*H799+I799*J799)</x:f>
      </x:c>
      <x:c r="L799" s="9"/>
      <x:c r="M799" s="9" t="str">
        <x:f>IF(A799="","",INDEX('입고대장'!$M$7:$M$1006,MATCH(A799,'입고대장'!$A$7:$A$1006,0)))</x:f>
      </x:c>
      <x:c r="N799" s="9"/>
    </x:row>
    <x:row r="800" ht="23" customHeight="1">
      <x:c r="A800" s="9"/>
      <x:c r="B800" s="10"/>
      <x:c r="C800" s="11"/>
      <x:c r="D800" s="11"/>
      <x:c r="E800" s="11"/>
      <x:c r="F800" s="11"/>
      <x:c r="G800" s="11"/>
      <x:c r="H800" s="11"/>
      <x:c r="I800" s="11"/>
      <x:c r="J800" s="11"/>
      <x:c r="K800" s="12" t="str">
        <x:f>IF(A800="","",E800*F800+G800*H800+I800*J800)</x:f>
      </x:c>
      <x:c r="L800" s="9"/>
      <x:c r="M800" s="9" t="str">
        <x:f>IF(A800="","",INDEX('입고대장'!$M$7:$M$1006,MATCH(A800,'입고대장'!$A$7:$A$1006,0)))</x:f>
      </x:c>
      <x:c r="N800" s="9"/>
    </x:row>
    <x:row r="801" ht="23" customHeight="1">
      <x:c r="A801" s="9"/>
      <x:c r="B801" s="10"/>
      <x:c r="C801" s="11"/>
      <x:c r="D801" s="11"/>
      <x:c r="E801" s="11"/>
      <x:c r="F801" s="11"/>
      <x:c r="G801" s="11"/>
      <x:c r="H801" s="11"/>
      <x:c r="I801" s="11"/>
      <x:c r="J801" s="11"/>
      <x:c r="K801" s="12" t="str">
        <x:f>IF(A801="","",E801*F801+G801*H801+I801*J801)</x:f>
      </x:c>
      <x:c r="L801" s="9"/>
      <x:c r="M801" s="9" t="str">
        <x:f>IF(A801="","",INDEX('입고대장'!$M$7:$M$1006,MATCH(A801,'입고대장'!$A$7:$A$1006,0)))</x:f>
      </x:c>
      <x:c r="N801" s="9"/>
    </x:row>
    <x:row r="802" ht="23" customHeight="1">
      <x:c r="A802" s="9"/>
      <x:c r="B802" s="10"/>
      <x:c r="C802" s="11"/>
      <x:c r="D802" s="11"/>
      <x:c r="E802" s="11"/>
      <x:c r="F802" s="11"/>
      <x:c r="G802" s="11"/>
      <x:c r="H802" s="11"/>
      <x:c r="I802" s="11"/>
      <x:c r="J802" s="11"/>
      <x:c r="K802" s="12" t="str">
        <x:f>IF(A802="","",E802*F802+G802*H802+I802*J802)</x:f>
      </x:c>
      <x:c r="L802" s="9"/>
      <x:c r="M802" s="9" t="str">
        <x:f>IF(A802="","",INDEX('입고대장'!$M$7:$M$1006,MATCH(A802,'입고대장'!$A$7:$A$1006,0)))</x:f>
      </x:c>
      <x:c r="N802" s="9"/>
    </x:row>
    <x:row r="803" ht="23" customHeight="1">
      <x:c r="A803" s="9"/>
      <x:c r="B803" s="10"/>
      <x:c r="C803" s="11"/>
      <x:c r="D803" s="11"/>
      <x:c r="E803" s="11"/>
      <x:c r="F803" s="11"/>
      <x:c r="G803" s="11"/>
      <x:c r="H803" s="11"/>
      <x:c r="I803" s="11"/>
      <x:c r="J803" s="11"/>
      <x:c r="K803" s="12" t="str">
        <x:f>IF(A803="","",E803*F803+G803*H803+I803*J803)</x:f>
      </x:c>
      <x:c r="L803" s="9"/>
      <x:c r="M803" s="9" t="str">
        <x:f>IF(A803="","",INDEX('입고대장'!$M$7:$M$1006,MATCH(A803,'입고대장'!$A$7:$A$1006,0)))</x:f>
      </x:c>
      <x:c r="N803" s="9"/>
    </x:row>
    <x:row r="804" ht="23" customHeight="1">
      <x:c r="A804" s="9"/>
      <x:c r="B804" s="10"/>
      <x:c r="C804" s="11"/>
      <x:c r="D804" s="11"/>
      <x:c r="E804" s="11"/>
      <x:c r="F804" s="11"/>
      <x:c r="G804" s="11"/>
      <x:c r="H804" s="11"/>
      <x:c r="I804" s="11"/>
      <x:c r="J804" s="11"/>
      <x:c r="K804" s="12" t="str">
        <x:f>IF(A804="","",E804*F804+G804*H804+I804*J804)</x:f>
      </x:c>
      <x:c r="L804" s="9"/>
      <x:c r="M804" s="9" t="str">
        <x:f>IF(A804="","",INDEX('입고대장'!$M$7:$M$1006,MATCH(A804,'입고대장'!$A$7:$A$1006,0)))</x:f>
      </x:c>
      <x:c r="N804" s="9"/>
    </x:row>
    <x:row r="805" ht="23" customHeight="1">
      <x:c r="A805" s="9"/>
      <x:c r="B805" s="10"/>
      <x:c r="C805" s="11"/>
      <x:c r="D805" s="11"/>
      <x:c r="E805" s="11"/>
      <x:c r="F805" s="11"/>
      <x:c r="G805" s="11"/>
      <x:c r="H805" s="11"/>
      <x:c r="I805" s="11"/>
      <x:c r="J805" s="11"/>
      <x:c r="K805" s="12" t="str">
        <x:f>IF(A805="","",E805*F805+G805*H805+I805*J805)</x:f>
      </x:c>
      <x:c r="L805" s="9"/>
      <x:c r="M805" s="9" t="str">
        <x:f>IF(A805="","",INDEX('입고대장'!$M$7:$M$1006,MATCH(A805,'입고대장'!$A$7:$A$1006,0)))</x:f>
      </x:c>
      <x:c r="N805" s="9"/>
    </x:row>
    <x:row r="806" ht="23" customHeight="1">
      <x:c r="A806" s="9"/>
      <x:c r="B806" s="10"/>
      <x:c r="C806" s="11"/>
      <x:c r="D806" s="11"/>
      <x:c r="E806" s="11"/>
      <x:c r="F806" s="11"/>
      <x:c r="G806" s="11"/>
      <x:c r="H806" s="11"/>
      <x:c r="I806" s="11"/>
      <x:c r="J806" s="11"/>
      <x:c r="K806" s="12" t="str">
        <x:f>IF(A806="","",E806*F806+G806*H806+I806*J806)</x:f>
      </x:c>
      <x:c r="L806" s="9"/>
      <x:c r="M806" s="9" t="str">
        <x:f>IF(A806="","",INDEX('입고대장'!$M$7:$M$1006,MATCH(A806,'입고대장'!$A$7:$A$1006,0)))</x:f>
      </x:c>
      <x:c r="N806" s="9"/>
    </x:row>
    <x:row r="807" ht="23" customHeight="1">
      <x:c r="A807" s="9"/>
      <x:c r="B807" s="10"/>
      <x:c r="C807" s="11"/>
      <x:c r="D807" s="11"/>
      <x:c r="E807" s="11"/>
      <x:c r="F807" s="11"/>
      <x:c r="G807" s="11"/>
      <x:c r="H807" s="11"/>
      <x:c r="I807" s="11"/>
      <x:c r="J807" s="11"/>
      <x:c r="K807" s="12" t="str">
        <x:f>IF(A807="","",E807*F807+G807*H807+I807*J807)</x:f>
      </x:c>
      <x:c r="L807" s="9"/>
      <x:c r="M807" s="9" t="str">
        <x:f>IF(A807="","",INDEX('입고대장'!$M$7:$M$1006,MATCH(A807,'입고대장'!$A$7:$A$1006,0)))</x:f>
      </x:c>
      <x:c r="N807" s="9"/>
    </x:row>
    <x:row r="808" ht="23" customHeight="1">
      <x:c r="A808" s="9"/>
      <x:c r="B808" s="10"/>
      <x:c r="C808" s="11"/>
      <x:c r="D808" s="11"/>
      <x:c r="E808" s="11"/>
      <x:c r="F808" s="11"/>
      <x:c r="G808" s="11"/>
      <x:c r="H808" s="11"/>
      <x:c r="I808" s="11"/>
      <x:c r="J808" s="11"/>
      <x:c r="K808" s="12" t="str">
        <x:f>IF(A808="","",E808*F808+G808*H808+I808*J808)</x:f>
      </x:c>
      <x:c r="L808" s="9"/>
      <x:c r="M808" s="9" t="str">
        <x:f>IF(A808="","",INDEX('입고대장'!$M$7:$M$1006,MATCH(A808,'입고대장'!$A$7:$A$1006,0)))</x:f>
      </x:c>
      <x:c r="N808" s="9"/>
    </x:row>
    <x:row r="809" ht="23" customHeight="1">
      <x:c r="A809" s="9"/>
      <x:c r="B809" s="10"/>
      <x:c r="C809" s="11"/>
      <x:c r="D809" s="11"/>
      <x:c r="E809" s="11"/>
      <x:c r="F809" s="11"/>
      <x:c r="G809" s="11"/>
      <x:c r="H809" s="11"/>
      <x:c r="I809" s="11"/>
      <x:c r="J809" s="11"/>
      <x:c r="K809" s="12" t="str">
        <x:f>IF(A809="","",E809*F809+G809*H809+I809*J809)</x:f>
      </x:c>
      <x:c r="L809" s="9"/>
      <x:c r="M809" s="9" t="str">
        <x:f>IF(A809="","",INDEX('입고대장'!$M$7:$M$1006,MATCH(A809,'입고대장'!$A$7:$A$1006,0)))</x:f>
      </x:c>
      <x:c r="N809" s="9"/>
    </x:row>
    <x:row r="810" ht="23" customHeight="1">
      <x:c r="A810" s="9"/>
      <x:c r="B810" s="10"/>
      <x:c r="C810" s="11"/>
      <x:c r="D810" s="11"/>
      <x:c r="E810" s="11"/>
      <x:c r="F810" s="11"/>
      <x:c r="G810" s="11"/>
      <x:c r="H810" s="11"/>
      <x:c r="I810" s="11"/>
      <x:c r="J810" s="11"/>
      <x:c r="K810" s="12" t="str">
        <x:f>IF(A810="","",E810*F810+G810*H810+I810*J810)</x:f>
      </x:c>
      <x:c r="L810" s="9"/>
      <x:c r="M810" s="9" t="str">
        <x:f>IF(A810="","",INDEX('입고대장'!$M$7:$M$1006,MATCH(A810,'입고대장'!$A$7:$A$1006,0)))</x:f>
      </x:c>
      <x:c r="N810" s="9"/>
    </x:row>
    <x:row r="811" ht="23" customHeight="1">
      <x:c r="A811" s="9"/>
      <x:c r="B811" s="10"/>
      <x:c r="C811" s="11"/>
      <x:c r="D811" s="11"/>
      <x:c r="E811" s="11"/>
      <x:c r="F811" s="11"/>
      <x:c r="G811" s="11"/>
      <x:c r="H811" s="11"/>
      <x:c r="I811" s="11"/>
      <x:c r="J811" s="11"/>
      <x:c r="K811" s="12" t="str">
        <x:f>IF(A811="","",E811*F811+G811*H811+I811*J811)</x:f>
      </x:c>
      <x:c r="L811" s="9"/>
      <x:c r="M811" s="9" t="str">
        <x:f>IF(A811="","",INDEX('입고대장'!$M$7:$M$1006,MATCH(A811,'입고대장'!$A$7:$A$1006,0)))</x:f>
      </x:c>
      <x:c r="N811" s="9"/>
    </x:row>
    <x:row r="812" ht="23" customHeight="1">
      <x:c r="A812" s="9"/>
      <x:c r="B812" s="10"/>
      <x:c r="C812" s="11"/>
      <x:c r="D812" s="11"/>
      <x:c r="E812" s="11"/>
      <x:c r="F812" s="11"/>
      <x:c r="G812" s="11"/>
      <x:c r="H812" s="11"/>
      <x:c r="I812" s="11"/>
      <x:c r="J812" s="11"/>
      <x:c r="K812" s="12" t="str">
        <x:f>IF(A812="","",E812*F812+G812*H812+I812*J812)</x:f>
      </x:c>
      <x:c r="L812" s="9"/>
      <x:c r="M812" s="9" t="str">
        <x:f>IF(A812="","",INDEX('입고대장'!$M$7:$M$1006,MATCH(A812,'입고대장'!$A$7:$A$1006,0)))</x:f>
      </x:c>
      <x:c r="N812" s="9"/>
    </x:row>
    <x:row r="813" ht="23" customHeight="1">
      <x:c r="A813" s="9"/>
      <x:c r="B813" s="10"/>
      <x:c r="C813" s="11"/>
      <x:c r="D813" s="11"/>
      <x:c r="E813" s="11"/>
      <x:c r="F813" s="11"/>
      <x:c r="G813" s="11"/>
      <x:c r="H813" s="11"/>
      <x:c r="I813" s="11"/>
      <x:c r="J813" s="11"/>
      <x:c r="K813" s="12" t="str">
        <x:f>IF(A813="","",E813*F813+G813*H813+I813*J813)</x:f>
      </x:c>
      <x:c r="L813" s="9"/>
      <x:c r="M813" s="9" t="str">
        <x:f>IF(A813="","",INDEX('입고대장'!$M$7:$M$1006,MATCH(A813,'입고대장'!$A$7:$A$1006,0)))</x:f>
      </x:c>
      <x:c r="N813" s="9"/>
    </x:row>
    <x:row r="814" ht="23" customHeight="1">
      <x:c r="A814" s="9"/>
      <x:c r="B814" s="10"/>
      <x:c r="C814" s="11"/>
      <x:c r="D814" s="11"/>
      <x:c r="E814" s="11"/>
      <x:c r="F814" s="11"/>
      <x:c r="G814" s="11"/>
      <x:c r="H814" s="11"/>
      <x:c r="I814" s="11"/>
      <x:c r="J814" s="11"/>
      <x:c r="K814" s="12" t="str">
        <x:f>IF(A814="","",E814*F814+G814*H814+I814*J814)</x:f>
      </x:c>
      <x:c r="L814" s="9"/>
      <x:c r="M814" s="9" t="str">
        <x:f>IF(A814="","",INDEX('입고대장'!$M$7:$M$1006,MATCH(A814,'입고대장'!$A$7:$A$1006,0)))</x:f>
      </x:c>
      <x:c r="N814" s="9"/>
    </x:row>
    <x:row r="815" ht="23" customHeight="1">
      <x:c r="A815" s="9"/>
      <x:c r="B815" s="10"/>
      <x:c r="C815" s="11"/>
      <x:c r="D815" s="11"/>
      <x:c r="E815" s="11"/>
      <x:c r="F815" s="11"/>
      <x:c r="G815" s="11"/>
      <x:c r="H815" s="11"/>
      <x:c r="I815" s="11"/>
      <x:c r="J815" s="11"/>
      <x:c r="K815" s="12" t="str">
        <x:f>IF(A815="","",E815*F815+G815*H815+I815*J815)</x:f>
      </x:c>
      <x:c r="L815" s="9"/>
      <x:c r="M815" s="9" t="str">
        <x:f>IF(A815="","",INDEX('입고대장'!$M$7:$M$1006,MATCH(A815,'입고대장'!$A$7:$A$1006,0)))</x:f>
      </x:c>
      <x:c r="N815" s="9"/>
    </x:row>
    <x:row r="816" ht="23" customHeight="1">
      <x:c r="A816" s="9"/>
      <x:c r="B816" s="10"/>
      <x:c r="C816" s="11"/>
      <x:c r="D816" s="11"/>
      <x:c r="E816" s="11"/>
      <x:c r="F816" s="11"/>
      <x:c r="G816" s="11"/>
      <x:c r="H816" s="11"/>
      <x:c r="I816" s="11"/>
      <x:c r="J816" s="11"/>
      <x:c r="K816" s="12" t="str">
        <x:f>IF(A816="","",E816*F816+G816*H816+I816*J816)</x:f>
      </x:c>
      <x:c r="L816" s="9"/>
      <x:c r="M816" s="9" t="str">
        <x:f>IF(A816="","",INDEX('입고대장'!$M$7:$M$1006,MATCH(A816,'입고대장'!$A$7:$A$1006,0)))</x:f>
      </x:c>
      <x:c r="N816" s="9"/>
    </x:row>
    <x:row r="817" ht="23" customHeight="1">
      <x:c r="A817" s="9"/>
      <x:c r="B817" s="10"/>
      <x:c r="C817" s="11"/>
      <x:c r="D817" s="11"/>
      <x:c r="E817" s="11"/>
      <x:c r="F817" s="11"/>
      <x:c r="G817" s="11"/>
      <x:c r="H817" s="11"/>
      <x:c r="I817" s="11"/>
      <x:c r="J817" s="11"/>
      <x:c r="K817" s="12" t="str">
        <x:f>IF(A817="","",E817*F817+G817*H817+I817*J817)</x:f>
      </x:c>
      <x:c r="L817" s="9"/>
      <x:c r="M817" s="9" t="str">
        <x:f>IF(A817="","",INDEX('입고대장'!$M$7:$M$1006,MATCH(A817,'입고대장'!$A$7:$A$1006,0)))</x:f>
      </x:c>
      <x:c r="N817" s="9"/>
    </x:row>
    <x:row r="818" ht="23" customHeight="1">
      <x:c r="A818" s="9"/>
      <x:c r="B818" s="10"/>
      <x:c r="C818" s="11"/>
      <x:c r="D818" s="11"/>
      <x:c r="E818" s="11"/>
      <x:c r="F818" s="11"/>
      <x:c r="G818" s="11"/>
      <x:c r="H818" s="11"/>
      <x:c r="I818" s="11"/>
      <x:c r="J818" s="11"/>
      <x:c r="K818" s="12" t="str">
        <x:f>IF(A818="","",E818*F818+G818*H818+I818*J818)</x:f>
      </x:c>
      <x:c r="L818" s="9"/>
      <x:c r="M818" s="9" t="str">
        <x:f>IF(A818="","",INDEX('입고대장'!$M$7:$M$1006,MATCH(A818,'입고대장'!$A$7:$A$1006,0)))</x:f>
      </x:c>
      <x:c r="N818" s="9"/>
    </x:row>
    <x:row r="819" ht="23" customHeight="1">
      <x:c r="A819" s="9"/>
      <x:c r="B819" s="10"/>
      <x:c r="C819" s="11"/>
      <x:c r="D819" s="11"/>
      <x:c r="E819" s="11"/>
      <x:c r="F819" s="11"/>
      <x:c r="G819" s="11"/>
      <x:c r="H819" s="11"/>
      <x:c r="I819" s="11"/>
      <x:c r="J819" s="11"/>
      <x:c r="K819" s="12" t="str">
        <x:f>IF(A819="","",E819*F819+G819*H819+I819*J819)</x:f>
      </x:c>
      <x:c r="L819" s="9"/>
      <x:c r="M819" s="9" t="str">
        <x:f>IF(A819="","",INDEX('입고대장'!$M$7:$M$1006,MATCH(A819,'입고대장'!$A$7:$A$1006,0)))</x:f>
      </x:c>
      <x:c r="N819" s="9"/>
    </x:row>
    <x:row r="820" ht="23" customHeight="1">
      <x:c r="A820" s="9"/>
      <x:c r="B820" s="10"/>
      <x:c r="C820" s="11"/>
      <x:c r="D820" s="11"/>
      <x:c r="E820" s="11"/>
      <x:c r="F820" s="11"/>
      <x:c r="G820" s="11"/>
      <x:c r="H820" s="11"/>
      <x:c r="I820" s="11"/>
      <x:c r="J820" s="11"/>
      <x:c r="K820" s="12" t="str">
        <x:f>IF(A820="","",E820*F820+G820*H820+I820*J820)</x:f>
      </x:c>
      <x:c r="L820" s="9"/>
      <x:c r="M820" s="9" t="str">
        <x:f>IF(A820="","",INDEX('입고대장'!$M$7:$M$1006,MATCH(A820,'입고대장'!$A$7:$A$1006,0)))</x:f>
      </x:c>
      <x:c r="N820" s="9"/>
    </x:row>
    <x:row r="821" ht="23" customHeight="1">
      <x:c r="A821" s="9"/>
      <x:c r="B821" s="10"/>
      <x:c r="C821" s="11"/>
      <x:c r="D821" s="11"/>
      <x:c r="E821" s="11"/>
      <x:c r="F821" s="11"/>
      <x:c r="G821" s="11"/>
      <x:c r="H821" s="11"/>
      <x:c r="I821" s="11"/>
      <x:c r="J821" s="11"/>
      <x:c r="K821" s="12" t="str">
        <x:f>IF(A821="","",E821*F821+G821*H821+I821*J821)</x:f>
      </x:c>
      <x:c r="L821" s="9"/>
      <x:c r="M821" s="9" t="str">
        <x:f>IF(A821="","",INDEX('입고대장'!$M$7:$M$1006,MATCH(A821,'입고대장'!$A$7:$A$1006,0)))</x:f>
      </x:c>
      <x:c r="N821" s="9"/>
    </x:row>
    <x:row r="822" ht="23" customHeight="1">
      <x:c r="A822" s="9"/>
      <x:c r="B822" s="10"/>
      <x:c r="C822" s="11"/>
      <x:c r="D822" s="11"/>
      <x:c r="E822" s="11"/>
      <x:c r="F822" s="11"/>
      <x:c r="G822" s="11"/>
      <x:c r="H822" s="11"/>
      <x:c r="I822" s="11"/>
      <x:c r="J822" s="11"/>
      <x:c r="K822" s="12" t="str">
        <x:f>IF(A822="","",E822*F822+G822*H822+I822*J822)</x:f>
      </x:c>
      <x:c r="L822" s="9"/>
      <x:c r="M822" s="9" t="str">
        <x:f>IF(A822="","",INDEX('입고대장'!$M$7:$M$1006,MATCH(A822,'입고대장'!$A$7:$A$1006,0)))</x:f>
      </x:c>
      <x:c r="N822" s="9"/>
    </x:row>
    <x:row r="823" ht="23" customHeight="1">
      <x:c r="A823" s="9"/>
      <x:c r="B823" s="10"/>
      <x:c r="C823" s="11"/>
      <x:c r="D823" s="11"/>
      <x:c r="E823" s="11"/>
      <x:c r="F823" s="11"/>
      <x:c r="G823" s="11"/>
      <x:c r="H823" s="11"/>
      <x:c r="I823" s="11"/>
      <x:c r="J823" s="11"/>
      <x:c r="K823" s="12" t="str">
        <x:f>IF(A823="","",E823*F823+G823*H823+I823*J823)</x:f>
      </x:c>
      <x:c r="L823" s="9"/>
      <x:c r="M823" s="9" t="str">
        <x:f>IF(A823="","",INDEX('입고대장'!$M$7:$M$1006,MATCH(A823,'입고대장'!$A$7:$A$1006,0)))</x:f>
      </x:c>
      <x:c r="N823" s="9"/>
    </x:row>
    <x:row r="824" ht="23" customHeight="1">
      <x:c r="A824" s="9"/>
      <x:c r="B824" s="10"/>
      <x:c r="C824" s="11"/>
      <x:c r="D824" s="11"/>
      <x:c r="E824" s="11"/>
      <x:c r="F824" s="11"/>
      <x:c r="G824" s="11"/>
      <x:c r="H824" s="11"/>
      <x:c r="I824" s="11"/>
      <x:c r="J824" s="11"/>
      <x:c r="K824" s="12" t="str">
        <x:f>IF(A824="","",E824*F824+G824*H824+I824*J824)</x:f>
      </x:c>
      <x:c r="L824" s="9"/>
      <x:c r="M824" s="9" t="str">
        <x:f>IF(A824="","",INDEX('입고대장'!$M$7:$M$1006,MATCH(A824,'입고대장'!$A$7:$A$1006,0)))</x:f>
      </x:c>
      <x:c r="N824" s="9"/>
    </x:row>
    <x:row r="825" ht="23" customHeight="1">
      <x:c r="A825" s="9"/>
      <x:c r="B825" s="10"/>
      <x:c r="C825" s="11"/>
      <x:c r="D825" s="11"/>
      <x:c r="E825" s="11"/>
      <x:c r="F825" s="11"/>
      <x:c r="G825" s="11"/>
      <x:c r="H825" s="11"/>
      <x:c r="I825" s="11"/>
      <x:c r="J825" s="11"/>
      <x:c r="K825" s="12" t="str">
        <x:f>IF(A825="","",E825*F825+G825*H825+I825*J825)</x:f>
      </x:c>
      <x:c r="L825" s="9"/>
      <x:c r="M825" s="9" t="str">
        <x:f>IF(A825="","",INDEX('입고대장'!$M$7:$M$1006,MATCH(A825,'입고대장'!$A$7:$A$1006,0)))</x:f>
      </x:c>
      <x:c r="N825" s="9"/>
    </x:row>
    <x:row r="826" ht="23" customHeight="1">
      <x:c r="A826" s="9"/>
      <x:c r="B826" s="10"/>
      <x:c r="C826" s="11"/>
      <x:c r="D826" s="11"/>
      <x:c r="E826" s="11"/>
      <x:c r="F826" s="11"/>
      <x:c r="G826" s="11"/>
      <x:c r="H826" s="11"/>
      <x:c r="I826" s="11"/>
      <x:c r="J826" s="11"/>
      <x:c r="K826" s="12" t="str">
        <x:f>IF(A826="","",E826*F826+G826*H826+I826*J826)</x:f>
      </x:c>
      <x:c r="L826" s="9"/>
      <x:c r="M826" s="9" t="str">
        <x:f>IF(A826="","",INDEX('입고대장'!$M$7:$M$1006,MATCH(A826,'입고대장'!$A$7:$A$1006,0)))</x:f>
      </x:c>
      <x:c r="N826" s="9"/>
    </x:row>
    <x:row r="827" ht="23" customHeight="1">
      <x:c r="A827" s="9"/>
      <x:c r="B827" s="10"/>
      <x:c r="C827" s="11"/>
      <x:c r="D827" s="11"/>
      <x:c r="E827" s="11"/>
      <x:c r="F827" s="11"/>
      <x:c r="G827" s="11"/>
      <x:c r="H827" s="11"/>
      <x:c r="I827" s="11"/>
      <x:c r="J827" s="11"/>
      <x:c r="K827" s="12" t="str">
        <x:f>IF(A827="","",E827*F827+G827*H827+I827*J827)</x:f>
      </x:c>
      <x:c r="L827" s="9"/>
      <x:c r="M827" s="9" t="str">
        <x:f>IF(A827="","",INDEX('입고대장'!$M$7:$M$1006,MATCH(A827,'입고대장'!$A$7:$A$1006,0)))</x:f>
      </x:c>
      <x:c r="N827" s="9"/>
    </x:row>
    <x:row r="828" ht="23" customHeight="1">
      <x:c r="A828" s="9"/>
      <x:c r="B828" s="10"/>
      <x:c r="C828" s="11"/>
      <x:c r="D828" s="11"/>
      <x:c r="E828" s="11"/>
      <x:c r="F828" s="11"/>
      <x:c r="G828" s="11"/>
      <x:c r="H828" s="11"/>
      <x:c r="I828" s="11"/>
      <x:c r="J828" s="11"/>
      <x:c r="K828" s="12" t="str">
        <x:f>IF(A828="","",E828*F828+G828*H828+I828*J828)</x:f>
      </x:c>
      <x:c r="L828" s="9"/>
      <x:c r="M828" s="9" t="str">
        <x:f>IF(A828="","",INDEX('입고대장'!$M$7:$M$1006,MATCH(A828,'입고대장'!$A$7:$A$1006,0)))</x:f>
      </x:c>
      <x:c r="N828" s="9"/>
    </x:row>
    <x:row r="829" ht="23" customHeight="1">
      <x:c r="A829" s="9"/>
      <x:c r="B829" s="10"/>
      <x:c r="C829" s="11"/>
      <x:c r="D829" s="11"/>
      <x:c r="E829" s="11"/>
      <x:c r="F829" s="11"/>
      <x:c r="G829" s="11"/>
      <x:c r="H829" s="11"/>
      <x:c r="I829" s="11"/>
      <x:c r="J829" s="11"/>
      <x:c r="K829" s="12" t="str">
        <x:f>IF(A829="","",E829*F829+G829*H829+I829*J829)</x:f>
      </x:c>
      <x:c r="L829" s="9"/>
      <x:c r="M829" s="9" t="str">
        <x:f>IF(A829="","",INDEX('입고대장'!$M$7:$M$1006,MATCH(A829,'입고대장'!$A$7:$A$1006,0)))</x:f>
      </x:c>
      <x:c r="N829" s="9"/>
    </x:row>
    <x:row r="830" ht="23" customHeight="1">
      <x:c r="A830" s="9"/>
      <x:c r="B830" s="10"/>
      <x:c r="C830" s="11"/>
      <x:c r="D830" s="11"/>
      <x:c r="E830" s="11"/>
      <x:c r="F830" s="11"/>
      <x:c r="G830" s="11"/>
      <x:c r="H830" s="11"/>
      <x:c r="I830" s="11"/>
      <x:c r="J830" s="11"/>
      <x:c r="K830" s="12" t="str">
        <x:f>IF(A830="","",E830*F830+G830*H830+I830*J830)</x:f>
      </x:c>
      <x:c r="L830" s="9"/>
      <x:c r="M830" s="9" t="str">
        <x:f>IF(A830="","",INDEX('입고대장'!$M$7:$M$1006,MATCH(A830,'입고대장'!$A$7:$A$1006,0)))</x:f>
      </x:c>
      <x:c r="N830" s="9"/>
    </x:row>
    <x:row r="831" ht="23" customHeight="1">
      <x:c r="A831" s="9"/>
      <x:c r="B831" s="10"/>
      <x:c r="C831" s="11"/>
      <x:c r="D831" s="11"/>
      <x:c r="E831" s="11"/>
      <x:c r="F831" s="11"/>
      <x:c r="G831" s="11"/>
      <x:c r="H831" s="11"/>
      <x:c r="I831" s="11"/>
      <x:c r="J831" s="11"/>
      <x:c r="K831" s="12" t="str">
        <x:f>IF(A831="","",E831*F831+G831*H831+I831*J831)</x:f>
      </x:c>
      <x:c r="L831" s="9"/>
      <x:c r="M831" s="9" t="str">
        <x:f>IF(A831="","",INDEX('입고대장'!$M$7:$M$1006,MATCH(A831,'입고대장'!$A$7:$A$1006,0)))</x:f>
      </x:c>
      <x:c r="N831" s="9"/>
    </x:row>
    <x:row r="832" ht="23" customHeight="1">
      <x:c r="A832" s="9"/>
      <x:c r="B832" s="10"/>
      <x:c r="C832" s="11"/>
      <x:c r="D832" s="11"/>
      <x:c r="E832" s="11"/>
      <x:c r="F832" s="11"/>
      <x:c r="G832" s="11"/>
      <x:c r="H832" s="11"/>
      <x:c r="I832" s="11"/>
      <x:c r="J832" s="11"/>
      <x:c r="K832" s="12" t="str">
        <x:f>IF(A832="","",E832*F832+G832*H832+I832*J832)</x:f>
      </x:c>
      <x:c r="L832" s="9"/>
      <x:c r="M832" s="9" t="str">
        <x:f>IF(A832="","",INDEX('입고대장'!$M$7:$M$1006,MATCH(A832,'입고대장'!$A$7:$A$1006,0)))</x:f>
      </x:c>
      <x:c r="N832" s="9"/>
    </x:row>
    <x:row r="833" ht="23" customHeight="1">
      <x:c r="A833" s="9"/>
      <x:c r="B833" s="10"/>
      <x:c r="C833" s="11"/>
      <x:c r="D833" s="11"/>
      <x:c r="E833" s="11"/>
      <x:c r="F833" s="11"/>
      <x:c r="G833" s="11"/>
      <x:c r="H833" s="11"/>
      <x:c r="I833" s="11"/>
      <x:c r="J833" s="11"/>
      <x:c r="K833" s="12" t="str">
        <x:f>IF(A833="","",E833*F833+G833*H833+I833*J833)</x:f>
      </x:c>
      <x:c r="L833" s="9"/>
      <x:c r="M833" s="9" t="str">
        <x:f>IF(A833="","",INDEX('입고대장'!$M$7:$M$1006,MATCH(A833,'입고대장'!$A$7:$A$1006,0)))</x:f>
      </x:c>
      <x:c r="N833" s="9"/>
    </x:row>
    <x:row r="834" ht="23" customHeight="1">
      <x:c r="A834" s="9"/>
      <x:c r="B834" s="10"/>
      <x:c r="C834" s="11"/>
      <x:c r="D834" s="11"/>
      <x:c r="E834" s="11"/>
      <x:c r="F834" s="11"/>
      <x:c r="G834" s="11"/>
      <x:c r="H834" s="11"/>
      <x:c r="I834" s="11"/>
      <x:c r="J834" s="11"/>
      <x:c r="K834" s="12" t="str">
        <x:f>IF(A834="","",E834*F834+G834*H834+I834*J834)</x:f>
      </x:c>
      <x:c r="L834" s="9"/>
      <x:c r="M834" s="9" t="str">
        <x:f>IF(A834="","",INDEX('입고대장'!$M$7:$M$1006,MATCH(A834,'입고대장'!$A$7:$A$1006,0)))</x:f>
      </x:c>
      <x:c r="N834" s="9"/>
    </x:row>
    <x:row r="835" ht="23" customHeight="1">
      <x:c r="A835" s="9"/>
      <x:c r="B835" s="10"/>
      <x:c r="C835" s="11"/>
      <x:c r="D835" s="11"/>
      <x:c r="E835" s="11"/>
      <x:c r="F835" s="11"/>
      <x:c r="G835" s="11"/>
      <x:c r="H835" s="11"/>
      <x:c r="I835" s="11"/>
      <x:c r="J835" s="11"/>
      <x:c r="K835" s="12" t="str">
        <x:f>IF(A835="","",E835*F835+G835*H835+I835*J835)</x:f>
      </x:c>
      <x:c r="L835" s="9"/>
      <x:c r="M835" s="9" t="str">
        <x:f>IF(A835="","",INDEX('입고대장'!$M$7:$M$1006,MATCH(A835,'입고대장'!$A$7:$A$1006,0)))</x:f>
      </x:c>
      <x:c r="N835" s="9"/>
    </x:row>
    <x:row r="836" ht="23" customHeight="1">
      <x:c r="A836" s="9"/>
      <x:c r="B836" s="10"/>
      <x:c r="C836" s="11"/>
      <x:c r="D836" s="11"/>
      <x:c r="E836" s="11"/>
      <x:c r="F836" s="11"/>
      <x:c r="G836" s="11"/>
      <x:c r="H836" s="11"/>
      <x:c r="I836" s="11"/>
      <x:c r="J836" s="11"/>
      <x:c r="K836" s="12" t="str">
        <x:f>IF(A836="","",E836*F836+G836*H836+I836*J836)</x:f>
      </x:c>
      <x:c r="L836" s="9"/>
      <x:c r="M836" s="9" t="str">
        <x:f>IF(A836="","",INDEX('입고대장'!$M$7:$M$1006,MATCH(A836,'입고대장'!$A$7:$A$1006,0)))</x:f>
      </x:c>
      <x:c r="N836" s="9"/>
    </x:row>
    <x:row r="837" ht="23" customHeight="1">
      <x:c r="A837" s="9"/>
      <x:c r="B837" s="10"/>
      <x:c r="C837" s="11"/>
      <x:c r="D837" s="11"/>
      <x:c r="E837" s="11"/>
      <x:c r="F837" s="11"/>
      <x:c r="G837" s="11"/>
      <x:c r="H837" s="11"/>
      <x:c r="I837" s="11"/>
      <x:c r="J837" s="11"/>
      <x:c r="K837" s="12" t="str">
        <x:f>IF(A837="","",E837*F837+G837*H837+I837*J837)</x:f>
      </x:c>
      <x:c r="L837" s="9"/>
      <x:c r="M837" s="9" t="str">
        <x:f>IF(A837="","",INDEX('입고대장'!$M$7:$M$1006,MATCH(A837,'입고대장'!$A$7:$A$1006,0)))</x:f>
      </x:c>
      <x:c r="N837" s="9"/>
    </x:row>
    <x:row r="838" ht="23" customHeight="1">
      <x:c r="A838" s="9"/>
      <x:c r="B838" s="10"/>
      <x:c r="C838" s="11"/>
      <x:c r="D838" s="11"/>
      <x:c r="E838" s="11"/>
      <x:c r="F838" s="11"/>
      <x:c r="G838" s="11"/>
      <x:c r="H838" s="11"/>
      <x:c r="I838" s="11"/>
      <x:c r="J838" s="11"/>
      <x:c r="K838" s="12" t="str">
        <x:f>IF(A838="","",E838*F838+G838*H838+I838*J838)</x:f>
      </x:c>
      <x:c r="L838" s="9"/>
      <x:c r="M838" s="9" t="str">
        <x:f>IF(A838="","",INDEX('입고대장'!$M$7:$M$1006,MATCH(A838,'입고대장'!$A$7:$A$1006,0)))</x:f>
      </x:c>
      <x:c r="N838" s="9"/>
    </x:row>
    <x:row r="839" ht="23" customHeight="1">
      <x:c r="A839" s="9"/>
      <x:c r="B839" s="10"/>
      <x:c r="C839" s="11"/>
      <x:c r="D839" s="11"/>
      <x:c r="E839" s="11"/>
      <x:c r="F839" s="11"/>
      <x:c r="G839" s="11"/>
      <x:c r="H839" s="11"/>
      <x:c r="I839" s="11"/>
      <x:c r="J839" s="11"/>
      <x:c r="K839" s="12" t="str">
        <x:f>IF(A839="","",E839*F839+G839*H839+I839*J839)</x:f>
      </x:c>
      <x:c r="L839" s="9"/>
      <x:c r="M839" s="9" t="str">
        <x:f>IF(A839="","",INDEX('입고대장'!$M$7:$M$1006,MATCH(A839,'입고대장'!$A$7:$A$1006,0)))</x:f>
      </x:c>
      <x:c r="N839" s="9"/>
    </x:row>
    <x:row r="840" ht="23" customHeight="1">
      <x:c r="A840" s="9"/>
      <x:c r="B840" s="10"/>
      <x:c r="C840" s="11"/>
      <x:c r="D840" s="11"/>
      <x:c r="E840" s="11"/>
      <x:c r="F840" s="11"/>
      <x:c r="G840" s="11"/>
      <x:c r="H840" s="11"/>
      <x:c r="I840" s="11"/>
      <x:c r="J840" s="11"/>
      <x:c r="K840" s="12" t="str">
        <x:f>IF(A840="","",E840*F840+G840*H840+I840*J840)</x:f>
      </x:c>
      <x:c r="L840" s="9"/>
      <x:c r="M840" s="9" t="str">
        <x:f>IF(A840="","",INDEX('입고대장'!$M$7:$M$1006,MATCH(A840,'입고대장'!$A$7:$A$1006,0)))</x:f>
      </x:c>
      <x:c r="N840" s="9"/>
    </x:row>
    <x:row r="841" ht="23" customHeight="1">
      <x:c r="A841" s="9"/>
      <x:c r="B841" s="10"/>
      <x:c r="C841" s="11"/>
      <x:c r="D841" s="11"/>
      <x:c r="E841" s="11"/>
      <x:c r="F841" s="11"/>
      <x:c r="G841" s="11"/>
      <x:c r="H841" s="11"/>
      <x:c r="I841" s="11"/>
      <x:c r="J841" s="11"/>
      <x:c r="K841" s="12" t="str">
        <x:f>IF(A841="","",E841*F841+G841*H841+I841*J841)</x:f>
      </x:c>
      <x:c r="L841" s="9"/>
      <x:c r="M841" s="9" t="str">
        <x:f>IF(A841="","",INDEX('입고대장'!$M$7:$M$1006,MATCH(A841,'입고대장'!$A$7:$A$1006,0)))</x:f>
      </x:c>
      <x:c r="N841" s="9"/>
    </x:row>
    <x:row r="842" ht="23" customHeight="1">
      <x:c r="A842" s="9"/>
      <x:c r="B842" s="10"/>
      <x:c r="C842" s="11"/>
      <x:c r="D842" s="11"/>
      <x:c r="E842" s="11"/>
      <x:c r="F842" s="11"/>
      <x:c r="G842" s="11"/>
      <x:c r="H842" s="11"/>
      <x:c r="I842" s="11"/>
      <x:c r="J842" s="11"/>
      <x:c r="K842" s="12" t="str">
        <x:f>IF(A842="","",E842*F842+G842*H842+I842*J842)</x:f>
      </x:c>
      <x:c r="L842" s="9"/>
      <x:c r="M842" s="9" t="str">
        <x:f>IF(A842="","",INDEX('입고대장'!$M$7:$M$1006,MATCH(A842,'입고대장'!$A$7:$A$1006,0)))</x:f>
      </x:c>
      <x:c r="N842" s="9"/>
    </x:row>
    <x:row r="843" ht="23" customHeight="1">
      <x:c r="A843" s="9"/>
      <x:c r="B843" s="10"/>
      <x:c r="C843" s="11"/>
      <x:c r="D843" s="11"/>
      <x:c r="E843" s="11"/>
      <x:c r="F843" s="11"/>
      <x:c r="G843" s="11"/>
      <x:c r="H843" s="11"/>
      <x:c r="I843" s="11"/>
      <x:c r="J843" s="11"/>
      <x:c r="K843" s="12" t="str">
        <x:f>IF(A843="","",E843*F843+G843*H843+I843*J843)</x:f>
      </x:c>
      <x:c r="L843" s="9"/>
      <x:c r="M843" s="9" t="str">
        <x:f>IF(A843="","",INDEX('입고대장'!$M$7:$M$1006,MATCH(A843,'입고대장'!$A$7:$A$1006,0)))</x:f>
      </x:c>
      <x:c r="N843" s="9"/>
    </x:row>
    <x:row r="844" ht="23" customHeight="1">
      <x:c r="A844" s="9"/>
      <x:c r="B844" s="10"/>
      <x:c r="C844" s="11"/>
      <x:c r="D844" s="11"/>
      <x:c r="E844" s="11"/>
      <x:c r="F844" s="11"/>
      <x:c r="G844" s="11"/>
      <x:c r="H844" s="11"/>
      <x:c r="I844" s="11"/>
      <x:c r="J844" s="11"/>
      <x:c r="K844" s="12" t="str">
        <x:f>IF(A844="","",E844*F844+G844*H844+I844*J844)</x:f>
      </x:c>
      <x:c r="L844" s="9"/>
      <x:c r="M844" s="9" t="str">
        <x:f>IF(A844="","",INDEX('입고대장'!$M$7:$M$1006,MATCH(A844,'입고대장'!$A$7:$A$1006,0)))</x:f>
      </x:c>
      <x:c r="N844" s="9"/>
    </x:row>
    <x:row r="845" ht="23" customHeight="1">
      <x:c r="A845" s="9"/>
      <x:c r="B845" s="10"/>
      <x:c r="C845" s="11"/>
      <x:c r="D845" s="11"/>
      <x:c r="E845" s="11"/>
      <x:c r="F845" s="11"/>
      <x:c r="G845" s="11"/>
      <x:c r="H845" s="11"/>
      <x:c r="I845" s="11"/>
      <x:c r="J845" s="11"/>
      <x:c r="K845" s="12" t="str">
        <x:f>IF(A845="","",E845*F845+G845*H845+I845*J845)</x:f>
      </x:c>
      <x:c r="L845" s="9"/>
      <x:c r="M845" s="9" t="str">
        <x:f>IF(A845="","",INDEX('입고대장'!$M$7:$M$1006,MATCH(A845,'입고대장'!$A$7:$A$1006,0)))</x:f>
      </x:c>
      <x:c r="N845" s="9"/>
    </x:row>
    <x:row r="846" ht="23" customHeight="1">
      <x:c r="A846" s="9"/>
      <x:c r="B846" s="10"/>
      <x:c r="C846" s="11"/>
      <x:c r="D846" s="11"/>
      <x:c r="E846" s="11"/>
      <x:c r="F846" s="11"/>
      <x:c r="G846" s="11"/>
      <x:c r="H846" s="11"/>
      <x:c r="I846" s="11"/>
      <x:c r="J846" s="11"/>
      <x:c r="K846" s="12" t="str">
        <x:f>IF(A846="","",E846*F846+G846*H846+I846*J846)</x:f>
      </x:c>
      <x:c r="L846" s="9"/>
      <x:c r="M846" s="9" t="str">
        <x:f>IF(A846="","",INDEX('입고대장'!$M$7:$M$1006,MATCH(A846,'입고대장'!$A$7:$A$1006,0)))</x:f>
      </x:c>
      <x:c r="N846" s="9"/>
    </x:row>
    <x:row r="847" ht="23" customHeight="1">
      <x:c r="A847" s="9"/>
      <x:c r="B847" s="10"/>
      <x:c r="C847" s="11"/>
      <x:c r="D847" s="11"/>
      <x:c r="E847" s="11"/>
      <x:c r="F847" s="11"/>
      <x:c r="G847" s="11"/>
      <x:c r="H847" s="11"/>
      <x:c r="I847" s="11"/>
      <x:c r="J847" s="11"/>
      <x:c r="K847" s="12" t="str">
        <x:f>IF(A847="","",E847*F847+G847*H847+I847*J847)</x:f>
      </x:c>
      <x:c r="L847" s="9"/>
      <x:c r="M847" s="9" t="str">
        <x:f>IF(A847="","",INDEX('입고대장'!$M$7:$M$1006,MATCH(A847,'입고대장'!$A$7:$A$1006,0)))</x:f>
      </x:c>
      <x:c r="N847" s="9"/>
    </x:row>
    <x:row r="848" ht="23" customHeight="1">
      <x:c r="A848" s="9"/>
      <x:c r="B848" s="10"/>
      <x:c r="C848" s="11"/>
      <x:c r="D848" s="11"/>
      <x:c r="E848" s="11"/>
      <x:c r="F848" s="11"/>
      <x:c r="G848" s="11"/>
      <x:c r="H848" s="11"/>
      <x:c r="I848" s="11"/>
      <x:c r="J848" s="11"/>
      <x:c r="K848" s="12" t="str">
        <x:f>IF(A848="","",E848*F848+G848*H848+I848*J848)</x:f>
      </x:c>
      <x:c r="L848" s="9"/>
      <x:c r="M848" s="9" t="str">
        <x:f>IF(A848="","",INDEX('입고대장'!$M$7:$M$1006,MATCH(A848,'입고대장'!$A$7:$A$1006,0)))</x:f>
      </x:c>
      <x:c r="N848" s="9"/>
    </x:row>
    <x:row r="849" ht="23" customHeight="1">
      <x:c r="A849" s="9"/>
      <x:c r="B849" s="10"/>
      <x:c r="C849" s="11"/>
      <x:c r="D849" s="11"/>
      <x:c r="E849" s="11"/>
      <x:c r="F849" s="11"/>
      <x:c r="G849" s="11"/>
      <x:c r="H849" s="11"/>
      <x:c r="I849" s="11"/>
      <x:c r="J849" s="11"/>
      <x:c r="K849" s="12" t="str">
        <x:f>IF(A849="","",E849*F849+G849*H849+I849*J849)</x:f>
      </x:c>
      <x:c r="L849" s="9"/>
      <x:c r="M849" s="9" t="str">
        <x:f>IF(A849="","",INDEX('입고대장'!$M$7:$M$1006,MATCH(A849,'입고대장'!$A$7:$A$1006,0)))</x:f>
      </x:c>
      <x:c r="N849" s="9"/>
    </x:row>
    <x:row r="850" ht="23" customHeight="1">
      <x:c r="A850" s="9"/>
      <x:c r="B850" s="10"/>
      <x:c r="C850" s="11"/>
      <x:c r="D850" s="11"/>
      <x:c r="E850" s="11"/>
      <x:c r="F850" s="11"/>
      <x:c r="G850" s="11"/>
      <x:c r="H850" s="11"/>
      <x:c r="I850" s="11"/>
      <x:c r="J850" s="11"/>
      <x:c r="K850" s="12" t="str">
        <x:f>IF(A850="","",E850*F850+G850*H850+I850*J850)</x:f>
      </x:c>
      <x:c r="L850" s="9"/>
      <x:c r="M850" s="9" t="str">
        <x:f>IF(A850="","",INDEX('입고대장'!$M$7:$M$1006,MATCH(A850,'입고대장'!$A$7:$A$1006,0)))</x:f>
      </x:c>
      <x:c r="N850" s="9"/>
    </x:row>
    <x:row r="851" ht="23" customHeight="1">
      <x:c r="A851" s="9"/>
      <x:c r="B851" s="10"/>
      <x:c r="C851" s="11"/>
      <x:c r="D851" s="11"/>
      <x:c r="E851" s="11"/>
      <x:c r="F851" s="11"/>
      <x:c r="G851" s="11"/>
      <x:c r="H851" s="11"/>
      <x:c r="I851" s="11"/>
      <x:c r="J851" s="11"/>
      <x:c r="K851" s="12" t="str">
        <x:f>IF(A851="","",E851*F851+G851*H851+I851*J851)</x:f>
      </x:c>
      <x:c r="L851" s="9"/>
      <x:c r="M851" s="9" t="str">
        <x:f>IF(A851="","",INDEX('입고대장'!$M$7:$M$1006,MATCH(A851,'입고대장'!$A$7:$A$1006,0)))</x:f>
      </x:c>
      <x:c r="N851" s="9"/>
    </x:row>
    <x:row r="852" ht="23" customHeight="1">
      <x:c r="A852" s="9"/>
      <x:c r="B852" s="10"/>
      <x:c r="C852" s="11"/>
      <x:c r="D852" s="11"/>
      <x:c r="E852" s="11"/>
      <x:c r="F852" s="11"/>
      <x:c r="G852" s="11"/>
      <x:c r="H852" s="11"/>
      <x:c r="I852" s="11"/>
      <x:c r="J852" s="11"/>
      <x:c r="K852" s="12" t="str">
        <x:f>IF(A852="","",E852*F852+G852*H852+I852*J852)</x:f>
      </x:c>
      <x:c r="L852" s="9"/>
      <x:c r="M852" s="9" t="str">
        <x:f>IF(A852="","",INDEX('입고대장'!$M$7:$M$1006,MATCH(A852,'입고대장'!$A$7:$A$1006,0)))</x:f>
      </x:c>
      <x:c r="N852" s="9"/>
    </x:row>
    <x:row r="853" ht="23" customHeight="1">
      <x:c r="A853" s="9"/>
      <x:c r="B853" s="10"/>
      <x:c r="C853" s="11"/>
      <x:c r="D853" s="11"/>
      <x:c r="E853" s="11"/>
      <x:c r="F853" s="11"/>
      <x:c r="G853" s="11"/>
      <x:c r="H853" s="11"/>
      <x:c r="I853" s="11"/>
      <x:c r="J853" s="11"/>
      <x:c r="K853" s="12" t="str">
        <x:f>IF(A853="","",E853*F853+G853*H853+I853*J853)</x:f>
      </x:c>
      <x:c r="L853" s="9"/>
      <x:c r="M853" s="9" t="str">
        <x:f>IF(A853="","",INDEX('입고대장'!$M$7:$M$1006,MATCH(A853,'입고대장'!$A$7:$A$1006,0)))</x:f>
      </x:c>
      <x:c r="N853" s="9"/>
    </x:row>
    <x:row r="854" ht="23" customHeight="1">
      <x:c r="A854" s="9"/>
      <x:c r="B854" s="10"/>
      <x:c r="C854" s="11"/>
      <x:c r="D854" s="11"/>
      <x:c r="E854" s="11"/>
      <x:c r="F854" s="11"/>
      <x:c r="G854" s="11"/>
      <x:c r="H854" s="11"/>
      <x:c r="I854" s="11"/>
      <x:c r="J854" s="11"/>
      <x:c r="K854" s="12" t="str">
        <x:f>IF(A854="","",E854*F854+G854*H854+I854*J854)</x:f>
      </x:c>
      <x:c r="L854" s="9"/>
      <x:c r="M854" s="9" t="str">
        <x:f>IF(A854="","",INDEX('입고대장'!$M$7:$M$1006,MATCH(A854,'입고대장'!$A$7:$A$1006,0)))</x:f>
      </x:c>
      <x:c r="N854" s="9"/>
    </x:row>
    <x:row r="855" ht="23" customHeight="1">
      <x:c r="A855" s="9"/>
      <x:c r="B855" s="10"/>
      <x:c r="C855" s="11"/>
      <x:c r="D855" s="11"/>
      <x:c r="E855" s="11"/>
      <x:c r="F855" s="11"/>
      <x:c r="G855" s="11"/>
      <x:c r="H855" s="11"/>
      <x:c r="I855" s="11"/>
      <x:c r="J855" s="11"/>
      <x:c r="K855" s="12" t="str">
        <x:f>IF(A855="","",E855*F855+G855*H855+I855*J855)</x:f>
      </x:c>
      <x:c r="L855" s="9"/>
      <x:c r="M855" s="9" t="str">
        <x:f>IF(A855="","",INDEX('입고대장'!$M$7:$M$1006,MATCH(A855,'입고대장'!$A$7:$A$1006,0)))</x:f>
      </x:c>
      <x:c r="N855" s="9"/>
    </x:row>
    <x:row r="856" ht="23" customHeight="1">
      <x:c r="A856" s="9"/>
      <x:c r="B856" s="10"/>
      <x:c r="C856" s="11"/>
      <x:c r="D856" s="11"/>
      <x:c r="E856" s="11"/>
      <x:c r="F856" s="11"/>
      <x:c r="G856" s="11"/>
      <x:c r="H856" s="11"/>
      <x:c r="I856" s="11"/>
      <x:c r="J856" s="11"/>
      <x:c r="K856" s="12" t="str">
        <x:f>IF(A856="","",E856*F856+G856*H856+I856*J856)</x:f>
      </x:c>
      <x:c r="L856" s="9"/>
      <x:c r="M856" s="9" t="str">
        <x:f>IF(A856="","",INDEX('입고대장'!$M$7:$M$1006,MATCH(A856,'입고대장'!$A$7:$A$1006,0)))</x:f>
      </x:c>
      <x:c r="N856" s="9"/>
    </x:row>
    <x:row r="857" ht="23" customHeight="1">
      <x:c r="A857" s="9"/>
      <x:c r="B857" s="10"/>
      <x:c r="C857" s="11"/>
      <x:c r="D857" s="11"/>
      <x:c r="E857" s="11"/>
      <x:c r="F857" s="11"/>
      <x:c r="G857" s="11"/>
      <x:c r="H857" s="11"/>
      <x:c r="I857" s="11"/>
      <x:c r="J857" s="11"/>
      <x:c r="K857" s="12" t="str">
        <x:f>IF(A857="","",E857*F857+G857*H857+I857*J857)</x:f>
      </x:c>
      <x:c r="L857" s="9"/>
      <x:c r="M857" s="9" t="str">
        <x:f>IF(A857="","",INDEX('입고대장'!$M$7:$M$1006,MATCH(A857,'입고대장'!$A$7:$A$1006,0)))</x:f>
      </x:c>
      <x:c r="N857" s="9"/>
    </x:row>
    <x:row r="858" ht="23" customHeight="1">
      <x:c r="A858" s="9"/>
      <x:c r="B858" s="10"/>
      <x:c r="C858" s="11"/>
      <x:c r="D858" s="11"/>
      <x:c r="E858" s="11"/>
      <x:c r="F858" s="11"/>
      <x:c r="G858" s="11"/>
      <x:c r="H858" s="11"/>
      <x:c r="I858" s="11"/>
      <x:c r="J858" s="11"/>
      <x:c r="K858" s="12" t="str">
        <x:f>IF(A858="","",E858*F858+G858*H858+I858*J858)</x:f>
      </x:c>
      <x:c r="L858" s="9"/>
      <x:c r="M858" s="9" t="str">
        <x:f>IF(A858="","",INDEX('입고대장'!$M$7:$M$1006,MATCH(A858,'입고대장'!$A$7:$A$1006,0)))</x:f>
      </x:c>
      <x:c r="N858" s="9"/>
    </x:row>
    <x:row r="859" ht="23" customHeight="1">
      <x:c r="A859" s="9"/>
      <x:c r="B859" s="10"/>
      <x:c r="C859" s="11"/>
      <x:c r="D859" s="11"/>
      <x:c r="E859" s="11"/>
      <x:c r="F859" s="11"/>
      <x:c r="G859" s="11"/>
      <x:c r="H859" s="11"/>
      <x:c r="I859" s="11"/>
      <x:c r="J859" s="11"/>
      <x:c r="K859" s="12" t="str">
        <x:f>IF(A859="","",E859*F859+G859*H859+I859*J859)</x:f>
      </x:c>
      <x:c r="L859" s="9"/>
      <x:c r="M859" s="9" t="str">
        <x:f>IF(A859="","",INDEX('입고대장'!$M$7:$M$1006,MATCH(A859,'입고대장'!$A$7:$A$1006,0)))</x:f>
      </x:c>
      <x:c r="N859" s="9"/>
    </x:row>
    <x:row r="860" ht="23" customHeight="1">
      <x:c r="A860" s="9"/>
      <x:c r="B860" s="10"/>
      <x:c r="C860" s="11"/>
      <x:c r="D860" s="11"/>
      <x:c r="E860" s="11"/>
      <x:c r="F860" s="11"/>
      <x:c r="G860" s="11"/>
      <x:c r="H860" s="11"/>
      <x:c r="I860" s="11"/>
      <x:c r="J860" s="11"/>
      <x:c r="K860" s="12" t="str">
        <x:f>IF(A860="","",E860*F860+G860*H860+I860*J860)</x:f>
      </x:c>
      <x:c r="L860" s="9"/>
      <x:c r="M860" s="9" t="str">
        <x:f>IF(A860="","",INDEX('입고대장'!$M$7:$M$1006,MATCH(A860,'입고대장'!$A$7:$A$1006,0)))</x:f>
      </x:c>
      <x:c r="N860" s="9"/>
    </x:row>
    <x:row r="861" ht="23" customHeight="1">
      <x:c r="A861" s="9"/>
      <x:c r="B861" s="10"/>
      <x:c r="C861" s="11"/>
      <x:c r="D861" s="11"/>
      <x:c r="E861" s="11"/>
      <x:c r="F861" s="11"/>
      <x:c r="G861" s="11"/>
      <x:c r="H861" s="11"/>
      <x:c r="I861" s="11"/>
      <x:c r="J861" s="11"/>
      <x:c r="K861" s="12" t="str">
        <x:f>IF(A861="","",E861*F861+G861*H861+I861*J861)</x:f>
      </x:c>
      <x:c r="L861" s="9"/>
      <x:c r="M861" s="9" t="str">
        <x:f>IF(A861="","",INDEX('입고대장'!$M$7:$M$1006,MATCH(A861,'입고대장'!$A$7:$A$1006,0)))</x:f>
      </x:c>
      <x:c r="N861" s="9"/>
    </x:row>
    <x:row r="862" ht="23" customHeight="1">
      <x:c r="A862" s="9"/>
      <x:c r="B862" s="10"/>
      <x:c r="C862" s="11"/>
      <x:c r="D862" s="11"/>
      <x:c r="E862" s="11"/>
      <x:c r="F862" s="11"/>
      <x:c r="G862" s="11"/>
      <x:c r="H862" s="11"/>
      <x:c r="I862" s="11"/>
      <x:c r="J862" s="11"/>
      <x:c r="K862" s="12" t="str">
        <x:f>IF(A862="","",E862*F862+G862*H862+I862*J862)</x:f>
      </x:c>
      <x:c r="L862" s="9"/>
      <x:c r="M862" s="9" t="str">
        <x:f>IF(A862="","",INDEX('입고대장'!$M$7:$M$1006,MATCH(A862,'입고대장'!$A$7:$A$1006,0)))</x:f>
      </x:c>
      <x:c r="N862" s="9"/>
    </x:row>
    <x:row r="863" ht="23" customHeight="1">
      <x:c r="A863" s="9"/>
      <x:c r="B863" s="10"/>
      <x:c r="C863" s="11"/>
      <x:c r="D863" s="11"/>
      <x:c r="E863" s="11"/>
      <x:c r="F863" s="11"/>
      <x:c r="G863" s="11"/>
      <x:c r="H863" s="11"/>
      <x:c r="I863" s="11"/>
      <x:c r="J863" s="11"/>
      <x:c r="K863" s="12" t="str">
        <x:f>IF(A863="","",E863*F863+G863*H863+I863*J863)</x:f>
      </x:c>
      <x:c r="L863" s="9"/>
      <x:c r="M863" s="9" t="str">
        <x:f>IF(A863="","",INDEX('입고대장'!$M$7:$M$1006,MATCH(A863,'입고대장'!$A$7:$A$1006,0)))</x:f>
      </x:c>
      <x:c r="N863" s="9"/>
    </x:row>
    <x:row r="864" ht="23" customHeight="1">
      <x:c r="A864" s="9"/>
      <x:c r="B864" s="10"/>
      <x:c r="C864" s="11"/>
      <x:c r="D864" s="11"/>
      <x:c r="E864" s="11"/>
      <x:c r="F864" s="11"/>
      <x:c r="G864" s="11"/>
      <x:c r="H864" s="11"/>
      <x:c r="I864" s="11"/>
      <x:c r="J864" s="11"/>
      <x:c r="K864" s="12" t="str">
        <x:f>IF(A864="","",E864*F864+G864*H864+I864*J864)</x:f>
      </x:c>
      <x:c r="L864" s="9"/>
      <x:c r="M864" s="9" t="str">
        <x:f>IF(A864="","",INDEX('입고대장'!$M$7:$M$1006,MATCH(A864,'입고대장'!$A$7:$A$1006,0)))</x:f>
      </x:c>
      <x:c r="N864" s="9"/>
    </x:row>
    <x:row r="865" ht="23" customHeight="1">
      <x:c r="A865" s="9"/>
      <x:c r="B865" s="10"/>
      <x:c r="C865" s="11"/>
      <x:c r="D865" s="11"/>
      <x:c r="E865" s="11"/>
      <x:c r="F865" s="11"/>
      <x:c r="G865" s="11"/>
      <x:c r="H865" s="11"/>
      <x:c r="I865" s="11"/>
      <x:c r="J865" s="11"/>
      <x:c r="K865" s="12" t="str">
        <x:f>IF(A865="","",E865*F865+G865*H865+I865*J865)</x:f>
      </x:c>
      <x:c r="L865" s="9"/>
      <x:c r="M865" s="9" t="str">
        <x:f>IF(A865="","",INDEX('입고대장'!$M$7:$M$1006,MATCH(A865,'입고대장'!$A$7:$A$1006,0)))</x:f>
      </x:c>
      <x:c r="N865" s="9"/>
    </x:row>
    <x:row r="866" ht="23" customHeight="1">
      <x:c r="A866" s="9"/>
      <x:c r="B866" s="10"/>
      <x:c r="C866" s="11"/>
      <x:c r="D866" s="11"/>
      <x:c r="E866" s="11"/>
      <x:c r="F866" s="11"/>
      <x:c r="G866" s="11"/>
      <x:c r="H866" s="11"/>
      <x:c r="I866" s="11"/>
      <x:c r="J866" s="11"/>
      <x:c r="K866" s="12" t="str">
        <x:f>IF(A866="","",E866*F866+G866*H866+I866*J866)</x:f>
      </x:c>
      <x:c r="L866" s="9"/>
      <x:c r="M866" s="9" t="str">
        <x:f>IF(A866="","",INDEX('입고대장'!$M$7:$M$1006,MATCH(A866,'입고대장'!$A$7:$A$1006,0)))</x:f>
      </x:c>
      <x:c r="N866" s="9"/>
    </x:row>
    <x:row r="867" ht="23" customHeight="1">
      <x:c r="A867" s="9"/>
      <x:c r="B867" s="10"/>
      <x:c r="C867" s="11"/>
      <x:c r="D867" s="11"/>
      <x:c r="E867" s="11"/>
      <x:c r="F867" s="11"/>
      <x:c r="G867" s="11"/>
      <x:c r="H867" s="11"/>
      <x:c r="I867" s="11"/>
      <x:c r="J867" s="11"/>
      <x:c r="K867" s="12" t="str">
        <x:f>IF(A867="","",E867*F867+G867*H867+I867*J867)</x:f>
      </x:c>
      <x:c r="L867" s="9"/>
      <x:c r="M867" s="9" t="str">
        <x:f>IF(A867="","",INDEX('입고대장'!$M$7:$M$1006,MATCH(A867,'입고대장'!$A$7:$A$1006,0)))</x:f>
      </x:c>
      <x:c r="N867" s="9"/>
    </x:row>
    <x:row r="868" ht="23" customHeight="1">
      <x:c r="A868" s="9"/>
      <x:c r="B868" s="10"/>
      <x:c r="C868" s="11"/>
      <x:c r="D868" s="11"/>
      <x:c r="E868" s="11"/>
      <x:c r="F868" s="11"/>
      <x:c r="G868" s="11"/>
      <x:c r="H868" s="11"/>
      <x:c r="I868" s="11"/>
      <x:c r="J868" s="11"/>
      <x:c r="K868" s="12" t="str">
        <x:f>IF(A868="","",E868*F868+G868*H868+I868*J868)</x:f>
      </x:c>
      <x:c r="L868" s="9"/>
      <x:c r="M868" s="9" t="str">
        <x:f>IF(A868="","",INDEX('입고대장'!$M$7:$M$1006,MATCH(A868,'입고대장'!$A$7:$A$1006,0)))</x:f>
      </x:c>
      <x:c r="N868" s="9"/>
    </x:row>
    <x:row r="869" ht="23" customHeight="1">
      <x:c r="A869" s="9"/>
      <x:c r="B869" s="10"/>
      <x:c r="C869" s="11"/>
      <x:c r="D869" s="11"/>
      <x:c r="E869" s="11"/>
      <x:c r="F869" s="11"/>
      <x:c r="G869" s="11"/>
      <x:c r="H869" s="11"/>
      <x:c r="I869" s="11"/>
      <x:c r="J869" s="11"/>
      <x:c r="K869" s="12" t="str">
        <x:f>IF(A869="","",E869*F869+G869*H869+I869*J869)</x:f>
      </x:c>
      <x:c r="L869" s="9"/>
      <x:c r="M869" s="9" t="str">
        <x:f>IF(A869="","",INDEX('입고대장'!$M$7:$M$1006,MATCH(A869,'입고대장'!$A$7:$A$1006,0)))</x:f>
      </x:c>
      <x:c r="N869" s="9"/>
    </x:row>
    <x:row r="870" ht="23" customHeight="1">
      <x:c r="A870" s="9"/>
      <x:c r="B870" s="10"/>
      <x:c r="C870" s="11"/>
      <x:c r="D870" s="11"/>
      <x:c r="E870" s="11"/>
      <x:c r="F870" s="11"/>
      <x:c r="G870" s="11"/>
      <x:c r="H870" s="11"/>
      <x:c r="I870" s="11"/>
      <x:c r="J870" s="11"/>
      <x:c r="K870" s="12" t="str">
        <x:f>IF(A870="","",E870*F870+G870*H870+I870*J870)</x:f>
      </x:c>
      <x:c r="L870" s="9"/>
      <x:c r="M870" s="9" t="str">
        <x:f>IF(A870="","",INDEX('입고대장'!$M$7:$M$1006,MATCH(A870,'입고대장'!$A$7:$A$1006,0)))</x:f>
      </x:c>
      <x:c r="N870" s="9"/>
    </x:row>
    <x:row r="871" ht="23" customHeight="1">
      <x:c r="A871" s="9"/>
      <x:c r="B871" s="10"/>
      <x:c r="C871" s="11"/>
      <x:c r="D871" s="11"/>
      <x:c r="E871" s="11"/>
      <x:c r="F871" s="11"/>
      <x:c r="G871" s="11"/>
      <x:c r="H871" s="11"/>
      <x:c r="I871" s="11"/>
      <x:c r="J871" s="11"/>
      <x:c r="K871" s="12" t="str">
        <x:f>IF(A871="","",E871*F871+G871*H871+I871*J871)</x:f>
      </x:c>
      <x:c r="L871" s="9"/>
      <x:c r="M871" s="9" t="str">
        <x:f>IF(A871="","",INDEX('입고대장'!$M$7:$M$1006,MATCH(A871,'입고대장'!$A$7:$A$1006,0)))</x:f>
      </x:c>
      <x:c r="N871" s="9"/>
    </x:row>
    <x:row r="872" ht="23" customHeight="1">
      <x:c r="A872" s="9"/>
      <x:c r="B872" s="10"/>
      <x:c r="C872" s="11"/>
      <x:c r="D872" s="11"/>
      <x:c r="E872" s="11"/>
      <x:c r="F872" s="11"/>
      <x:c r="G872" s="11"/>
      <x:c r="H872" s="11"/>
      <x:c r="I872" s="11"/>
      <x:c r="J872" s="11"/>
      <x:c r="K872" s="12" t="str">
        <x:f>IF(A872="","",E872*F872+G872*H872+I872*J872)</x:f>
      </x:c>
      <x:c r="L872" s="9"/>
      <x:c r="M872" s="9" t="str">
        <x:f>IF(A872="","",INDEX('입고대장'!$M$7:$M$1006,MATCH(A872,'입고대장'!$A$7:$A$1006,0)))</x:f>
      </x:c>
      <x:c r="N872" s="9"/>
    </x:row>
    <x:row r="873" ht="23" customHeight="1">
      <x:c r="A873" s="9"/>
      <x:c r="B873" s="10"/>
      <x:c r="C873" s="11"/>
      <x:c r="D873" s="11"/>
      <x:c r="E873" s="11"/>
      <x:c r="F873" s="11"/>
      <x:c r="G873" s="11"/>
      <x:c r="H873" s="11"/>
      <x:c r="I873" s="11"/>
      <x:c r="J873" s="11"/>
      <x:c r="K873" s="12" t="str">
        <x:f>IF(A873="","",E873*F873+G873*H873+I873*J873)</x:f>
      </x:c>
      <x:c r="L873" s="9"/>
      <x:c r="M873" s="9" t="str">
        <x:f>IF(A873="","",INDEX('입고대장'!$M$7:$M$1006,MATCH(A873,'입고대장'!$A$7:$A$1006,0)))</x:f>
      </x:c>
      <x:c r="N873" s="9"/>
    </x:row>
    <x:row r="874" ht="23" customHeight="1">
      <x:c r="A874" s="9"/>
      <x:c r="B874" s="10"/>
      <x:c r="C874" s="11"/>
      <x:c r="D874" s="11"/>
      <x:c r="E874" s="11"/>
      <x:c r="F874" s="11"/>
      <x:c r="G874" s="11"/>
      <x:c r="H874" s="11"/>
      <x:c r="I874" s="11"/>
      <x:c r="J874" s="11"/>
      <x:c r="K874" s="12" t="str">
        <x:f>IF(A874="","",E874*F874+G874*H874+I874*J874)</x:f>
      </x:c>
      <x:c r="L874" s="9"/>
      <x:c r="M874" s="9" t="str">
        <x:f>IF(A874="","",INDEX('입고대장'!$M$7:$M$1006,MATCH(A874,'입고대장'!$A$7:$A$1006,0)))</x:f>
      </x:c>
      <x:c r="N874" s="9"/>
    </x:row>
    <x:row r="875" ht="23" customHeight="1">
      <x:c r="A875" s="9"/>
      <x:c r="B875" s="10"/>
      <x:c r="C875" s="11"/>
      <x:c r="D875" s="11"/>
      <x:c r="E875" s="11"/>
      <x:c r="F875" s="11"/>
      <x:c r="G875" s="11"/>
      <x:c r="H875" s="11"/>
      <x:c r="I875" s="11"/>
      <x:c r="J875" s="11"/>
      <x:c r="K875" s="12" t="str">
        <x:f>IF(A875="","",E875*F875+G875*H875+I875*J875)</x:f>
      </x:c>
      <x:c r="L875" s="9"/>
      <x:c r="M875" s="9" t="str">
        <x:f>IF(A875="","",INDEX('입고대장'!$M$7:$M$1006,MATCH(A875,'입고대장'!$A$7:$A$1006,0)))</x:f>
      </x:c>
      <x:c r="N875" s="9"/>
    </x:row>
    <x:row r="876" ht="23" customHeight="1">
      <x:c r="A876" s="9"/>
      <x:c r="B876" s="10"/>
      <x:c r="C876" s="11"/>
      <x:c r="D876" s="11"/>
      <x:c r="E876" s="11"/>
      <x:c r="F876" s="11"/>
      <x:c r="G876" s="11"/>
      <x:c r="H876" s="11"/>
      <x:c r="I876" s="11"/>
      <x:c r="J876" s="11"/>
      <x:c r="K876" s="12" t="str">
        <x:f>IF(A876="","",E876*F876+G876*H876+I876*J876)</x:f>
      </x:c>
      <x:c r="L876" s="9"/>
      <x:c r="M876" s="9" t="str">
        <x:f>IF(A876="","",INDEX('입고대장'!$M$7:$M$1006,MATCH(A876,'입고대장'!$A$7:$A$1006,0)))</x:f>
      </x:c>
      <x:c r="N876" s="9"/>
    </x:row>
    <x:row r="877" ht="23" customHeight="1">
      <x:c r="A877" s="9"/>
      <x:c r="B877" s="10"/>
      <x:c r="C877" s="11"/>
      <x:c r="D877" s="11"/>
      <x:c r="E877" s="11"/>
      <x:c r="F877" s="11"/>
      <x:c r="G877" s="11"/>
      <x:c r="H877" s="11"/>
      <x:c r="I877" s="11"/>
      <x:c r="J877" s="11"/>
      <x:c r="K877" s="12" t="str">
        <x:f>IF(A877="","",E877*F877+G877*H877+I877*J877)</x:f>
      </x:c>
      <x:c r="L877" s="9"/>
      <x:c r="M877" s="9" t="str">
        <x:f>IF(A877="","",INDEX('입고대장'!$M$7:$M$1006,MATCH(A877,'입고대장'!$A$7:$A$1006,0)))</x:f>
      </x:c>
      <x:c r="N877" s="9"/>
    </x:row>
    <x:row r="878" ht="23" customHeight="1">
      <x:c r="A878" s="9"/>
      <x:c r="B878" s="10"/>
      <x:c r="C878" s="11"/>
      <x:c r="D878" s="11"/>
      <x:c r="E878" s="11"/>
      <x:c r="F878" s="11"/>
      <x:c r="G878" s="11"/>
      <x:c r="H878" s="11"/>
      <x:c r="I878" s="11"/>
      <x:c r="J878" s="11"/>
      <x:c r="K878" s="12" t="str">
        <x:f>IF(A878="","",E878*F878+G878*H878+I878*J878)</x:f>
      </x:c>
      <x:c r="L878" s="9"/>
      <x:c r="M878" s="9" t="str">
        <x:f>IF(A878="","",INDEX('입고대장'!$M$7:$M$1006,MATCH(A878,'입고대장'!$A$7:$A$1006,0)))</x:f>
      </x:c>
      <x:c r="N878" s="9"/>
    </x:row>
    <x:row r="879" ht="23" customHeight="1">
      <x:c r="A879" s="9"/>
      <x:c r="B879" s="10"/>
      <x:c r="C879" s="11"/>
      <x:c r="D879" s="11"/>
      <x:c r="E879" s="11"/>
      <x:c r="F879" s="11"/>
      <x:c r="G879" s="11"/>
      <x:c r="H879" s="11"/>
      <x:c r="I879" s="11"/>
      <x:c r="J879" s="11"/>
      <x:c r="K879" s="12" t="str">
        <x:f>IF(A879="","",E879*F879+G879*H879+I879*J879)</x:f>
      </x:c>
      <x:c r="L879" s="9"/>
      <x:c r="M879" s="9" t="str">
        <x:f>IF(A879="","",INDEX('입고대장'!$M$7:$M$1006,MATCH(A879,'입고대장'!$A$7:$A$1006,0)))</x:f>
      </x:c>
      <x:c r="N879" s="9"/>
    </x:row>
    <x:row r="880" ht="23" customHeight="1">
      <x:c r="A880" s="9"/>
      <x:c r="B880" s="10"/>
      <x:c r="C880" s="11"/>
      <x:c r="D880" s="11"/>
      <x:c r="E880" s="11"/>
      <x:c r="F880" s="11"/>
      <x:c r="G880" s="11"/>
      <x:c r="H880" s="11"/>
      <x:c r="I880" s="11"/>
      <x:c r="J880" s="11"/>
      <x:c r="K880" s="12" t="str">
        <x:f>IF(A880="","",E880*F880+G880*H880+I880*J880)</x:f>
      </x:c>
      <x:c r="L880" s="9"/>
      <x:c r="M880" s="9" t="str">
        <x:f>IF(A880="","",INDEX('입고대장'!$M$7:$M$1006,MATCH(A880,'입고대장'!$A$7:$A$1006,0)))</x:f>
      </x:c>
      <x:c r="N880" s="9"/>
    </x:row>
    <x:row r="881" ht="23" customHeight="1">
      <x:c r="A881" s="9"/>
      <x:c r="B881" s="10"/>
      <x:c r="C881" s="11"/>
      <x:c r="D881" s="11"/>
      <x:c r="E881" s="11"/>
      <x:c r="F881" s="11"/>
      <x:c r="G881" s="11"/>
      <x:c r="H881" s="11"/>
      <x:c r="I881" s="11"/>
      <x:c r="J881" s="11"/>
      <x:c r="K881" s="12" t="str">
        <x:f>IF(A881="","",E881*F881+G881*H881+I881*J881)</x:f>
      </x:c>
      <x:c r="L881" s="9"/>
      <x:c r="M881" s="9" t="str">
        <x:f>IF(A881="","",INDEX('입고대장'!$M$7:$M$1006,MATCH(A881,'입고대장'!$A$7:$A$1006,0)))</x:f>
      </x:c>
      <x:c r="N881" s="9"/>
    </x:row>
    <x:row r="882" ht="23" customHeight="1">
      <x:c r="A882" s="9"/>
      <x:c r="B882" s="10"/>
      <x:c r="C882" s="11"/>
      <x:c r="D882" s="11"/>
      <x:c r="E882" s="11"/>
      <x:c r="F882" s="11"/>
      <x:c r="G882" s="11"/>
      <x:c r="H882" s="11"/>
      <x:c r="I882" s="11"/>
      <x:c r="J882" s="11"/>
      <x:c r="K882" s="12" t="str">
        <x:f>IF(A882="","",E882*F882+G882*H882+I882*J882)</x:f>
      </x:c>
      <x:c r="L882" s="9"/>
      <x:c r="M882" s="9" t="str">
        <x:f>IF(A882="","",INDEX('입고대장'!$M$7:$M$1006,MATCH(A882,'입고대장'!$A$7:$A$1006,0)))</x:f>
      </x:c>
      <x:c r="N882" s="9"/>
    </x:row>
    <x:row r="883" ht="23" customHeight="1">
      <x:c r="A883" s="9"/>
      <x:c r="B883" s="10"/>
      <x:c r="C883" s="11"/>
      <x:c r="D883" s="11"/>
      <x:c r="E883" s="11"/>
      <x:c r="F883" s="11"/>
      <x:c r="G883" s="11"/>
      <x:c r="H883" s="11"/>
      <x:c r="I883" s="11"/>
      <x:c r="J883" s="11"/>
      <x:c r="K883" s="12" t="str">
        <x:f>IF(A883="","",E883*F883+G883*H883+I883*J883)</x:f>
      </x:c>
      <x:c r="L883" s="9"/>
      <x:c r="M883" s="9" t="str">
        <x:f>IF(A883="","",INDEX('입고대장'!$M$7:$M$1006,MATCH(A883,'입고대장'!$A$7:$A$1006,0)))</x:f>
      </x:c>
      <x:c r="N883" s="9"/>
    </x:row>
    <x:row r="884" ht="23" customHeight="1">
      <x:c r="A884" s="9"/>
      <x:c r="B884" s="10"/>
      <x:c r="C884" s="11"/>
      <x:c r="D884" s="11"/>
      <x:c r="E884" s="11"/>
      <x:c r="F884" s="11"/>
      <x:c r="G884" s="11"/>
      <x:c r="H884" s="11"/>
      <x:c r="I884" s="11"/>
      <x:c r="J884" s="11"/>
      <x:c r="K884" s="12" t="str">
        <x:f>IF(A884="","",E884*F884+G884*H884+I884*J884)</x:f>
      </x:c>
      <x:c r="L884" s="9"/>
      <x:c r="M884" s="9" t="str">
        <x:f>IF(A884="","",INDEX('입고대장'!$M$7:$M$1006,MATCH(A884,'입고대장'!$A$7:$A$1006,0)))</x:f>
      </x:c>
      <x:c r="N884" s="9"/>
    </x:row>
    <x:row r="885" ht="23" customHeight="1">
      <x:c r="A885" s="9"/>
      <x:c r="B885" s="10"/>
      <x:c r="C885" s="11"/>
      <x:c r="D885" s="11"/>
      <x:c r="E885" s="11"/>
      <x:c r="F885" s="11"/>
      <x:c r="G885" s="11"/>
      <x:c r="H885" s="11"/>
      <x:c r="I885" s="11"/>
      <x:c r="J885" s="11"/>
      <x:c r="K885" s="12" t="str">
        <x:f>IF(A885="","",E885*F885+G885*H885+I885*J885)</x:f>
      </x:c>
      <x:c r="L885" s="9"/>
      <x:c r="M885" s="9" t="str">
        <x:f>IF(A885="","",INDEX('입고대장'!$M$7:$M$1006,MATCH(A885,'입고대장'!$A$7:$A$1006,0)))</x:f>
      </x:c>
      <x:c r="N885" s="9"/>
    </x:row>
    <x:row r="886" ht="23" customHeight="1">
      <x:c r="A886" s="9"/>
      <x:c r="B886" s="10"/>
      <x:c r="C886" s="11"/>
      <x:c r="D886" s="11"/>
      <x:c r="E886" s="11"/>
      <x:c r="F886" s="11"/>
      <x:c r="G886" s="11"/>
      <x:c r="H886" s="11"/>
      <x:c r="I886" s="11"/>
      <x:c r="J886" s="11"/>
      <x:c r="K886" s="12" t="str">
        <x:f>IF(A886="","",E886*F886+G886*H886+I886*J886)</x:f>
      </x:c>
      <x:c r="L886" s="9"/>
      <x:c r="M886" s="9" t="str">
        <x:f>IF(A886="","",INDEX('입고대장'!$M$7:$M$1006,MATCH(A886,'입고대장'!$A$7:$A$1006,0)))</x:f>
      </x:c>
      <x:c r="N886" s="9"/>
    </x:row>
    <x:row r="887" ht="23" customHeight="1">
      <x:c r="A887" s="9"/>
      <x:c r="B887" s="10"/>
      <x:c r="C887" s="11"/>
      <x:c r="D887" s="11"/>
      <x:c r="E887" s="11"/>
      <x:c r="F887" s="11"/>
      <x:c r="G887" s="11"/>
      <x:c r="H887" s="11"/>
      <x:c r="I887" s="11"/>
      <x:c r="J887" s="11"/>
      <x:c r="K887" s="12" t="str">
        <x:f>IF(A887="","",E887*F887+G887*H887+I887*J887)</x:f>
      </x:c>
      <x:c r="L887" s="9"/>
      <x:c r="M887" s="9" t="str">
        <x:f>IF(A887="","",INDEX('입고대장'!$M$7:$M$1006,MATCH(A887,'입고대장'!$A$7:$A$1006,0)))</x:f>
      </x:c>
      <x:c r="N887" s="9"/>
    </x:row>
    <x:row r="888" ht="23" customHeight="1">
      <x:c r="A888" s="9"/>
      <x:c r="B888" s="10"/>
      <x:c r="C888" s="11"/>
      <x:c r="D888" s="11"/>
      <x:c r="E888" s="11"/>
      <x:c r="F888" s="11"/>
      <x:c r="G888" s="11"/>
      <x:c r="H888" s="11"/>
      <x:c r="I888" s="11"/>
      <x:c r="J888" s="11"/>
      <x:c r="K888" s="12" t="str">
        <x:f>IF(A888="","",E888*F888+G888*H888+I888*J888)</x:f>
      </x:c>
      <x:c r="L888" s="9"/>
      <x:c r="M888" s="9" t="str">
        <x:f>IF(A888="","",INDEX('입고대장'!$M$7:$M$1006,MATCH(A888,'입고대장'!$A$7:$A$1006,0)))</x:f>
      </x:c>
      <x:c r="N888" s="9"/>
    </x:row>
    <x:row r="889" ht="23" customHeight="1">
      <x:c r="A889" s="9"/>
      <x:c r="B889" s="10"/>
      <x:c r="C889" s="11"/>
      <x:c r="D889" s="11"/>
      <x:c r="E889" s="11"/>
      <x:c r="F889" s="11"/>
      <x:c r="G889" s="11"/>
      <x:c r="H889" s="11"/>
      <x:c r="I889" s="11"/>
      <x:c r="J889" s="11"/>
      <x:c r="K889" s="12" t="str">
        <x:f>IF(A889="","",E889*F889+G889*H889+I889*J889)</x:f>
      </x:c>
      <x:c r="L889" s="9"/>
      <x:c r="M889" s="9" t="str">
        <x:f>IF(A889="","",INDEX('입고대장'!$M$7:$M$1006,MATCH(A889,'입고대장'!$A$7:$A$1006,0)))</x:f>
      </x:c>
      <x:c r="N889" s="9"/>
    </x:row>
    <x:row r="890" ht="23" customHeight="1">
      <x:c r="A890" s="9"/>
      <x:c r="B890" s="10"/>
      <x:c r="C890" s="11"/>
      <x:c r="D890" s="11"/>
      <x:c r="E890" s="11"/>
      <x:c r="F890" s="11"/>
      <x:c r="G890" s="11"/>
      <x:c r="H890" s="11"/>
      <x:c r="I890" s="11"/>
      <x:c r="J890" s="11"/>
      <x:c r="K890" s="12" t="str">
        <x:f>IF(A890="","",E890*F890+G890*H890+I890*J890)</x:f>
      </x:c>
      <x:c r="L890" s="9"/>
      <x:c r="M890" s="9" t="str">
        <x:f>IF(A890="","",INDEX('입고대장'!$M$7:$M$1006,MATCH(A890,'입고대장'!$A$7:$A$1006,0)))</x:f>
      </x:c>
      <x:c r="N890" s="9"/>
    </x:row>
    <x:row r="891" ht="23" customHeight="1">
      <x:c r="A891" s="9"/>
      <x:c r="B891" s="10"/>
      <x:c r="C891" s="11"/>
      <x:c r="D891" s="11"/>
      <x:c r="E891" s="11"/>
      <x:c r="F891" s="11"/>
      <x:c r="G891" s="11"/>
      <x:c r="H891" s="11"/>
      <x:c r="I891" s="11"/>
      <x:c r="J891" s="11"/>
      <x:c r="K891" s="12" t="str">
        <x:f>IF(A891="","",E891*F891+G891*H891+I891*J891)</x:f>
      </x:c>
      <x:c r="L891" s="9"/>
      <x:c r="M891" s="9" t="str">
        <x:f>IF(A891="","",INDEX('입고대장'!$M$7:$M$1006,MATCH(A891,'입고대장'!$A$7:$A$1006,0)))</x:f>
      </x:c>
      <x:c r="N891" s="9"/>
    </x:row>
    <x:row r="892" ht="23" customHeight="1">
      <x:c r="A892" s="9"/>
      <x:c r="B892" s="10"/>
      <x:c r="C892" s="11"/>
      <x:c r="D892" s="11"/>
      <x:c r="E892" s="11"/>
      <x:c r="F892" s="11"/>
      <x:c r="G892" s="11"/>
      <x:c r="H892" s="11"/>
      <x:c r="I892" s="11"/>
      <x:c r="J892" s="11"/>
      <x:c r="K892" s="12" t="str">
        <x:f>IF(A892="","",E892*F892+G892*H892+I892*J892)</x:f>
      </x:c>
      <x:c r="L892" s="9"/>
      <x:c r="M892" s="9" t="str">
        <x:f>IF(A892="","",INDEX('입고대장'!$M$7:$M$1006,MATCH(A892,'입고대장'!$A$7:$A$1006,0)))</x:f>
      </x:c>
      <x:c r="N892" s="9"/>
    </x:row>
    <x:row r="893" ht="23" customHeight="1">
      <x:c r="A893" s="9"/>
      <x:c r="B893" s="10"/>
      <x:c r="C893" s="11"/>
      <x:c r="D893" s="11"/>
      <x:c r="E893" s="11"/>
      <x:c r="F893" s="11"/>
      <x:c r="G893" s="11"/>
      <x:c r="H893" s="11"/>
      <x:c r="I893" s="11"/>
      <x:c r="J893" s="11"/>
      <x:c r="K893" s="12" t="str">
        <x:f>IF(A893="","",E893*F893+G893*H893+I893*J893)</x:f>
      </x:c>
      <x:c r="L893" s="9"/>
      <x:c r="M893" s="9" t="str">
        <x:f>IF(A893="","",INDEX('입고대장'!$M$7:$M$1006,MATCH(A893,'입고대장'!$A$7:$A$1006,0)))</x:f>
      </x:c>
      <x:c r="N893" s="9"/>
    </x:row>
    <x:row r="894" ht="23" customHeight="1">
      <x:c r="A894" s="9"/>
      <x:c r="B894" s="10"/>
      <x:c r="C894" s="11"/>
      <x:c r="D894" s="11"/>
      <x:c r="E894" s="11"/>
      <x:c r="F894" s="11"/>
      <x:c r="G894" s="11"/>
      <x:c r="H894" s="11"/>
      <x:c r="I894" s="11"/>
      <x:c r="J894" s="11"/>
      <x:c r="K894" s="12" t="str">
        <x:f>IF(A894="","",E894*F894+G894*H894+I894*J894)</x:f>
      </x:c>
      <x:c r="L894" s="9"/>
      <x:c r="M894" s="9" t="str">
        <x:f>IF(A894="","",INDEX('입고대장'!$M$7:$M$1006,MATCH(A894,'입고대장'!$A$7:$A$1006,0)))</x:f>
      </x:c>
      <x:c r="N894" s="9"/>
    </x:row>
    <x:row r="895" ht="23" customHeight="1">
      <x:c r="A895" s="9"/>
      <x:c r="B895" s="10"/>
      <x:c r="C895" s="11"/>
      <x:c r="D895" s="11"/>
      <x:c r="E895" s="11"/>
      <x:c r="F895" s="11"/>
      <x:c r="G895" s="11"/>
      <x:c r="H895" s="11"/>
      <x:c r="I895" s="11"/>
      <x:c r="J895" s="11"/>
      <x:c r="K895" s="12" t="str">
        <x:f>IF(A895="","",E895*F895+G895*H895+I895*J895)</x:f>
      </x:c>
      <x:c r="L895" s="9"/>
      <x:c r="M895" s="9" t="str">
        <x:f>IF(A895="","",INDEX('입고대장'!$M$7:$M$1006,MATCH(A895,'입고대장'!$A$7:$A$1006,0)))</x:f>
      </x:c>
      <x:c r="N895" s="9"/>
    </x:row>
    <x:row r="896" ht="23" customHeight="1">
      <x:c r="A896" s="9"/>
      <x:c r="B896" s="10"/>
      <x:c r="C896" s="11"/>
      <x:c r="D896" s="11"/>
      <x:c r="E896" s="11"/>
      <x:c r="F896" s="11"/>
      <x:c r="G896" s="11"/>
      <x:c r="H896" s="11"/>
      <x:c r="I896" s="11"/>
      <x:c r="J896" s="11"/>
      <x:c r="K896" s="12" t="str">
        <x:f>IF(A896="","",E896*F896+G896*H896+I896*J896)</x:f>
      </x:c>
      <x:c r="L896" s="9"/>
      <x:c r="M896" s="9" t="str">
        <x:f>IF(A896="","",INDEX('입고대장'!$M$7:$M$1006,MATCH(A896,'입고대장'!$A$7:$A$1006,0)))</x:f>
      </x:c>
      <x:c r="N896" s="9"/>
    </x:row>
    <x:row r="897" ht="23" customHeight="1">
      <x:c r="A897" s="9"/>
      <x:c r="B897" s="10"/>
      <x:c r="C897" s="11"/>
      <x:c r="D897" s="11"/>
      <x:c r="E897" s="11"/>
      <x:c r="F897" s="11"/>
      <x:c r="G897" s="11"/>
      <x:c r="H897" s="11"/>
      <x:c r="I897" s="11"/>
      <x:c r="J897" s="11"/>
      <x:c r="K897" s="12" t="str">
        <x:f>IF(A897="","",E897*F897+G897*H897+I897*J897)</x:f>
      </x:c>
      <x:c r="L897" s="9"/>
      <x:c r="M897" s="9" t="str">
        <x:f>IF(A897="","",INDEX('입고대장'!$M$7:$M$1006,MATCH(A897,'입고대장'!$A$7:$A$1006,0)))</x:f>
      </x:c>
      <x:c r="N897" s="9"/>
    </x:row>
    <x:row r="898" ht="23" customHeight="1">
      <x:c r="A898" s="9"/>
      <x:c r="B898" s="10"/>
      <x:c r="C898" s="11"/>
      <x:c r="D898" s="11"/>
      <x:c r="E898" s="11"/>
      <x:c r="F898" s="11"/>
      <x:c r="G898" s="11"/>
      <x:c r="H898" s="11"/>
      <x:c r="I898" s="11"/>
      <x:c r="J898" s="11"/>
      <x:c r="K898" s="12" t="str">
        <x:f>IF(A898="","",E898*F898+G898*H898+I898*J898)</x:f>
      </x:c>
      <x:c r="L898" s="9"/>
      <x:c r="M898" s="9" t="str">
        <x:f>IF(A898="","",INDEX('입고대장'!$M$7:$M$1006,MATCH(A898,'입고대장'!$A$7:$A$1006,0)))</x:f>
      </x:c>
      <x:c r="N898" s="9"/>
    </x:row>
    <x:row r="899" ht="23" customHeight="1">
      <x:c r="A899" s="9"/>
      <x:c r="B899" s="10"/>
      <x:c r="C899" s="11"/>
      <x:c r="D899" s="11"/>
      <x:c r="E899" s="11"/>
      <x:c r="F899" s="11"/>
      <x:c r="G899" s="11"/>
      <x:c r="H899" s="11"/>
      <x:c r="I899" s="11"/>
      <x:c r="J899" s="11"/>
      <x:c r="K899" s="12" t="str">
        <x:f>IF(A899="","",E899*F899+G899*H899+I899*J899)</x:f>
      </x:c>
      <x:c r="L899" s="9"/>
      <x:c r="M899" s="9" t="str">
        <x:f>IF(A899="","",INDEX('입고대장'!$M$7:$M$1006,MATCH(A899,'입고대장'!$A$7:$A$1006,0)))</x:f>
      </x:c>
      <x:c r="N899" s="9"/>
    </x:row>
    <x:row r="900" ht="23" customHeight="1">
      <x:c r="A900" s="9"/>
      <x:c r="B900" s="10"/>
      <x:c r="C900" s="11"/>
      <x:c r="D900" s="11"/>
      <x:c r="E900" s="11"/>
      <x:c r="F900" s="11"/>
      <x:c r="G900" s="11"/>
      <x:c r="H900" s="11"/>
      <x:c r="I900" s="11"/>
      <x:c r="J900" s="11"/>
      <x:c r="K900" s="12" t="str">
        <x:f>IF(A900="","",E900*F900+G900*H900+I900*J900)</x:f>
      </x:c>
      <x:c r="L900" s="9"/>
      <x:c r="M900" s="9" t="str">
        <x:f>IF(A900="","",INDEX('입고대장'!$M$7:$M$1006,MATCH(A900,'입고대장'!$A$7:$A$1006,0)))</x:f>
      </x:c>
      <x:c r="N900" s="9"/>
    </x:row>
    <x:row r="901" ht="23" customHeight="1">
      <x:c r="A901" s="9"/>
      <x:c r="B901" s="10"/>
      <x:c r="C901" s="11"/>
      <x:c r="D901" s="11"/>
      <x:c r="E901" s="11"/>
      <x:c r="F901" s="11"/>
      <x:c r="G901" s="11"/>
      <x:c r="H901" s="11"/>
      <x:c r="I901" s="11"/>
      <x:c r="J901" s="11"/>
      <x:c r="K901" s="12" t="str">
        <x:f>IF(A901="","",E901*F901+G901*H901+I901*J901)</x:f>
      </x:c>
      <x:c r="L901" s="9"/>
      <x:c r="M901" s="9" t="str">
        <x:f>IF(A901="","",INDEX('입고대장'!$M$7:$M$1006,MATCH(A901,'입고대장'!$A$7:$A$1006,0)))</x:f>
      </x:c>
      <x:c r="N901" s="9"/>
    </x:row>
    <x:row r="902" ht="23" customHeight="1">
      <x:c r="A902" s="9"/>
      <x:c r="B902" s="10"/>
      <x:c r="C902" s="11"/>
      <x:c r="D902" s="11"/>
      <x:c r="E902" s="11"/>
      <x:c r="F902" s="11"/>
      <x:c r="G902" s="11"/>
      <x:c r="H902" s="11"/>
      <x:c r="I902" s="11"/>
      <x:c r="J902" s="11"/>
      <x:c r="K902" s="12" t="str">
        <x:f>IF(A902="","",E902*F902+G902*H902+I902*J902)</x:f>
      </x:c>
      <x:c r="L902" s="9"/>
      <x:c r="M902" s="9" t="str">
        <x:f>IF(A902="","",INDEX('입고대장'!$M$7:$M$1006,MATCH(A902,'입고대장'!$A$7:$A$1006,0)))</x:f>
      </x:c>
      <x:c r="N902" s="9"/>
    </x:row>
    <x:row r="903" ht="23" customHeight="1">
      <x:c r="A903" s="9"/>
      <x:c r="B903" s="10"/>
      <x:c r="C903" s="11"/>
      <x:c r="D903" s="11"/>
      <x:c r="E903" s="11"/>
      <x:c r="F903" s="11"/>
      <x:c r="G903" s="11"/>
      <x:c r="H903" s="11"/>
      <x:c r="I903" s="11"/>
      <x:c r="J903" s="11"/>
      <x:c r="K903" s="12" t="str">
        <x:f>IF(A903="","",E903*F903+G903*H903+I903*J903)</x:f>
      </x:c>
      <x:c r="L903" s="9"/>
      <x:c r="M903" s="9" t="str">
        <x:f>IF(A903="","",INDEX('입고대장'!$M$7:$M$1006,MATCH(A903,'입고대장'!$A$7:$A$1006,0)))</x:f>
      </x:c>
      <x:c r="N903" s="9"/>
    </x:row>
    <x:row r="904" ht="23" customHeight="1">
      <x:c r="A904" s="9"/>
      <x:c r="B904" s="10"/>
      <x:c r="C904" s="11"/>
      <x:c r="D904" s="11"/>
      <x:c r="E904" s="11"/>
      <x:c r="F904" s="11"/>
      <x:c r="G904" s="11"/>
      <x:c r="H904" s="11"/>
      <x:c r="I904" s="11"/>
      <x:c r="J904" s="11"/>
      <x:c r="K904" s="12" t="str">
        <x:f>IF(A904="","",E904*F904+G904*H904+I904*J904)</x:f>
      </x:c>
      <x:c r="L904" s="9"/>
      <x:c r="M904" s="9" t="str">
        <x:f>IF(A904="","",INDEX('입고대장'!$M$7:$M$1006,MATCH(A904,'입고대장'!$A$7:$A$1006,0)))</x:f>
      </x:c>
      <x:c r="N904" s="9"/>
    </x:row>
    <x:row r="905" ht="23" customHeight="1">
      <x:c r="A905" s="9"/>
      <x:c r="B905" s="10"/>
      <x:c r="C905" s="11"/>
      <x:c r="D905" s="11"/>
      <x:c r="E905" s="11"/>
      <x:c r="F905" s="11"/>
      <x:c r="G905" s="11"/>
      <x:c r="H905" s="11"/>
      <x:c r="I905" s="11"/>
      <x:c r="J905" s="11"/>
      <x:c r="K905" s="12" t="str">
        <x:f>IF(A905="","",E905*F905+G905*H905+I905*J905)</x:f>
      </x:c>
      <x:c r="L905" s="9"/>
      <x:c r="M905" s="9" t="str">
        <x:f>IF(A905="","",INDEX('입고대장'!$M$7:$M$1006,MATCH(A905,'입고대장'!$A$7:$A$1006,0)))</x:f>
      </x:c>
      <x:c r="N905" s="9"/>
    </x:row>
    <x:row r="906" ht="23" customHeight="1">
      <x:c r="A906" s="9"/>
      <x:c r="B906" s="10"/>
      <x:c r="C906" s="11"/>
      <x:c r="D906" s="11"/>
      <x:c r="E906" s="11"/>
      <x:c r="F906" s="11"/>
      <x:c r="G906" s="11"/>
      <x:c r="H906" s="11"/>
      <x:c r="I906" s="11"/>
      <x:c r="J906" s="11"/>
      <x:c r="K906" s="12" t="str">
        <x:f>IF(A906="","",E906*F906+G906*H906+I906*J906)</x:f>
      </x:c>
      <x:c r="L906" s="9"/>
      <x:c r="M906" s="9" t="str">
        <x:f>IF(A906="","",INDEX('입고대장'!$M$7:$M$1006,MATCH(A906,'입고대장'!$A$7:$A$1006,0)))</x:f>
      </x:c>
      <x:c r="N906" s="9"/>
    </x:row>
    <x:row r="907" ht="23" customHeight="1">
      <x:c r="A907" s="9"/>
      <x:c r="B907" s="10"/>
      <x:c r="C907" s="11"/>
      <x:c r="D907" s="11"/>
      <x:c r="E907" s="11"/>
      <x:c r="F907" s="11"/>
      <x:c r="G907" s="11"/>
      <x:c r="H907" s="11"/>
      <x:c r="I907" s="11"/>
      <x:c r="J907" s="11"/>
      <x:c r="K907" s="12" t="str">
        <x:f>IF(A907="","",E907*F907+G907*H907+I907*J907)</x:f>
      </x:c>
      <x:c r="L907" s="9"/>
      <x:c r="M907" s="9" t="str">
        <x:f>IF(A907="","",INDEX('입고대장'!$M$7:$M$1006,MATCH(A907,'입고대장'!$A$7:$A$1006,0)))</x:f>
      </x:c>
      <x:c r="N907" s="9"/>
    </x:row>
    <x:row r="908" ht="23" customHeight="1">
      <x:c r="A908" s="9"/>
      <x:c r="B908" s="10"/>
      <x:c r="C908" s="11"/>
      <x:c r="D908" s="11"/>
      <x:c r="E908" s="11"/>
      <x:c r="F908" s="11"/>
      <x:c r="G908" s="11"/>
      <x:c r="H908" s="11"/>
      <x:c r="I908" s="11"/>
      <x:c r="J908" s="11"/>
      <x:c r="K908" s="12" t="str">
        <x:f>IF(A908="","",E908*F908+G908*H908+I908*J908)</x:f>
      </x:c>
      <x:c r="L908" s="9"/>
      <x:c r="M908" s="9" t="str">
        <x:f>IF(A908="","",INDEX('입고대장'!$M$7:$M$1006,MATCH(A908,'입고대장'!$A$7:$A$1006,0)))</x:f>
      </x:c>
      <x:c r="N908" s="9"/>
    </x:row>
    <x:row r="909" ht="23" customHeight="1">
      <x:c r="A909" s="9"/>
      <x:c r="B909" s="10"/>
      <x:c r="C909" s="11"/>
      <x:c r="D909" s="11"/>
      <x:c r="E909" s="11"/>
      <x:c r="F909" s="11"/>
      <x:c r="G909" s="11"/>
      <x:c r="H909" s="11"/>
      <x:c r="I909" s="11"/>
      <x:c r="J909" s="11"/>
      <x:c r="K909" s="12" t="str">
        <x:f>IF(A909="","",E909*F909+G909*H909+I909*J909)</x:f>
      </x:c>
      <x:c r="L909" s="9"/>
      <x:c r="M909" s="9" t="str">
        <x:f>IF(A909="","",INDEX('입고대장'!$M$7:$M$1006,MATCH(A909,'입고대장'!$A$7:$A$1006,0)))</x:f>
      </x:c>
      <x:c r="N909" s="9"/>
    </x:row>
    <x:row r="910" ht="23" customHeight="1">
      <x:c r="A910" s="9"/>
      <x:c r="B910" s="10"/>
      <x:c r="C910" s="11"/>
      <x:c r="D910" s="11"/>
      <x:c r="E910" s="11"/>
      <x:c r="F910" s="11"/>
      <x:c r="G910" s="11"/>
      <x:c r="H910" s="11"/>
      <x:c r="I910" s="11"/>
      <x:c r="J910" s="11"/>
      <x:c r="K910" s="12" t="str">
        <x:f>IF(A910="","",E910*F910+G910*H910+I910*J910)</x:f>
      </x:c>
      <x:c r="L910" s="9"/>
      <x:c r="M910" s="9" t="str">
        <x:f>IF(A910="","",INDEX('입고대장'!$M$7:$M$1006,MATCH(A910,'입고대장'!$A$7:$A$1006,0)))</x:f>
      </x:c>
      <x:c r="N910" s="9"/>
    </x:row>
    <x:row r="911" ht="23" customHeight="1">
      <x:c r="A911" s="9"/>
      <x:c r="B911" s="10"/>
      <x:c r="C911" s="11"/>
      <x:c r="D911" s="11"/>
      <x:c r="E911" s="11"/>
      <x:c r="F911" s="11"/>
      <x:c r="G911" s="11"/>
      <x:c r="H911" s="11"/>
      <x:c r="I911" s="11"/>
      <x:c r="J911" s="11"/>
      <x:c r="K911" s="12" t="str">
        <x:f>IF(A911="","",E911*F911+G911*H911+I911*J911)</x:f>
      </x:c>
      <x:c r="L911" s="9"/>
      <x:c r="M911" s="9" t="str">
        <x:f>IF(A911="","",INDEX('입고대장'!$M$7:$M$1006,MATCH(A911,'입고대장'!$A$7:$A$1006,0)))</x:f>
      </x:c>
      <x:c r="N911" s="9"/>
    </x:row>
    <x:row r="912" ht="23" customHeight="1">
      <x:c r="A912" s="9"/>
      <x:c r="B912" s="10"/>
      <x:c r="C912" s="11"/>
      <x:c r="D912" s="11"/>
      <x:c r="E912" s="11"/>
      <x:c r="F912" s="11"/>
      <x:c r="G912" s="11"/>
      <x:c r="H912" s="11"/>
      <x:c r="I912" s="11"/>
      <x:c r="J912" s="11"/>
      <x:c r="K912" s="12" t="str">
        <x:f>IF(A912="","",E912*F912+G912*H912+I912*J912)</x:f>
      </x:c>
      <x:c r="L912" s="9"/>
      <x:c r="M912" s="9" t="str">
        <x:f>IF(A912="","",INDEX('입고대장'!$M$7:$M$1006,MATCH(A912,'입고대장'!$A$7:$A$1006,0)))</x:f>
      </x:c>
      <x:c r="N912" s="9"/>
    </x:row>
    <x:row r="913" ht="23" customHeight="1">
      <x:c r="A913" s="9"/>
      <x:c r="B913" s="10"/>
      <x:c r="C913" s="11"/>
      <x:c r="D913" s="11"/>
      <x:c r="E913" s="11"/>
      <x:c r="F913" s="11"/>
      <x:c r="G913" s="11"/>
      <x:c r="H913" s="11"/>
      <x:c r="I913" s="11"/>
      <x:c r="J913" s="11"/>
      <x:c r="K913" s="12" t="str">
        <x:f>IF(A913="","",E913*F913+G913*H913+I913*J913)</x:f>
      </x:c>
      <x:c r="L913" s="9"/>
      <x:c r="M913" s="9" t="str">
        <x:f>IF(A913="","",INDEX('입고대장'!$M$7:$M$1006,MATCH(A913,'입고대장'!$A$7:$A$1006,0)))</x:f>
      </x:c>
      <x:c r="N913" s="9"/>
    </x:row>
    <x:row r="914" ht="23" customHeight="1">
      <x:c r="A914" s="9"/>
      <x:c r="B914" s="10"/>
      <x:c r="C914" s="11"/>
      <x:c r="D914" s="11"/>
      <x:c r="E914" s="11"/>
      <x:c r="F914" s="11"/>
      <x:c r="G914" s="11"/>
      <x:c r="H914" s="11"/>
      <x:c r="I914" s="11"/>
      <x:c r="J914" s="11"/>
      <x:c r="K914" s="12" t="str">
        <x:f>IF(A914="","",E914*F914+G914*H914+I914*J914)</x:f>
      </x:c>
      <x:c r="L914" s="9"/>
      <x:c r="M914" s="9" t="str">
        <x:f>IF(A914="","",INDEX('입고대장'!$M$7:$M$1006,MATCH(A914,'입고대장'!$A$7:$A$1006,0)))</x:f>
      </x:c>
      <x:c r="N914" s="9"/>
    </x:row>
    <x:row r="915" ht="23" customHeight="1">
      <x:c r="A915" s="9"/>
      <x:c r="B915" s="10"/>
      <x:c r="C915" s="11"/>
      <x:c r="D915" s="11"/>
      <x:c r="E915" s="11"/>
      <x:c r="F915" s="11"/>
      <x:c r="G915" s="11"/>
      <x:c r="H915" s="11"/>
      <x:c r="I915" s="11"/>
      <x:c r="J915" s="11"/>
      <x:c r="K915" s="12" t="str">
        <x:f>IF(A915="","",E915*F915+G915*H915+I915*J915)</x:f>
      </x:c>
      <x:c r="L915" s="9"/>
      <x:c r="M915" s="9" t="str">
        <x:f>IF(A915="","",INDEX('입고대장'!$M$7:$M$1006,MATCH(A915,'입고대장'!$A$7:$A$1006,0)))</x:f>
      </x:c>
      <x:c r="N915" s="9"/>
    </x:row>
    <x:row r="916" ht="23" customHeight="1">
      <x:c r="A916" s="9"/>
      <x:c r="B916" s="10"/>
      <x:c r="C916" s="11"/>
      <x:c r="D916" s="11"/>
      <x:c r="E916" s="11"/>
      <x:c r="F916" s="11"/>
      <x:c r="G916" s="11"/>
      <x:c r="H916" s="11"/>
      <x:c r="I916" s="11"/>
      <x:c r="J916" s="11"/>
      <x:c r="K916" s="12" t="str">
        <x:f>IF(A916="","",E916*F916+G916*H916+I916*J916)</x:f>
      </x:c>
      <x:c r="L916" s="9"/>
      <x:c r="M916" s="9" t="str">
        <x:f>IF(A916="","",INDEX('입고대장'!$M$7:$M$1006,MATCH(A916,'입고대장'!$A$7:$A$1006,0)))</x:f>
      </x:c>
      <x:c r="N916" s="9"/>
    </x:row>
    <x:row r="917" ht="23" customHeight="1">
      <x:c r="A917" s="9"/>
      <x:c r="B917" s="10"/>
      <x:c r="C917" s="11"/>
      <x:c r="D917" s="11"/>
      <x:c r="E917" s="11"/>
      <x:c r="F917" s="11"/>
      <x:c r="G917" s="11"/>
      <x:c r="H917" s="11"/>
      <x:c r="I917" s="11"/>
      <x:c r="J917" s="11"/>
      <x:c r="K917" s="12" t="str">
        <x:f>IF(A917="","",E917*F917+G917*H917+I917*J917)</x:f>
      </x:c>
      <x:c r="L917" s="9"/>
      <x:c r="M917" s="9" t="str">
        <x:f>IF(A917="","",INDEX('입고대장'!$M$7:$M$1006,MATCH(A917,'입고대장'!$A$7:$A$1006,0)))</x:f>
      </x:c>
      <x:c r="N917" s="9"/>
    </x:row>
    <x:row r="918" ht="23" customHeight="1">
      <x:c r="A918" s="9"/>
      <x:c r="B918" s="10"/>
      <x:c r="C918" s="11"/>
      <x:c r="D918" s="11"/>
      <x:c r="E918" s="11"/>
      <x:c r="F918" s="11"/>
      <x:c r="G918" s="11"/>
      <x:c r="H918" s="11"/>
      <x:c r="I918" s="11"/>
      <x:c r="J918" s="11"/>
      <x:c r="K918" s="12" t="str">
        <x:f>IF(A918="","",E918*F918+G918*H918+I918*J918)</x:f>
      </x:c>
      <x:c r="L918" s="9"/>
      <x:c r="M918" s="9" t="str">
        <x:f>IF(A918="","",INDEX('입고대장'!$M$7:$M$1006,MATCH(A918,'입고대장'!$A$7:$A$1006,0)))</x:f>
      </x:c>
      <x:c r="N918" s="9"/>
    </x:row>
    <x:row r="919" ht="23" customHeight="1">
      <x:c r="A919" s="9"/>
      <x:c r="B919" s="10"/>
      <x:c r="C919" s="11"/>
      <x:c r="D919" s="11"/>
      <x:c r="E919" s="11"/>
      <x:c r="F919" s="11"/>
      <x:c r="G919" s="11"/>
      <x:c r="H919" s="11"/>
      <x:c r="I919" s="11"/>
      <x:c r="J919" s="11"/>
      <x:c r="K919" s="12" t="str">
        <x:f>IF(A919="","",E919*F919+G919*H919+I919*J919)</x:f>
      </x:c>
      <x:c r="L919" s="9"/>
      <x:c r="M919" s="9" t="str">
        <x:f>IF(A919="","",INDEX('입고대장'!$M$7:$M$1006,MATCH(A919,'입고대장'!$A$7:$A$1006,0)))</x:f>
      </x:c>
      <x:c r="N919" s="9"/>
    </x:row>
    <x:row r="920" ht="23" customHeight="1">
      <x:c r="A920" s="9"/>
      <x:c r="B920" s="10"/>
      <x:c r="C920" s="11"/>
      <x:c r="D920" s="11"/>
      <x:c r="E920" s="11"/>
      <x:c r="F920" s="11"/>
      <x:c r="G920" s="11"/>
      <x:c r="H920" s="11"/>
      <x:c r="I920" s="11"/>
      <x:c r="J920" s="11"/>
      <x:c r="K920" s="12" t="str">
        <x:f>IF(A920="","",E920*F920+G920*H920+I920*J920)</x:f>
      </x:c>
      <x:c r="L920" s="9"/>
      <x:c r="M920" s="9" t="str">
        <x:f>IF(A920="","",INDEX('입고대장'!$M$7:$M$1006,MATCH(A920,'입고대장'!$A$7:$A$1006,0)))</x:f>
      </x:c>
      <x:c r="N920" s="9"/>
    </x:row>
    <x:row r="921" ht="23" customHeight="1">
      <x:c r="A921" s="9"/>
      <x:c r="B921" s="10"/>
      <x:c r="C921" s="11"/>
      <x:c r="D921" s="11"/>
      <x:c r="E921" s="11"/>
      <x:c r="F921" s="11"/>
      <x:c r="G921" s="11"/>
      <x:c r="H921" s="11"/>
      <x:c r="I921" s="11"/>
      <x:c r="J921" s="11"/>
      <x:c r="K921" s="12" t="str">
        <x:f>IF(A921="","",E921*F921+G921*H921+I921*J921)</x:f>
      </x:c>
      <x:c r="L921" s="9"/>
      <x:c r="M921" s="9" t="str">
        <x:f>IF(A921="","",INDEX('입고대장'!$M$7:$M$1006,MATCH(A921,'입고대장'!$A$7:$A$1006,0)))</x:f>
      </x:c>
      <x:c r="N921" s="9"/>
    </x:row>
    <x:row r="922" ht="23" customHeight="1">
      <x:c r="A922" s="9"/>
      <x:c r="B922" s="10"/>
      <x:c r="C922" s="11"/>
      <x:c r="D922" s="11"/>
      <x:c r="E922" s="11"/>
      <x:c r="F922" s="11"/>
      <x:c r="G922" s="11"/>
      <x:c r="H922" s="11"/>
      <x:c r="I922" s="11"/>
      <x:c r="J922" s="11"/>
      <x:c r="K922" s="12" t="str">
        <x:f>IF(A922="","",E922*F922+G922*H922+I922*J922)</x:f>
      </x:c>
      <x:c r="L922" s="9"/>
      <x:c r="M922" s="9" t="str">
        <x:f>IF(A922="","",INDEX('입고대장'!$M$7:$M$1006,MATCH(A922,'입고대장'!$A$7:$A$1006,0)))</x:f>
      </x:c>
      <x:c r="N922" s="9"/>
    </x:row>
    <x:row r="923" ht="23" customHeight="1">
      <x:c r="A923" s="9"/>
      <x:c r="B923" s="10"/>
      <x:c r="C923" s="11"/>
      <x:c r="D923" s="11"/>
      <x:c r="E923" s="11"/>
      <x:c r="F923" s="11"/>
      <x:c r="G923" s="11"/>
      <x:c r="H923" s="11"/>
      <x:c r="I923" s="11"/>
      <x:c r="J923" s="11"/>
      <x:c r="K923" s="12" t="str">
        <x:f>IF(A923="","",E923*F923+G923*H923+I923*J923)</x:f>
      </x:c>
      <x:c r="L923" s="9"/>
      <x:c r="M923" s="9" t="str">
        <x:f>IF(A923="","",INDEX('입고대장'!$M$7:$M$1006,MATCH(A923,'입고대장'!$A$7:$A$1006,0)))</x:f>
      </x:c>
      <x:c r="N923" s="9"/>
    </x:row>
    <x:row r="924" ht="23" customHeight="1">
      <x:c r="A924" s="9"/>
      <x:c r="B924" s="10"/>
      <x:c r="C924" s="11"/>
      <x:c r="D924" s="11"/>
      <x:c r="E924" s="11"/>
      <x:c r="F924" s="11"/>
      <x:c r="G924" s="11"/>
      <x:c r="H924" s="11"/>
      <x:c r="I924" s="11"/>
      <x:c r="J924" s="11"/>
      <x:c r="K924" s="12" t="str">
        <x:f>IF(A924="","",E924*F924+G924*H924+I924*J924)</x:f>
      </x:c>
      <x:c r="L924" s="9"/>
      <x:c r="M924" s="9" t="str">
        <x:f>IF(A924="","",INDEX('입고대장'!$M$7:$M$1006,MATCH(A924,'입고대장'!$A$7:$A$1006,0)))</x:f>
      </x:c>
      <x:c r="N924" s="9"/>
    </x:row>
    <x:row r="925" ht="23" customHeight="1">
      <x:c r="A925" s="9"/>
      <x:c r="B925" s="10"/>
      <x:c r="C925" s="11"/>
      <x:c r="D925" s="11"/>
      <x:c r="E925" s="11"/>
      <x:c r="F925" s="11"/>
      <x:c r="G925" s="11"/>
      <x:c r="H925" s="11"/>
      <x:c r="I925" s="11"/>
      <x:c r="J925" s="11"/>
      <x:c r="K925" s="12" t="str">
        <x:f>IF(A925="","",E925*F925+G925*H925+I925*J925)</x:f>
      </x:c>
      <x:c r="L925" s="9"/>
      <x:c r="M925" s="9" t="str">
        <x:f>IF(A925="","",INDEX('입고대장'!$M$7:$M$1006,MATCH(A925,'입고대장'!$A$7:$A$1006,0)))</x:f>
      </x:c>
      <x:c r="N925" s="9"/>
    </x:row>
    <x:row r="926" ht="23" customHeight="1">
      <x:c r="A926" s="9"/>
      <x:c r="B926" s="10"/>
      <x:c r="C926" s="11"/>
      <x:c r="D926" s="11"/>
      <x:c r="E926" s="11"/>
      <x:c r="F926" s="11"/>
      <x:c r="G926" s="11"/>
      <x:c r="H926" s="11"/>
      <x:c r="I926" s="11"/>
      <x:c r="J926" s="11"/>
      <x:c r="K926" s="12" t="str">
        <x:f>IF(A926="","",E926*F926+G926*H926+I926*J926)</x:f>
      </x:c>
      <x:c r="L926" s="9"/>
      <x:c r="M926" s="9" t="str">
        <x:f>IF(A926="","",INDEX('입고대장'!$M$7:$M$1006,MATCH(A926,'입고대장'!$A$7:$A$1006,0)))</x:f>
      </x:c>
      <x:c r="N926" s="9"/>
    </x:row>
    <x:row r="927" ht="23" customHeight="1">
      <x:c r="A927" s="9"/>
      <x:c r="B927" s="10"/>
      <x:c r="C927" s="11"/>
      <x:c r="D927" s="11"/>
      <x:c r="E927" s="11"/>
      <x:c r="F927" s="11"/>
      <x:c r="G927" s="11"/>
      <x:c r="H927" s="11"/>
      <x:c r="I927" s="11"/>
      <x:c r="J927" s="11"/>
      <x:c r="K927" s="12" t="str">
        <x:f>IF(A927="","",E927*F927+G927*H927+I927*J927)</x:f>
      </x:c>
      <x:c r="L927" s="9"/>
      <x:c r="M927" s="9" t="str">
        <x:f>IF(A927="","",INDEX('입고대장'!$M$7:$M$1006,MATCH(A927,'입고대장'!$A$7:$A$1006,0)))</x:f>
      </x:c>
      <x:c r="N927" s="9"/>
    </x:row>
    <x:row r="928" ht="23" customHeight="1">
      <x:c r="A928" s="9"/>
      <x:c r="B928" s="10"/>
      <x:c r="C928" s="11"/>
      <x:c r="D928" s="11"/>
      <x:c r="E928" s="11"/>
      <x:c r="F928" s="11"/>
      <x:c r="G928" s="11"/>
      <x:c r="H928" s="11"/>
      <x:c r="I928" s="11"/>
      <x:c r="J928" s="11"/>
      <x:c r="K928" s="12" t="str">
        <x:f>IF(A928="","",E928*F928+G928*H928+I928*J928)</x:f>
      </x:c>
      <x:c r="L928" s="9"/>
      <x:c r="M928" s="9" t="str">
        <x:f>IF(A928="","",INDEX('입고대장'!$M$7:$M$1006,MATCH(A928,'입고대장'!$A$7:$A$1006,0)))</x:f>
      </x:c>
      <x:c r="N928" s="9"/>
    </x:row>
    <x:row r="929" ht="23" customHeight="1">
      <x:c r="A929" s="9"/>
      <x:c r="B929" s="10"/>
      <x:c r="C929" s="11"/>
      <x:c r="D929" s="11"/>
      <x:c r="E929" s="11"/>
      <x:c r="F929" s="11"/>
      <x:c r="G929" s="11"/>
      <x:c r="H929" s="11"/>
      <x:c r="I929" s="11"/>
      <x:c r="J929" s="11"/>
      <x:c r="K929" s="12" t="str">
        <x:f>IF(A929="","",E929*F929+G929*H929+I929*J929)</x:f>
      </x:c>
      <x:c r="L929" s="9"/>
      <x:c r="M929" s="9" t="str">
        <x:f>IF(A929="","",INDEX('입고대장'!$M$7:$M$1006,MATCH(A929,'입고대장'!$A$7:$A$1006,0)))</x:f>
      </x:c>
      <x:c r="N929" s="9"/>
    </x:row>
    <x:row r="930" ht="23" customHeight="1">
      <x:c r="A930" s="9"/>
      <x:c r="B930" s="10"/>
      <x:c r="C930" s="11"/>
      <x:c r="D930" s="11"/>
      <x:c r="E930" s="11"/>
      <x:c r="F930" s="11"/>
      <x:c r="G930" s="11"/>
      <x:c r="H930" s="11"/>
      <x:c r="I930" s="11"/>
      <x:c r="J930" s="11"/>
      <x:c r="K930" s="12" t="str">
        <x:f>IF(A930="","",E930*F930+G930*H930+I930*J930)</x:f>
      </x:c>
      <x:c r="L930" s="9"/>
      <x:c r="M930" s="9" t="str">
        <x:f>IF(A930="","",INDEX('입고대장'!$M$7:$M$1006,MATCH(A930,'입고대장'!$A$7:$A$1006,0)))</x:f>
      </x:c>
      <x:c r="N930" s="9"/>
    </x:row>
    <x:row r="931" ht="23" customHeight="1">
      <x:c r="A931" s="9"/>
      <x:c r="B931" s="10"/>
      <x:c r="C931" s="11"/>
      <x:c r="D931" s="11"/>
      <x:c r="E931" s="11"/>
      <x:c r="F931" s="11"/>
      <x:c r="G931" s="11"/>
      <x:c r="H931" s="11"/>
      <x:c r="I931" s="11"/>
      <x:c r="J931" s="11"/>
      <x:c r="K931" s="12" t="str">
        <x:f>IF(A931="","",E931*F931+G931*H931+I931*J931)</x:f>
      </x:c>
      <x:c r="L931" s="9"/>
      <x:c r="M931" s="9" t="str">
        <x:f>IF(A931="","",INDEX('입고대장'!$M$7:$M$1006,MATCH(A931,'입고대장'!$A$7:$A$1006,0)))</x:f>
      </x:c>
      <x:c r="N931" s="9"/>
    </x:row>
    <x:row r="932" ht="23" customHeight="1">
      <x:c r="A932" s="9"/>
      <x:c r="B932" s="10"/>
      <x:c r="C932" s="11"/>
      <x:c r="D932" s="11"/>
      <x:c r="E932" s="11"/>
      <x:c r="F932" s="11"/>
      <x:c r="G932" s="11"/>
      <x:c r="H932" s="11"/>
      <x:c r="I932" s="11"/>
      <x:c r="J932" s="11"/>
      <x:c r="K932" s="12" t="str">
        <x:f>IF(A932="","",E932*F932+G932*H932+I932*J932)</x:f>
      </x:c>
      <x:c r="L932" s="9"/>
      <x:c r="M932" s="9" t="str">
        <x:f>IF(A932="","",INDEX('입고대장'!$M$7:$M$1006,MATCH(A932,'입고대장'!$A$7:$A$1006,0)))</x:f>
      </x:c>
      <x:c r="N932" s="9"/>
    </x:row>
    <x:row r="933" ht="23" customHeight="1">
      <x:c r="A933" s="9"/>
      <x:c r="B933" s="10"/>
      <x:c r="C933" s="11"/>
      <x:c r="D933" s="11"/>
      <x:c r="E933" s="11"/>
      <x:c r="F933" s="11"/>
      <x:c r="G933" s="11"/>
      <x:c r="H933" s="11"/>
      <x:c r="I933" s="11"/>
      <x:c r="J933" s="11"/>
      <x:c r="K933" s="12" t="str">
        <x:f>IF(A933="","",E933*F933+G933*H933+I933*J933)</x:f>
      </x:c>
      <x:c r="L933" s="9"/>
      <x:c r="M933" s="9" t="str">
        <x:f>IF(A933="","",INDEX('입고대장'!$M$7:$M$1006,MATCH(A933,'입고대장'!$A$7:$A$1006,0)))</x:f>
      </x:c>
      <x:c r="N933" s="9"/>
    </x:row>
    <x:row r="934" ht="23" customHeight="1">
      <x:c r="A934" s="9"/>
      <x:c r="B934" s="10"/>
      <x:c r="C934" s="11"/>
      <x:c r="D934" s="11"/>
      <x:c r="E934" s="11"/>
      <x:c r="F934" s="11"/>
      <x:c r="G934" s="11"/>
      <x:c r="H934" s="11"/>
      <x:c r="I934" s="11"/>
      <x:c r="J934" s="11"/>
      <x:c r="K934" s="12" t="str">
        <x:f>IF(A934="","",E934*F934+G934*H934+I934*J934)</x:f>
      </x:c>
      <x:c r="L934" s="9"/>
      <x:c r="M934" s="9" t="str">
        <x:f>IF(A934="","",INDEX('입고대장'!$M$7:$M$1006,MATCH(A934,'입고대장'!$A$7:$A$1006,0)))</x:f>
      </x:c>
      <x:c r="N934" s="9"/>
    </x:row>
    <x:row r="935" ht="23" customHeight="1">
      <x:c r="A935" s="9"/>
      <x:c r="B935" s="10"/>
      <x:c r="C935" s="11"/>
      <x:c r="D935" s="11"/>
      <x:c r="E935" s="11"/>
      <x:c r="F935" s="11"/>
      <x:c r="G935" s="11"/>
      <x:c r="H935" s="11"/>
      <x:c r="I935" s="11"/>
      <x:c r="J935" s="11"/>
      <x:c r="K935" s="12" t="str">
        <x:f>IF(A935="","",E935*F935+G935*H935+I935*J935)</x:f>
      </x:c>
      <x:c r="L935" s="9"/>
      <x:c r="M935" s="9" t="str">
        <x:f>IF(A935="","",INDEX('입고대장'!$M$7:$M$1006,MATCH(A935,'입고대장'!$A$7:$A$1006,0)))</x:f>
      </x:c>
      <x:c r="N935" s="9"/>
    </x:row>
    <x:row r="936" ht="23" customHeight="1">
      <x:c r="A936" s="9"/>
      <x:c r="B936" s="10"/>
      <x:c r="C936" s="11"/>
      <x:c r="D936" s="11"/>
      <x:c r="E936" s="11"/>
      <x:c r="F936" s="11"/>
      <x:c r="G936" s="11"/>
      <x:c r="H936" s="11"/>
      <x:c r="I936" s="11"/>
      <x:c r="J936" s="11"/>
      <x:c r="K936" s="12" t="str">
        <x:f>IF(A936="","",E936*F936+G936*H936+I936*J936)</x:f>
      </x:c>
      <x:c r="L936" s="9"/>
      <x:c r="M936" s="9" t="str">
        <x:f>IF(A936="","",INDEX('입고대장'!$M$7:$M$1006,MATCH(A936,'입고대장'!$A$7:$A$1006,0)))</x:f>
      </x:c>
      <x:c r="N936" s="9"/>
    </x:row>
    <x:row r="937" ht="23" customHeight="1">
      <x:c r="A937" s="9"/>
      <x:c r="B937" s="10"/>
      <x:c r="C937" s="11"/>
      <x:c r="D937" s="11"/>
      <x:c r="E937" s="11"/>
      <x:c r="F937" s="11"/>
      <x:c r="G937" s="11"/>
      <x:c r="H937" s="11"/>
      <x:c r="I937" s="11"/>
      <x:c r="J937" s="11"/>
      <x:c r="K937" s="12" t="str">
        <x:f>IF(A937="","",E937*F937+G937*H937+I937*J937)</x:f>
      </x:c>
      <x:c r="L937" s="9"/>
      <x:c r="M937" s="9" t="str">
        <x:f>IF(A937="","",INDEX('입고대장'!$M$7:$M$1006,MATCH(A937,'입고대장'!$A$7:$A$1006,0)))</x:f>
      </x:c>
      <x:c r="N937" s="9"/>
    </x:row>
    <x:row r="938" ht="23" customHeight="1">
      <x:c r="A938" s="9"/>
      <x:c r="B938" s="10"/>
      <x:c r="C938" s="11"/>
      <x:c r="D938" s="11"/>
      <x:c r="E938" s="11"/>
      <x:c r="F938" s="11"/>
      <x:c r="G938" s="11"/>
      <x:c r="H938" s="11"/>
      <x:c r="I938" s="11"/>
      <x:c r="J938" s="11"/>
      <x:c r="K938" s="12" t="str">
        <x:f>IF(A938="","",E938*F938+G938*H938+I938*J938)</x:f>
      </x:c>
      <x:c r="L938" s="9"/>
      <x:c r="M938" s="9" t="str">
        <x:f>IF(A938="","",INDEX('입고대장'!$M$7:$M$1006,MATCH(A938,'입고대장'!$A$7:$A$1006,0)))</x:f>
      </x:c>
      <x:c r="N938" s="9"/>
    </x:row>
    <x:row r="939" ht="23" customHeight="1">
      <x:c r="A939" s="9"/>
      <x:c r="B939" s="10"/>
      <x:c r="C939" s="11"/>
      <x:c r="D939" s="11"/>
      <x:c r="E939" s="11"/>
      <x:c r="F939" s="11"/>
      <x:c r="G939" s="11"/>
      <x:c r="H939" s="11"/>
      <x:c r="I939" s="11"/>
      <x:c r="J939" s="11"/>
      <x:c r="K939" s="12" t="str">
        <x:f>IF(A939="","",E939*F939+G939*H939+I939*J939)</x:f>
      </x:c>
      <x:c r="L939" s="9"/>
      <x:c r="M939" s="9" t="str">
        <x:f>IF(A939="","",INDEX('입고대장'!$M$7:$M$1006,MATCH(A939,'입고대장'!$A$7:$A$1006,0)))</x:f>
      </x:c>
      <x:c r="N939" s="9"/>
    </x:row>
    <x:row r="940" ht="23" customHeight="1">
      <x:c r="A940" s="9"/>
      <x:c r="B940" s="10"/>
      <x:c r="C940" s="11"/>
      <x:c r="D940" s="11"/>
      <x:c r="E940" s="11"/>
      <x:c r="F940" s="11"/>
      <x:c r="G940" s="11"/>
      <x:c r="H940" s="11"/>
      <x:c r="I940" s="11"/>
      <x:c r="J940" s="11"/>
      <x:c r="K940" s="12" t="str">
        <x:f>IF(A940="","",E940*F940+G940*H940+I940*J940)</x:f>
      </x:c>
      <x:c r="L940" s="9"/>
      <x:c r="M940" s="9" t="str">
        <x:f>IF(A940="","",INDEX('입고대장'!$M$7:$M$1006,MATCH(A940,'입고대장'!$A$7:$A$1006,0)))</x:f>
      </x:c>
      <x:c r="N940" s="9"/>
    </x:row>
    <x:row r="941" ht="23" customHeight="1">
      <x:c r="A941" s="9"/>
      <x:c r="B941" s="10"/>
      <x:c r="C941" s="11"/>
      <x:c r="D941" s="11"/>
      <x:c r="E941" s="11"/>
      <x:c r="F941" s="11"/>
      <x:c r="G941" s="11"/>
      <x:c r="H941" s="11"/>
      <x:c r="I941" s="11"/>
      <x:c r="J941" s="11"/>
      <x:c r="K941" s="12" t="str">
        <x:f>IF(A941="","",E941*F941+G941*H941+I941*J941)</x:f>
      </x:c>
      <x:c r="L941" s="9"/>
      <x:c r="M941" s="9" t="str">
        <x:f>IF(A941="","",INDEX('입고대장'!$M$7:$M$1006,MATCH(A941,'입고대장'!$A$7:$A$1006,0)))</x:f>
      </x:c>
      <x:c r="N941" s="9"/>
    </x:row>
    <x:row r="942" ht="23" customHeight="1">
      <x:c r="A942" s="9"/>
      <x:c r="B942" s="10"/>
      <x:c r="C942" s="11"/>
      <x:c r="D942" s="11"/>
      <x:c r="E942" s="11"/>
      <x:c r="F942" s="11"/>
      <x:c r="G942" s="11"/>
      <x:c r="H942" s="11"/>
      <x:c r="I942" s="11"/>
      <x:c r="J942" s="11"/>
      <x:c r="K942" s="12" t="str">
        <x:f>IF(A942="","",E942*F942+G942*H942+I942*J942)</x:f>
      </x:c>
      <x:c r="L942" s="9"/>
      <x:c r="M942" s="9" t="str">
        <x:f>IF(A942="","",INDEX('입고대장'!$M$7:$M$1006,MATCH(A942,'입고대장'!$A$7:$A$1006,0)))</x:f>
      </x:c>
      <x:c r="N942" s="9"/>
    </x:row>
    <x:row r="943" ht="23" customHeight="1">
      <x:c r="A943" s="9"/>
      <x:c r="B943" s="10"/>
      <x:c r="C943" s="11"/>
      <x:c r="D943" s="11"/>
      <x:c r="E943" s="11"/>
      <x:c r="F943" s="11"/>
      <x:c r="G943" s="11"/>
      <x:c r="H943" s="11"/>
      <x:c r="I943" s="11"/>
      <x:c r="J943" s="11"/>
      <x:c r="K943" s="12" t="str">
        <x:f>IF(A943="","",E943*F943+G943*H943+I943*J943)</x:f>
      </x:c>
      <x:c r="L943" s="9"/>
      <x:c r="M943" s="9" t="str">
        <x:f>IF(A943="","",INDEX('입고대장'!$M$7:$M$1006,MATCH(A943,'입고대장'!$A$7:$A$1006,0)))</x:f>
      </x:c>
      <x:c r="N943" s="9"/>
    </x:row>
    <x:row r="944" ht="23" customHeight="1">
      <x:c r="A944" s="9"/>
      <x:c r="B944" s="10"/>
      <x:c r="C944" s="11"/>
      <x:c r="D944" s="11"/>
      <x:c r="E944" s="11"/>
      <x:c r="F944" s="11"/>
      <x:c r="G944" s="11"/>
      <x:c r="H944" s="11"/>
      <x:c r="I944" s="11"/>
      <x:c r="J944" s="11"/>
      <x:c r="K944" s="12" t="str">
        <x:f>IF(A944="","",E944*F944+G944*H944+I944*J944)</x:f>
      </x:c>
      <x:c r="L944" s="9"/>
      <x:c r="M944" s="9" t="str">
        <x:f>IF(A944="","",INDEX('입고대장'!$M$7:$M$1006,MATCH(A944,'입고대장'!$A$7:$A$1006,0)))</x:f>
      </x:c>
      <x:c r="N944" s="9"/>
    </x:row>
    <x:row r="945" ht="23" customHeight="1">
      <x:c r="A945" s="9"/>
      <x:c r="B945" s="10"/>
      <x:c r="C945" s="11"/>
      <x:c r="D945" s="11"/>
      <x:c r="E945" s="11"/>
      <x:c r="F945" s="11"/>
      <x:c r="G945" s="11"/>
      <x:c r="H945" s="11"/>
      <x:c r="I945" s="11"/>
      <x:c r="J945" s="11"/>
      <x:c r="K945" s="12" t="str">
        <x:f>IF(A945="","",E945*F945+G945*H945+I945*J945)</x:f>
      </x:c>
      <x:c r="L945" s="9"/>
      <x:c r="M945" s="9" t="str">
        <x:f>IF(A945="","",INDEX('입고대장'!$M$7:$M$1006,MATCH(A945,'입고대장'!$A$7:$A$1006,0)))</x:f>
      </x:c>
      <x:c r="N945" s="9"/>
    </x:row>
    <x:row r="946" ht="23" customHeight="1">
      <x:c r="A946" s="9"/>
      <x:c r="B946" s="10"/>
      <x:c r="C946" s="11"/>
      <x:c r="D946" s="11"/>
      <x:c r="E946" s="11"/>
      <x:c r="F946" s="11"/>
      <x:c r="G946" s="11"/>
      <x:c r="H946" s="11"/>
      <x:c r="I946" s="11"/>
      <x:c r="J946" s="11"/>
      <x:c r="K946" s="12" t="str">
        <x:f>IF(A946="","",E946*F946+G946*H946+I946*J946)</x:f>
      </x:c>
      <x:c r="L946" s="9"/>
      <x:c r="M946" s="9" t="str">
        <x:f>IF(A946="","",INDEX('입고대장'!$M$7:$M$1006,MATCH(A946,'입고대장'!$A$7:$A$1006,0)))</x:f>
      </x:c>
      <x:c r="N946" s="9"/>
    </x:row>
    <x:row r="947" ht="23" customHeight="1">
      <x:c r="A947" s="9"/>
      <x:c r="B947" s="10"/>
      <x:c r="C947" s="11"/>
      <x:c r="D947" s="11"/>
      <x:c r="E947" s="11"/>
      <x:c r="F947" s="11"/>
      <x:c r="G947" s="11"/>
      <x:c r="H947" s="11"/>
      <x:c r="I947" s="11"/>
      <x:c r="J947" s="11"/>
      <x:c r="K947" s="12" t="str">
        <x:f>IF(A947="","",E947*F947+G947*H947+I947*J947)</x:f>
      </x:c>
      <x:c r="L947" s="9"/>
      <x:c r="M947" s="9" t="str">
        <x:f>IF(A947="","",INDEX('입고대장'!$M$7:$M$1006,MATCH(A947,'입고대장'!$A$7:$A$1006,0)))</x:f>
      </x:c>
      <x:c r="N947" s="9"/>
    </x:row>
    <x:row r="948" ht="23" customHeight="1">
      <x:c r="A948" s="9"/>
      <x:c r="B948" s="10"/>
      <x:c r="C948" s="11"/>
      <x:c r="D948" s="11"/>
      <x:c r="E948" s="11"/>
      <x:c r="F948" s="11"/>
      <x:c r="G948" s="11"/>
      <x:c r="H948" s="11"/>
      <x:c r="I948" s="11"/>
      <x:c r="J948" s="11"/>
      <x:c r="K948" s="12" t="str">
        <x:f>IF(A948="","",E948*F948+G948*H948+I948*J948)</x:f>
      </x:c>
      <x:c r="L948" s="9"/>
      <x:c r="M948" s="9" t="str">
        <x:f>IF(A948="","",INDEX('입고대장'!$M$7:$M$1006,MATCH(A948,'입고대장'!$A$7:$A$1006,0)))</x:f>
      </x:c>
      <x:c r="N948" s="9"/>
    </x:row>
    <x:row r="949" ht="23" customHeight="1">
      <x:c r="A949" s="9"/>
      <x:c r="B949" s="10"/>
      <x:c r="C949" s="11"/>
      <x:c r="D949" s="11"/>
      <x:c r="E949" s="11"/>
      <x:c r="F949" s="11"/>
      <x:c r="G949" s="11"/>
      <x:c r="H949" s="11"/>
      <x:c r="I949" s="11"/>
      <x:c r="J949" s="11"/>
      <x:c r="K949" s="12" t="str">
        <x:f>IF(A949="","",E949*F949+G949*H949+I949*J949)</x:f>
      </x:c>
      <x:c r="L949" s="9"/>
      <x:c r="M949" s="9" t="str">
        <x:f>IF(A949="","",INDEX('입고대장'!$M$7:$M$1006,MATCH(A949,'입고대장'!$A$7:$A$1006,0)))</x:f>
      </x:c>
      <x:c r="N949" s="9"/>
    </x:row>
    <x:row r="950" ht="23" customHeight="1">
      <x:c r="A950" s="9"/>
      <x:c r="B950" s="10"/>
      <x:c r="C950" s="11"/>
      <x:c r="D950" s="11"/>
      <x:c r="E950" s="11"/>
      <x:c r="F950" s="11"/>
      <x:c r="G950" s="11"/>
      <x:c r="H950" s="11"/>
      <x:c r="I950" s="11"/>
      <x:c r="J950" s="11"/>
      <x:c r="K950" s="12" t="str">
        <x:f>IF(A950="","",E950*F950+G950*H950+I950*J950)</x:f>
      </x:c>
      <x:c r="L950" s="9"/>
      <x:c r="M950" s="9" t="str">
        <x:f>IF(A950="","",INDEX('입고대장'!$M$7:$M$1006,MATCH(A950,'입고대장'!$A$7:$A$1006,0)))</x:f>
      </x:c>
      <x:c r="N950" s="9"/>
    </x:row>
    <x:row r="951" ht="23" customHeight="1">
      <x:c r="A951" s="9"/>
      <x:c r="B951" s="10"/>
      <x:c r="C951" s="11"/>
      <x:c r="D951" s="11"/>
      <x:c r="E951" s="11"/>
      <x:c r="F951" s="11"/>
      <x:c r="G951" s="11"/>
      <x:c r="H951" s="11"/>
      <x:c r="I951" s="11"/>
      <x:c r="J951" s="11"/>
      <x:c r="K951" s="12" t="str">
        <x:f>IF(A951="","",E951*F951+G951*H951+I951*J951)</x:f>
      </x:c>
      <x:c r="L951" s="9"/>
      <x:c r="M951" s="9" t="str">
        <x:f>IF(A951="","",INDEX('입고대장'!$M$7:$M$1006,MATCH(A951,'입고대장'!$A$7:$A$1006,0)))</x:f>
      </x:c>
      <x:c r="N951" s="9"/>
    </x:row>
    <x:row r="952" ht="23" customHeight="1">
      <x:c r="A952" s="9"/>
      <x:c r="B952" s="10"/>
      <x:c r="C952" s="11"/>
      <x:c r="D952" s="11"/>
      <x:c r="E952" s="11"/>
      <x:c r="F952" s="11"/>
      <x:c r="G952" s="11"/>
      <x:c r="H952" s="11"/>
      <x:c r="I952" s="11"/>
      <x:c r="J952" s="11"/>
      <x:c r="K952" s="12" t="str">
        <x:f>IF(A952="","",E952*F952+G952*H952+I952*J952)</x:f>
      </x:c>
      <x:c r="L952" s="9"/>
      <x:c r="M952" s="9" t="str">
        <x:f>IF(A952="","",INDEX('입고대장'!$M$7:$M$1006,MATCH(A952,'입고대장'!$A$7:$A$1006,0)))</x:f>
      </x:c>
      <x:c r="N952" s="9"/>
    </x:row>
    <x:row r="953" ht="23" customHeight="1">
      <x:c r="A953" s="9"/>
      <x:c r="B953" s="10"/>
      <x:c r="C953" s="11"/>
      <x:c r="D953" s="11"/>
      <x:c r="E953" s="11"/>
      <x:c r="F953" s="11"/>
      <x:c r="G953" s="11"/>
      <x:c r="H953" s="11"/>
      <x:c r="I953" s="11"/>
      <x:c r="J953" s="11"/>
      <x:c r="K953" s="12" t="str">
        <x:f>IF(A953="","",E953*F953+G953*H953+I953*J953)</x:f>
      </x:c>
      <x:c r="L953" s="9"/>
      <x:c r="M953" s="9" t="str">
        <x:f>IF(A953="","",INDEX('입고대장'!$M$7:$M$1006,MATCH(A953,'입고대장'!$A$7:$A$1006,0)))</x:f>
      </x:c>
      <x:c r="N953" s="9"/>
    </x:row>
    <x:row r="954" ht="23" customHeight="1">
      <x:c r="A954" s="9"/>
      <x:c r="B954" s="10"/>
      <x:c r="C954" s="11"/>
      <x:c r="D954" s="11"/>
      <x:c r="E954" s="11"/>
      <x:c r="F954" s="11"/>
      <x:c r="G954" s="11"/>
      <x:c r="H954" s="11"/>
      <x:c r="I954" s="11"/>
      <x:c r="J954" s="11"/>
      <x:c r="K954" s="12" t="str">
        <x:f>IF(A954="","",E954*F954+G954*H954+I954*J954)</x:f>
      </x:c>
      <x:c r="L954" s="9"/>
      <x:c r="M954" s="9" t="str">
        <x:f>IF(A954="","",INDEX('입고대장'!$M$7:$M$1006,MATCH(A954,'입고대장'!$A$7:$A$1006,0)))</x:f>
      </x:c>
      <x:c r="N954" s="9"/>
    </x:row>
    <x:row r="955" ht="23" customHeight="1">
      <x:c r="A955" s="9"/>
      <x:c r="B955" s="10"/>
      <x:c r="C955" s="11"/>
      <x:c r="D955" s="11"/>
      <x:c r="E955" s="11"/>
      <x:c r="F955" s="11"/>
      <x:c r="G955" s="11"/>
      <x:c r="H955" s="11"/>
      <x:c r="I955" s="11"/>
      <x:c r="J955" s="11"/>
      <x:c r="K955" s="12" t="str">
        <x:f>IF(A955="","",E955*F955+G955*H955+I955*J955)</x:f>
      </x:c>
      <x:c r="L955" s="9"/>
      <x:c r="M955" s="9" t="str">
        <x:f>IF(A955="","",INDEX('입고대장'!$M$7:$M$1006,MATCH(A955,'입고대장'!$A$7:$A$1006,0)))</x:f>
      </x:c>
      <x:c r="N955" s="9"/>
    </x:row>
    <x:row r="956" ht="23" customHeight="1">
      <x:c r="A956" s="9"/>
      <x:c r="B956" s="10"/>
      <x:c r="C956" s="11"/>
      <x:c r="D956" s="11"/>
      <x:c r="E956" s="11"/>
      <x:c r="F956" s="11"/>
      <x:c r="G956" s="11"/>
      <x:c r="H956" s="11"/>
      <x:c r="I956" s="11"/>
      <x:c r="J956" s="11"/>
      <x:c r="K956" s="12" t="str">
        <x:f>IF(A956="","",E956*F956+G956*H956+I956*J956)</x:f>
      </x:c>
      <x:c r="L956" s="9"/>
      <x:c r="M956" s="9" t="str">
        <x:f>IF(A956="","",INDEX('입고대장'!$M$7:$M$1006,MATCH(A956,'입고대장'!$A$7:$A$1006,0)))</x:f>
      </x:c>
      <x:c r="N956" s="9"/>
    </x:row>
    <x:row r="957" ht="23" customHeight="1">
      <x:c r="A957" s="9"/>
      <x:c r="B957" s="10"/>
      <x:c r="C957" s="11"/>
      <x:c r="D957" s="11"/>
      <x:c r="E957" s="11"/>
      <x:c r="F957" s="11"/>
      <x:c r="G957" s="11"/>
      <x:c r="H957" s="11"/>
      <x:c r="I957" s="11"/>
      <x:c r="J957" s="11"/>
      <x:c r="K957" s="12" t="str">
        <x:f>IF(A957="","",E957*F957+G957*H957+I957*J957)</x:f>
      </x:c>
      <x:c r="L957" s="9"/>
      <x:c r="M957" s="9" t="str">
        <x:f>IF(A957="","",INDEX('입고대장'!$M$7:$M$1006,MATCH(A957,'입고대장'!$A$7:$A$1006,0)))</x:f>
      </x:c>
      <x:c r="N957" s="9"/>
    </x:row>
    <x:row r="958" ht="23" customHeight="1">
      <x:c r="A958" s="9"/>
      <x:c r="B958" s="10"/>
      <x:c r="C958" s="11"/>
      <x:c r="D958" s="11"/>
      <x:c r="E958" s="11"/>
      <x:c r="F958" s="11"/>
      <x:c r="G958" s="11"/>
      <x:c r="H958" s="11"/>
      <x:c r="I958" s="11"/>
      <x:c r="J958" s="11"/>
      <x:c r="K958" s="12" t="str">
        <x:f>IF(A958="","",E958*F958+G958*H958+I958*J958)</x:f>
      </x:c>
      <x:c r="L958" s="9"/>
      <x:c r="M958" s="9" t="str">
        <x:f>IF(A958="","",INDEX('입고대장'!$M$7:$M$1006,MATCH(A958,'입고대장'!$A$7:$A$1006,0)))</x:f>
      </x:c>
      <x:c r="N958" s="9"/>
    </x:row>
    <x:row r="959" ht="23" customHeight="1">
      <x:c r="A959" s="9"/>
      <x:c r="B959" s="10"/>
      <x:c r="C959" s="11"/>
      <x:c r="D959" s="11"/>
      <x:c r="E959" s="11"/>
      <x:c r="F959" s="11"/>
      <x:c r="G959" s="11"/>
      <x:c r="H959" s="11"/>
      <x:c r="I959" s="11"/>
      <x:c r="J959" s="11"/>
      <x:c r="K959" s="12" t="str">
        <x:f>IF(A959="","",E959*F959+G959*H959+I959*J959)</x:f>
      </x:c>
      <x:c r="L959" s="9"/>
      <x:c r="M959" s="9" t="str">
        <x:f>IF(A959="","",INDEX('입고대장'!$M$7:$M$1006,MATCH(A959,'입고대장'!$A$7:$A$1006,0)))</x:f>
      </x:c>
      <x:c r="N959" s="9"/>
    </x:row>
    <x:row r="960" ht="23" customHeight="1">
      <x:c r="A960" s="9"/>
      <x:c r="B960" s="10"/>
      <x:c r="C960" s="11"/>
      <x:c r="D960" s="11"/>
      <x:c r="E960" s="11"/>
      <x:c r="F960" s="11"/>
      <x:c r="G960" s="11"/>
      <x:c r="H960" s="11"/>
      <x:c r="I960" s="11"/>
      <x:c r="J960" s="11"/>
      <x:c r="K960" s="12" t="str">
        <x:f>IF(A960="","",E960*F960+G960*H960+I960*J960)</x:f>
      </x:c>
      <x:c r="L960" s="9"/>
      <x:c r="M960" s="9" t="str">
        <x:f>IF(A960="","",INDEX('입고대장'!$M$7:$M$1006,MATCH(A960,'입고대장'!$A$7:$A$1006,0)))</x:f>
      </x:c>
      <x:c r="N960" s="9"/>
    </x:row>
    <x:row r="961" ht="23" customHeight="1">
      <x:c r="A961" s="9"/>
      <x:c r="B961" s="10"/>
      <x:c r="C961" s="11"/>
      <x:c r="D961" s="11"/>
      <x:c r="E961" s="11"/>
      <x:c r="F961" s="11"/>
      <x:c r="G961" s="11"/>
      <x:c r="H961" s="11"/>
      <x:c r="I961" s="11"/>
      <x:c r="J961" s="11"/>
      <x:c r="K961" s="12" t="str">
        <x:f>IF(A961="","",E961*F961+G961*H961+I961*J961)</x:f>
      </x:c>
      <x:c r="L961" s="9"/>
      <x:c r="M961" s="9" t="str">
        <x:f>IF(A961="","",INDEX('입고대장'!$M$7:$M$1006,MATCH(A961,'입고대장'!$A$7:$A$1006,0)))</x:f>
      </x:c>
      <x:c r="N961" s="9"/>
    </x:row>
    <x:row r="962" ht="23" customHeight="1">
      <x:c r="A962" s="9"/>
      <x:c r="B962" s="10"/>
      <x:c r="C962" s="11"/>
      <x:c r="D962" s="11"/>
      <x:c r="E962" s="11"/>
      <x:c r="F962" s="11"/>
      <x:c r="G962" s="11"/>
      <x:c r="H962" s="11"/>
      <x:c r="I962" s="11"/>
      <x:c r="J962" s="11"/>
      <x:c r="K962" s="12" t="str">
        <x:f>IF(A962="","",E962*F962+G962*H962+I962*J962)</x:f>
      </x:c>
      <x:c r="L962" s="9"/>
      <x:c r="M962" s="9" t="str">
        <x:f>IF(A962="","",INDEX('입고대장'!$M$7:$M$1006,MATCH(A962,'입고대장'!$A$7:$A$1006,0)))</x:f>
      </x:c>
      <x:c r="N962" s="9"/>
    </x:row>
    <x:row r="963" ht="23" customHeight="1">
      <x:c r="A963" s="9"/>
      <x:c r="B963" s="10"/>
      <x:c r="C963" s="11"/>
      <x:c r="D963" s="11"/>
      <x:c r="E963" s="11"/>
      <x:c r="F963" s="11"/>
      <x:c r="G963" s="11"/>
      <x:c r="H963" s="11"/>
      <x:c r="I963" s="11"/>
      <x:c r="J963" s="11"/>
      <x:c r="K963" s="12" t="str">
        <x:f>IF(A963="","",E963*F963+G963*H963+I963*J963)</x:f>
      </x:c>
      <x:c r="L963" s="9"/>
      <x:c r="M963" s="9" t="str">
        <x:f>IF(A963="","",INDEX('입고대장'!$M$7:$M$1006,MATCH(A963,'입고대장'!$A$7:$A$1006,0)))</x:f>
      </x:c>
      <x:c r="N963" s="9"/>
    </x:row>
    <x:row r="964" ht="23" customHeight="1">
      <x:c r="A964" s="9"/>
      <x:c r="B964" s="10"/>
      <x:c r="C964" s="11"/>
      <x:c r="D964" s="11"/>
      <x:c r="E964" s="11"/>
      <x:c r="F964" s="11"/>
      <x:c r="G964" s="11"/>
      <x:c r="H964" s="11"/>
      <x:c r="I964" s="11"/>
      <x:c r="J964" s="11"/>
      <x:c r="K964" s="12" t="str">
        <x:f>IF(A964="","",E964*F964+G964*H964+I964*J964)</x:f>
      </x:c>
      <x:c r="L964" s="9"/>
      <x:c r="M964" s="9" t="str">
        <x:f>IF(A964="","",INDEX('입고대장'!$M$7:$M$1006,MATCH(A964,'입고대장'!$A$7:$A$1006,0)))</x:f>
      </x:c>
      <x:c r="N964" s="9"/>
    </x:row>
    <x:row r="965" ht="23" customHeight="1">
      <x:c r="A965" s="9"/>
      <x:c r="B965" s="10"/>
      <x:c r="C965" s="11"/>
      <x:c r="D965" s="11"/>
      <x:c r="E965" s="11"/>
      <x:c r="F965" s="11"/>
      <x:c r="G965" s="11"/>
      <x:c r="H965" s="11"/>
      <x:c r="I965" s="11"/>
      <x:c r="J965" s="11"/>
      <x:c r="K965" s="12" t="str">
        <x:f>IF(A965="","",E965*F965+G965*H965+I965*J965)</x:f>
      </x:c>
      <x:c r="L965" s="9"/>
      <x:c r="M965" s="9" t="str">
        <x:f>IF(A965="","",INDEX('입고대장'!$M$7:$M$1006,MATCH(A965,'입고대장'!$A$7:$A$1006,0)))</x:f>
      </x:c>
      <x:c r="N965" s="9"/>
    </x:row>
    <x:row r="966" ht="23" customHeight="1">
      <x:c r="A966" s="9"/>
      <x:c r="B966" s="10"/>
      <x:c r="C966" s="11"/>
      <x:c r="D966" s="11"/>
      <x:c r="E966" s="11"/>
      <x:c r="F966" s="11"/>
      <x:c r="G966" s="11"/>
      <x:c r="H966" s="11"/>
      <x:c r="I966" s="11"/>
      <x:c r="J966" s="11"/>
      <x:c r="K966" s="12" t="str">
        <x:f>IF(A966="","",E966*F966+G966*H966+I966*J966)</x:f>
      </x:c>
      <x:c r="L966" s="9"/>
      <x:c r="M966" s="9" t="str">
        <x:f>IF(A966="","",INDEX('입고대장'!$M$7:$M$1006,MATCH(A966,'입고대장'!$A$7:$A$1006,0)))</x:f>
      </x:c>
      <x:c r="N966" s="9"/>
    </x:row>
    <x:row r="967" ht="23" customHeight="1">
      <x:c r="A967" s="9"/>
      <x:c r="B967" s="10"/>
      <x:c r="C967" s="11"/>
      <x:c r="D967" s="11"/>
      <x:c r="E967" s="11"/>
      <x:c r="F967" s="11"/>
      <x:c r="G967" s="11"/>
      <x:c r="H967" s="11"/>
      <x:c r="I967" s="11"/>
      <x:c r="J967" s="11"/>
      <x:c r="K967" s="12" t="str">
        <x:f>IF(A967="","",E967*F967+G967*H967+I967*J967)</x:f>
      </x:c>
      <x:c r="L967" s="9"/>
      <x:c r="M967" s="9" t="str">
        <x:f>IF(A967="","",INDEX('입고대장'!$M$7:$M$1006,MATCH(A967,'입고대장'!$A$7:$A$1006,0)))</x:f>
      </x:c>
      <x:c r="N967" s="9"/>
    </x:row>
    <x:row r="968" ht="23" customHeight="1">
      <x:c r="A968" s="9"/>
      <x:c r="B968" s="10"/>
      <x:c r="C968" s="11"/>
      <x:c r="D968" s="11"/>
      <x:c r="E968" s="11"/>
      <x:c r="F968" s="11"/>
      <x:c r="G968" s="11"/>
      <x:c r="H968" s="11"/>
      <x:c r="I968" s="11"/>
      <x:c r="J968" s="11"/>
      <x:c r="K968" s="12" t="str">
        <x:f>IF(A968="","",E968*F968+G968*H968+I968*J968)</x:f>
      </x:c>
      <x:c r="L968" s="9"/>
      <x:c r="M968" s="9" t="str">
        <x:f>IF(A968="","",INDEX('입고대장'!$M$7:$M$1006,MATCH(A968,'입고대장'!$A$7:$A$1006,0)))</x:f>
      </x:c>
      <x:c r="N968" s="9"/>
    </x:row>
    <x:row r="969" ht="23" customHeight="1">
      <x:c r="A969" s="9"/>
      <x:c r="B969" s="10"/>
      <x:c r="C969" s="11"/>
      <x:c r="D969" s="11"/>
      <x:c r="E969" s="11"/>
      <x:c r="F969" s="11"/>
      <x:c r="G969" s="11"/>
      <x:c r="H969" s="11"/>
      <x:c r="I969" s="11"/>
      <x:c r="J969" s="11"/>
      <x:c r="K969" s="12" t="str">
        <x:f>IF(A969="","",E969*F969+G969*H969+I969*J969)</x:f>
      </x:c>
      <x:c r="L969" s="9"/>
      <x:c r="M969" s="9" t="str">
        <x:f>IF(A969="","",INDEX('입고대장'!$M$7:$M$1006,MATCH(A969,'입고대장'!$A$7:$A$1006,0)))</x:f>
      </x:c>
      <x:c r="N969" s="9"/>
    </x:row>
    <x:row r="970" ht="23" customHeight="1">
      <x:c r="A970" s="9"/>
      <x:c r="B970" s="10"/>
      <x:c r="C970" s="11"/>
      <x:c r="D970" s="11"/>
      <x:c r="E970" s="11"/>
      <x:c r="F970" s="11"/>
      <x:c r="G970" s="11"/>
      <x:c r="H970" s="11"/>
      <x:c r="I970" s="11"/>
      <x:c r="J970" s="11"/>
      <x:c r="K970" s="12" t="str">
        <x:f>IF(A970="","",E970*F970+G970*H970+I970*J970)</x:f>
      </x:c>
      <x:c r="L970" s="9"/>
      <x:c r="M970" s="9" t="str">
        <x:f>IF(A970="","",INDEX('입고대장'!$M$7:$M$1006,MATCH(A970,'입고대장'!$A$7:$A$1006,0)))</x:f>
      </x:c>
      <x:c r="N970" s="9"/>
    </x:row>
    <x:row r="971" ht="23" customHeight="1">
      <x:c r="A971" s="9"/>
      <x:c r="B971" s="10"/>
      <x:c r="C971" s="11"/>
      <x:c r="D971" s="11"/>
      <x:c r="E971" s="11"/>
      <x:c r="F971" s="11"/>
      <x:c r="G971" s="11"/>
      <x:c r="H971" s="11"/>
      <x:c r="I971" s="11"/>
      <x:c r="J971" s="11"/>
      <x:c r="K971" s="12" t="str">
        <x:f>IF(A971="","",E971*F971+G971*H971+I971*J971)</x:f>
      </x:c>
      <x:c r="L971" s="9"/>
      <x:c r="M971" s="9" t="str">
        <x:f>IF(A971="","",INDEX('입고대장'!$M$7:$M$1006,MATCH(A971,'입고대장'!$A$7:$A$1006,0)))</x:f>
      </x:c>
      <x:c r="N971" s="9"/>
    </x:row>
    <x:row r="972" ht="23" customHeight="1">
      <x:c r="A972" s="9"/>
      <x:c r="B972" s="10"/>
      <x:c r="C972" s="11"/>
      <x:c r="D972" s="11"/>
      <x:c r="E972" s="11"/>
      <x:c r="F972" s="11"/>
      <x:c r="G972" s="11"/>
      <x:c r="H972" s="11"/>
      <x:c r="I972" s="11"/>
      <x:c r="J972" s="11"/>
      <x:c r="K972" s="12" t="str">
        <x:f>IF(A972="","",E972*F972+G972*H972+I972*J972)</x:f>
      </x:c>
      <x:c r="L972" s="9"/>
      <x:c r="M972" s="9" t="str">
        <x:f>IF(A972="","",INDEX('입고대장'!$M$7:$M$1006,MATCH(A972,'입고대장'!$A$7:$A$1006,0)))</x:f>
      </x:c>
      <x:c r="N972" s="9"/>
    </x:row>
    <x:row r="973" ht="23" customHeight="1">
      <x:c r="A973" s="9"/>
      <x:c r="B973" s="10"/>
      <x:c r="C973" s="11"/>
      <x:c r="D973" s="11"/>
      <x:c r="E973" s="11"/>
      <x:c r="F973" s="11"/>
      <x:c r="G973" s="11"/>
      <x:c r="H973" s="11"/>
      <x:c r="I973" s="11"/>
      <x:c r="J973" s="11"/>
      <x:c r="K973" s="12" t="str">
        <x:f>IF(A973="","",E973*F973+G973*H973+I973*J973)</x:f>
      </x:c>
      <x:c r="L973" s="9"/>
      <x:c r="M973" s="9" t="str">
        <x:f>IF(A973="","",INDEX('입고대장'!$M$7:$M$1006,MATCH(A973,'입고대장'!$A$7:$A$1006,0)))</x:f>
      </x:c>
      <x:c r="N973" s="9"/>
    </x:row>
    <x:row r="974" ht="23" customHeight="1">
      <x:c r="A974" s="9"/>
      <x:c r="B974" s="10"/>
      <x:c r="C974" s="11"/>
      <x:c r="D974" s="11"/>
      <x:c r="E974" s="11"/>
      <x:c r="F974" s="11"/>
      <x:c r="G974" s="11"/>
      <x:c r="H974" s="11"/>
      <x:c r="I974" s="11"/>
      <x:c r="J974" s="11"/>
      <x:c r="K974" s="12" t="str">
        <x:f>IF(A974="","",E974*F974+G974*H974+I974*J974)</x:f>
      </x:c>
      <x:c r="L974" s="9"/>
      <x:c r="M974" s="9" t="str">
        <x:f>IF(A974="","",INDEX('입고대장'!$M$7:$M$1006,MATCH(A974,'입고대장'!$A$7:$A$1006,0)))</x:f>
      </x:c>
      <x:c r="N974" s="9"/>
    </x:row>
    <x:row r="975" ht="23" customHeight="1">
      <x:c r="A975" s="9"/>
      <x:c r="B975" s="10"/>
      <x:c r="C975" s="11"/>
      <x:c r="D975" s="11"/>
      <x:c r="E975" s="11"/>
      <x:c r="F975" s="11"/>
      <x:c r="G975" s="11"/>
      <x:c r="H975" s="11"/>
      <x:c r="I975" s="11"/>
      <x:c r="J975" s="11"/>
      <x:c r="K975" s="12" t="str">
        <x:f>IF(A975="","",E975*F975+G975*H975+I975*J975)</x:f>
      </x:c>
      <x:c r="L975" s="9"/>
      <x:c r="M975" s="9" t="str">
        <x:f>IF(A975="","",INDEX('입고대장'!$M$7:$M$1006,MATCH(A975,'입고대장'!$A$7:$A$1006,0)))</x:f>
      </x:c>
      <x:c r="N975" s="9"/>
    </x:row>
    <x:row r="976" ht="23" customHeight="1">
      <x:c r="A976" s="9"/>
      <x:c r="B976" s="10"/>
      <x:c r="C976" s="11"/>
      <x:c r="D976" s="11"/>
      <x:c r="E976" s="11"/>
      <x:c r="F976" s="11"/>
      <x:c r="G976" s="11"/>
      <x:c r="H976" s="11"/>
      <x:c r="I976" s="11"/>
      <x:c r="J976" s="11"/>
      <x:c r="K976" s="12" t="str">
        <x:f>IF(A976="","",E976*F976+G976*H976+I976*J976)</x:f>
      </x:c>
      <x:c r="L976" s="9"/>
      <x:c r="M976" s="9" t="str">
        <x:f>IF(A976="","",INDEX('입고대장'!$M$7:$M$1006,MATCH(A976,'입고대장'!$A$7:$A$1006,0)))</x:f>
      </x:c>
      <x:c r="N976" s="9"/>
    </x:row>
    <x:row r="977" ht="23" customHeight="1">
      <x:c r="A977" s="9"/>
      <x:c r="B977" s="10"/>
      <x:c r="C977" s="11"/>
      <x:c r="D977" s="11"/>
      <x:c r="E977" s="11"/>
      <x:c r="F977" s="11"/>
      <x:c r="G977" s="11"/>
      <x:c r="H977" s="11"/>
      <x:c r="I977" s="11"/>
      <x:c r="J977" s="11"/>
      <x:c r="K977" s="12" t="str">
        <x:f>IF(A977="","",E977*F977+G977*H977+I977*J977)</x:f>
      </x:c>
      <x:c r="L977" s="9"/>
      <x:c r="M977" s="9" t="str">
        <x:f>IF(A977="","",INDEX('입고대장'!$M$7:$M$1006,MATCH(A977,'입고대장'!$A$7:$A$1006,0)))</x:f>
      </x:c>
      <x:c r="N977" s="9"/>
    </x:row>
    <x:row r="978" ht="23" customHeight="1">
      <x:c r="A978" s="9"/>
      <x:c r="B978" s="10"/>
      <x:c r="C978" s="11"/>
      <x:c r="D978" s="11"/>
      <x:c r="E978" s="11"/>
      <x:c r="F978" s="11"/>
      <x:c r="G978" s="11"/>
      <x:c r="H978" s="11"/>
      <x:c r="I978" s="11"/>
      <x:c r="J978" s="11"/>
      <x:c r="K978" s="12" t="str">
        <x:f>IF(A978="","",E978*F978+G978*H978+I978*J978)</x:f>
      </x:c>
      <x:c r="L978" s="9"/>
      <x:c r="M978" s="9" t="str">
        <x:f>IF(A978="","",INDEX('입고대장'!$M$7:$M$1006,MATCH(A978,'입고대장'!$A$7:$A$1006,0)))</x:f>
      </x:c>
      <x:c r="N978" s="9"/>
    </x:row>
    <x:row r="979" ht="23" customHeight="1">
      <x:c r="A979" s="9"/>
      <x:c r="B979" s="10"/>
      <x:c r="C979" s="11"/>
      <x:c r="D979" s="11"/>
      <x:c r="E979" s="11"/>
      <x:c r="F979" s="11"/>
      <x:c r="G979" s="11"/>
      <x:c r="H979" s="11"/>
      <x:c r="I979" s="11"/>
      <x:c r="J979" s="11"/>
      <x:c r="K979" s="12" t="str">
        <x:f>IF(A979="","",E979*F979+G979*H979+I979*J979)</x:f>
      </x:c>
      <x:c r="L979" s="9"/>
      <x:c r="M979" s="9" t="str">
        <x:f>IF(A979="","",INDEX('입고대장'!$M$7:$M$1006,MATCH(A979,'입고대장'!$A$7:$A$1006,0)))</x:f>
      </x:c>
      <x:c r="N979" s="9"/>
    </x:row>
    <x:row r="980" ht="23" customHeight="1">
      <x:c r="A980" s="9"/>
      <x:c r="B980" s="10"/>
      <x:c r="C980" s="11"/>
      <x:c r="D980" s="11"/>
      <x:c r="E980" s="11"/>
      <x:c r="F980" s="11"/>
      <x:c r="G980" s="11"/>
      <x:c r="H980" s="11"/>
      <x:c r="I980" s="11"/>
      <x:c r="J980" s="11"/>
      <x:c r="K980" s="12" t="str">
        <x:f>IF(A980="","",E980*F980+G980*H980+I980*J980)</x:f>
      </x:c>
      <x:c r="L980" s="9"/>
      <x:c r="M980" s="9" t="str">
        <x:f>IF(A980="","",INDEX('입고대장'!$M$7:$M$1006,MATCH(A980,'입고대장'!$A$7:$A$1006,0)))</x:f>
      </x:c>
      <x:c r="N980" s="9"/>
    </x:row>
    <x:row r="981" ht="23" customHeight="1">
      <x:c r="A981" s="9"/>
      <x:c r="B981" s="10"/>
      <x:c r="C981" s="11"/>
      <x:c r="D981" s="11"/>
      <x:c r="E981" s="11"/>
      <x:c r="F981" s="11"/>
      <x:c r="G981" s="11"/>
      <x:c r="H981" s="11"/>
      <x:c r="I981" s="11"/>
      <x:c r="J981" s="11"/>
      <x:c r="K981" s="12" t="str">
        <x:f>IF(A981="","",E981*F981+G981*H981+I981*J981)</x:f>
      </x:c>
      <x:c r="L981" s="9"/>
      <x:c r="M981" s="9" t="str">
        <x:f>IF(A981="","",INDEX('입고대장'!$M$7:$M$1006,MATCH(A981,'입고대장'!$A$7:$A$1006,0)))</x:f>
      </x:c>
      <x:c r="N981" s="9"/>
    </x:row>
    <x:row r="982" ht="23" customHeight="1">
      <x:c r="A982" s="9"/>
      <x:c r="B982" s="10"/>
      <x:c r="C982" s="11"/>
      <x:c r="D982" s="11"/>
      <x:c r="E982" s="11"/>
      <x:c r="F982" s="11"/>
      <x:c r="G982" s="11"/>
      <x:c r="H982" s="11"/>
      <x:c r="I982" s="11"/>
      <x:c r="J982" s="11"/>
      <x:c r="K982" s="12" t="str">
        <x:f>IF(A982="","",E982*F982+G982*H982+I982*J982)</x:f>
      </x:c>
      <x:c r="L982" s="9"/>
      <x:c r="M982" s="9" t="str">
        <x:f>IF(A982="","",INDEX('입고대장'!$M$7:$M$1006,MATCH(A982,'입고대장'!$A$7:$A$1006,0)))</x:f>
      </x:c>
      <x:c r="N982" s="9"/>
    </x:row>
    <x:row r="983" ht="23" customHeight="1">
      <x:c r="A983" s="9"/>
      <x:c r="B983" s="10"/>
      <x:c r="C983" s="11"/>
      <x:c r="D983" s="11"/>
      <x:c r="E983" s="11"/>
      <x:c r="F983" s="11"/>
      <x:c r="G983" s="11"/>
      <x:c r="H983" s="11"/>
      <x:c r="I983" s="11"/>
      <x:c r="J983" s="11"/>
      <x:c r="K983" s="12" t="str">
        <x:f>IF(A983="","",E983*F983+G983*H983+I983*J983)</x:f>
      </x:c>
      <x:c r="L983" s="9"/>
      <x:c r="M983" s="9" t="str">
        <x:f>IF(A983="","",INDEX('입고대장'!$M$7:$M$1006,MATCH(A983,'입고대장'!$A$7:$A$1006,0)))</x:f>
      </x:c>
      <x:c r="N983" s="9"/>
    </x:row>
    <x:row r="984" ht="23" customHeight="1">
      <x:c r="A984" s="9"/>
      <x:c r="B984" s="10"/>
      <x:c r="C984" s="11"/>
      <x:c r="D984" s="11"/>
      <x:c r="E984" s="11"/>
      <x:c r="F984" s="11"/>
      <x:c r="G984" s="11"/>
      <x:c r="H984" s="11"/>
      <x:c r="I984" s="11"/>
      <x:c r="J984" s="11"/>
      <x:c r="K984" s="12" t="str">
        <x:f>IF(A984="","",E984*F984+G984*H984+I984*J984)</x:f>
      </x:c>
      <x:c r="L984" s="9"/>
      <x:c r="M984" s="9" t="str">
        <x:f>IF(A984="","",INDEX('입고대장'!$M$7:$M$1006,MATCH(A984,'입고대장'!$A$7:$A$1006,0)))</x:f>
      </x:c>
      <x:c r="N984" s="9"/>
    </x:row>
    <x:row r="985" ht="23" customHeight="1">
      <x:c r="A985" s="9"/>
      <x:c r="B985" s="10"/>
      <x:c r="C985" s="11"/>
      <x:c r="D985" s="11"/>
      <x:c r="E985" s="11"/>
      <x:c r="F985" s="11"/>
      <x:c r="G985" s="11"/>
      <x:c r="H985" s="11"/>
      <x:c r="I985" s="11"/>
      <x:c r="J985" s="11"/>
      <x:c r="K985" s="12" t="str">
        <x:f>IF(A985="","",E985*F985+G985*H985+I985*J985)</x:f>
      </x:c>
      <x:c r="L985" s="9"/>
      <x:c r="M985" s="9" t="str">
        <x:f>IF(A985="","",INDEX('입고대장'!$M$7:$M$1006,MATCH(A985,'입고대장'!$A$7:$A$1006,0)))</x:f>
      </x:c>
      <x:c r="N985" s="9"/>
    </x:row>
    <x:row r="986" ht="23" customHeight="1">
      <x:c r="A986" s="9"/>
      <x:c r="B986" s="10"/>
      <x:c r="C986" s="11"/>
      <x:c r="D986" s="11"/>
      <x:c r="E986" s="11"/>
      <x:c r="F986" s="11"/>
      <x:c r="G986" s="11"/>
      <x:c r="H986" s="11"/>
      <x:c r="I986" s="11"/>
      <x:c r="J986" s="11"/>
      <x:c r="K986" s="12" t="str">
        <x:f>IF(A986="","",E986*F986+G986*H986+I986*J986)</x:f>
      </x:c>
      <x:c r="L986" s="9"/>
      <x:c r="M986" s="9" t="str">
        <x:f>IF(A986="","",INDEX('입고대장'!$M$7:$M$1006,MATCH(A986,'입고대장'!$A$7:$A$1006,0)))</x:f>
      </x:c>
      <x:c r="N986" s="9"/>
    </x:row>
    <x:row r="987" ht="23" customHeight="1">
      <x:c r="A987" s="9"/>
      <x:c r="B987" s="10"/>
      <x:c r="C987" s="11"/>
      <x:c r="D987" s="11"/>
      <x:c r="E987" s="11"/>
      <x:c r="F987" s="11"/>
      <x:c r="G987" s="11"/>
      <x:c r="H987" s="11"/>
      <x:c r="I987" s="11"/>
      <x:c r="J987" s="11"/>
      <x:c r="K987" s="12" t="str">
        <x:f>IF(A987="","",E987*F987+G987*H987+I987*J987)</x:f>
      </x:c>
      <x:c r="L987" s="9"/>
      <x:c r="M987" s="9" t="str">
        <x:f>IF(A987="","",INDEX('입고대장'!$M$7:$M$1006,MATCH(A987,'입고대장'!$A$7:$A$1006,0)))</x:f>
      </x:c>
      <x:c r="N987" s="9"/>
    </x:row>
    <x:row r="988" ht="23" customHeight="1">
      <x:c r="A988" s="9"/>
      <x:c r="B988" s="10"/>
      <x:c r="C988" s="11"/>
      <x:c r="D988" s="11"/>
      <x:c r="E988" s="11"/>
      <x:c r="F988" s="11"/>
      <x:c r="G988" s="11"/>
      <x:c r="H988" s="11"/>
      <x:c r="I988" s="11"/>
      <x:c r="J988" s="11"/>
      <x:c r="K988" s="12" t="str">
        <x:f>IF(A988="","",E988*F988+G988*H988+I988*J988)</x:f>
      </x:c>
      <x:c r="L988" s="9"/>
      <x:c r="M988" s="9" t="str">
        <x:f>IF(A988="","",INDEX('입고대장'!$M$7:$M$1006,MATCH(A988,'입고대장'!$A$7:$A$1006,0)))</x:f>
      </x:c>
      <x:c r="N988" s="9"/>
    </x:row>
    <x:row r="989" ht="23" customHeight="1">
      <x:c r="A989" s="9"/>
      <x:c r="B989" s="10"/>
      <x:c r="C989" s="11"/>
      <x:c r="D989" s="11"/>
      <x:c r="E989" s="11"/>
      <x:c r="F989" s="11"/>
      <x:c r="G989" s="11"/>
      <x:c r="H989" s="11"/>
      <x:c r="I989" s="11"/>
      <x:c r="J989" s="11"/>
      <x:c r="K989" s="12" t="str">
        <x:f>IF(A989="","",E989*F989+G989*H989+I989*J989)</x:f>
      </x:c>
      <x:c r="L989" s="9"/>
      <x:c r="M989" s="9" t="str">
        <x:f>IF(A989="","",INDEX('입고대장'!$M$7:$M$1006,MATCH(A989,'입고대장'!$A$7:$A$1006,0)))</x:f>
      </x:c>
      <x:c r="N989" s="9"/>
    </x:row>
    <x:row r="990" ht="23" customHeight="1">
      <x:c r="A990" s="9"/>
      <x:c r="B990" s="10"/>
      <x:c r="C990" s="11"/>
      <x:c r="D990" s="11"/>
      <x:c r="E990" s="11"/>
      <x:c r="F990" s="11"/>
      <x:c r="G990" s="11"/>
      <x:c r="H990" s="11"/>
      <x:c r="I990" s="11"/>
      <x:c r="J990" s="11"/>
      <x:c r="K990" s="12" t="str">
        <x:f>IF(A990="","",E990*F990+G990*H990+I990*J990)</x:f>
      </x:c>
      <x:c r="L990" s="9"/>
      <x:c r="M990" s="9" t="str">
        <x:f>IF(A990="","",INDEX('입고대장'!$M$7:$M$1006,MATCH(A990,'입고대장'!$A$7:$A$1006,0)))</x:f>
      </x:c>
      <x:c r="N990" s="9"/>
    </x:row>
    <x:row r="991" ht="23" customHeight="1">
      <x:c r="A991" s="9"/>
      <x:c r="B991" s="10"/>
      <x:c r="C991" s="11"/>
      <x:c r="D991" s="11"/>
      <x:c r="E991" s="11"/>
      <x:c r="F991" s="11"/>
      <x:c r="G991" s="11"/>
      <x:c r="H991" s="11"/>
      <x:c r="I991" s="11"/>
      <x:c r="J991" s="11"/>
      <x:c r="K991" s="12" t="str">
        <x:f>IF(A991="","",E991*F991+G991*H991+I991*J991)</x:f>
      </x:c>
      <x:c r="L991" s="9"/>
      <x:c r="M991" s="9" t="str">
        <x:f>IF(A991="","",INDEX('입고대장'!$M$7:$M$1006,MATCH(A991,'입고대장'!$A$7:$A$1006,0)))</x:f>
      </x:c>
      <x:c r="N991" s="9"/>
    </x:row>
    <x:row r="992" ht="23" customHeight="1">
      <x:c r="A992" s="9"/>
      <x:c r="B992" s="10"/>
      <x:c r="C992" s="11"/>
      <x:c r="D992" s="11"/>
      <x:c r="E992" s="11"/>
      <x:c r="F992" s="11"/>
      <x:c r="G992" s="11"/>
      <x:c r="H992" s="11"/>
      <x:c r="I992" s="11"/>
      <x:c r="J992" s="11"/>
      <x:c r="K992" s="12" t="str">
        <x:f>IF(A992="","",E992*F992+G992*H992+I992*J992)</x:f>
      </x:c>
      <x:c r="L992" s="9"/>
      <x:c r="M992" s="9" t="str">
        <x:f>IF(A992="","",INDEX('입고대장'!$M$7:$M$1006,MATCH(A992,'입고대장'!$A$7:$A$1006,0)))</x:f>
      </x:c>
      <x:c r="N992" s="9"/>
    </x:row>
    <x:row r="993" ht="23" customHeight="1">
      <x:c r="A993" s="9"/>
      <x:c r="B993" s="10"/>
      <x:c r="C993" s="11"/>
      <x:c r="D993" s="11"/>
      <x:c r="E993" s="11"/>
      <x:c r="F993" s="11"/>
      <x:c r="G993" s="11"/>
      <x:c r="H993" s="11"/>
      <x:c r="I993" s="11"/>
      <x:c r="J993" s="11"/>
      <x:c r="K993" s="12" t="str">
        <x:f>IF(A993="","",E993*F993+G993*H993+I993*J993)</x:f>
      </x:c>
      <x:c r="L993" s="9"/>
      <x:c r="M993" s="9" t="str">
        <x:f>IF(A993="","",INDEX('입고대장'!$M$7:$M$1006,MATCH(A993,'입고대장'!$A$7:$A$1006,0)))</x:f>
      </x:c>
      <x:c r="N993" s="9"/>
    </x:row>
    <x:row r="994" ht="23" customHeight="1">
      <x:c r="A994" s="9"/>
      <x:c r="B994" s="10"/>
      <x:c r="C994" s="11"/>
      <x:c r="D994" s="11"/>
      <x:c r="E994" s="11"/>
      <x:c r="F994" s="11"/>
      <x:c r="G994" s="11"/>
      <x:c r="H994" s="11"/>
      <x:c r="I994" s="11"/>
      <x:c r="J994" s="11"/>
      <x:c r="K994" s="12" t="str">
        <x:f>IF(A994="","",E994*F994+G994*H994+I994*J994)</x:f>
      </x:c>
      <x:c r="L994" s="9"/>
      <x:c r="M994" s="9" t="str">
        <x:f>IF(A994="","",INDEX('입고대장'!$M$7:$M$1006,MATCH(A994,'입고대장'!$A$7:$A$1006,0)))</x:f>
      </x:c>
      <x:c r="N994" s="9"/>
    </x:row>
    <x:row r="995" ht="23" customHeight="1">
      <x:c r="A995" s="9"/>
      <x:c r="B995" s="10"/>
      <x:c r="C995" s="11"/>
      <x:c r="D995" s="11"/>
      <x:c r="E995" s="11"/>
      <x:c r="F995" s="11"/>
      <x:c r="G995" s="11"/>
      <x:c r="H995" s="11"/>
      <x:c r="I995" s="11"/>
      <x:c r="J995" s="11"/>
      <x:c r="K995" s="12" t="str">
        <x:f>IF(A995="","",E995*F995+G995*H995+I995*J995)</x:f>
      </x:c>
      <x:c r="L995" s="9"/>
      <x:c r="M995" s="9" t="str">
        <x:f>IF(A995="","",INDEX('입고대장'!$M$7:$M$1006,MATCH(A995,'입고대장'!$A$7:$A$1006,0)))</x:f>
      </x:c>
      <x:c r="N995" s="9"/>
    </x:row>
    <x:row r="996" ht="23" customHeight="1">
      <x:c r="A996" s="9"/>
      <x:c r="B996" s="10"/>
      <x:c r="C996" s="11"/>
      <x:c r="D996" s="11"/>
      <x:c r="E996" s="11"/>
      <x:c r="F996" s="11"/>
      <x:c r="G996" s="11"/>
      <x:c r="H996" s="11"/>
      <x:c r="I996" s="11"/>
      <x:c r="J996" s="11"/>
      <x:c r="K996" s="12" t="str">
        <x:f>IF(A996="","",E996*F996+G996*H996+I996*J996)</x:f>
      </x:c>
      <x:c r="L996" s="9"/>
      <x:c r="M996" s="9" t="str">
        <x:f>IF(A996="","",INDEX('입고대장'!$M$7:$M$1006,MATCH(A996,'입고대장'!$A$7:$A$1006,0)))</x:f>
      </x:c>
      <x:c r="N996" s="9"/>
    </x:row>
    <x:row r="997" ht="23" customHeight="1">
      <x:c r="A997" s="9"/>
      <x:c r="B997" s="10"/>
      <x:c r="C997" s="11"/>
      <x:c r="D997" s="11"/>
      <x:c r="E997" s="11"/>
      <x:c r="F997" s="11"/>
      <x:c r="G997" s="11"/>
      <x:c r="H997" s="11"/>
      <x:c r="I997" s="11"/>
      <x:c r="J997" s="11"/>
      <x:c r="K997" s="12" t="str">
        <x:f>IF(A997="","",E997*F997+G997*H997+I997*J997)</x:f>
      </x:c>
      <x:c r="L997" s="9"/>
      <x:c r="M997" s="9" t="str">
        <x:f>IF(A997="","",INDEX('입고대장'!$M$7:$M$1006,MATCH(A997,'입고대장'!$A$7:$A$1006,0)))</x:f>
      </x:c>
      <x:c r="N997" s="9"/>
    </x:row>
    <x:row r="998" ht="23" customHeight="1">
      <x:c r="A998" s="9"/>
      <x:c r="B998" s="10"/>
      <x:c r="C998" s="11"/>
      <x:c r="D998" s="11"/>
      <x:c r="E998" s="11"/>
      <x:c r="F998" s="11"/>
      <x:c r="G998" s="11"/>
      <x:c r="H998" s="11"/>
      <x:c r="I998" s="11"/>
      <x:c r="J998" s="11"/>
      <x:c r="K998" s="12" t="str">
        <x:f>IF(A998="","",E998*F998+G998*H998+I998*J998)</x:f>
      </x:c>
      <x:c r="L998" s="9"/>
      <x:c r="M998" s="9" t="str">
        <x:f>IF(A998="","",INDEX('입고대장'!$M$7:$M$1006,MATCH(A998,'입고대장'!$A$7:$A$1006,0)))</x:f>
      </x:c>
      <x:c r="N998" s="9"/>
    </x:row>
    <x:row r="999" ht="23" customHeight="1">
      <x:c r="A999" s="9"/>
      <x:c r="B999" s="10"/>
      <x:c r="C999" s="11"/>
      <x:c r="D999" s="11"/>
      <x:c r="E999" s="11"/>
      <x:c r="F999" s="11"/>
      <x:c r="G999" s="11"/>
      <x:c r="H999" s="11"/>
      <x:c r="I999" s="11"/>
      <x:c r="J999" s="11"/>
      <x:c r="K999" s="12" t="str">
        <x:f>IF(A999="","",E999*F999+G999*H999+I999*J999)</x:f>
      </x:c>
      <x:c r="L999" s="9"/>
      <x:c r="M999" s="9" t="str">
        <x:f>IF(A999="","",INDEX('입고대장'!$M$7:$M$1006,MATCH(A999,'입고대장'!$A$7:$A$1006,0)))</x:f>
      </x:c>
      <x:c r="N999" s="9"/>
    </x:row>
    <x:row r="1000" ht="23" customHeight="1">
      <x:c r="A1000" s="9"/>
      <x:c r="B1000" s="10"/>
      <x:c r="C1000" s="11"/>
      <x:c r="D1000" s="11"/>
      <x:c r="E1000" s="11"/>
      <x:c r="F1000" s="11"/>
      <x:c r="G1000" s="11"/>
      <x:c r="H1000" s="11"/>
      <x:c r="I1000" s="11"/>
      <x:c r="J1000" s="11"/>
      <x:c r="K1000" s="12" t="str">
        <x:f>IF(A1000="","",E1000*F1000+G1000*H1000+I1000*J1000)</x:f>
      </x:c>
      <x:c r="L1000" s="9"/>
      <x:c r="M1000" s="9" t="str">
        <x:f>IF(A1000="","",INDEX('입고대장'!$M$7:$M$1006,MATCH(A1000,'입고대장'!$A$7:$A$1006,0)))</x:f>
      </x:c>
      <x:c r="N1000" s="9"/>
    </x:row>
    <x:row r="1001" ht="23" customHeight="1">
      <x:c r="A1001" s="9"/>
      <x:c r="B1001" s="10"/>
      <x:c r="C1001" s="11"/>
      <x:c r="D1001" s="11"/>
      <x:c r="E1001" s="11"/>
      <x:c r="F1001" s="11"/>
      <x:c r="G1001" s="11"/>
      <x:c r="H1001" s="11"/>
      <x:c r="I1001" s="11"/>
      <x:c r="J1001" s="11"/>
      <x:c r="K1001" s="12" t="str">
        <x:f>IF(A1001="","",E1001*F1001+G1001*H1001+I1001*J1001)</x:f>
      </x:c>
      <x:c r="L1001" s="9"/>
      <x:c r="M1001" s="9" t="str">
        <x:f>IF(A1001="","",INDEX('입고대장'!$M$7:$M$1006,MATCH(A1001,'입고대장'!$A$7:$A$1006,0)))</x:f>
      </x:c>
      <x:c r="N1001" s="9"/>
    </x:row>
    <x:row r="1002" ht="23" customHeight="1">
      <x:c r="A1002" s="9"/>
      <x:c r="B1002" s="10"/>
      <x:c r="C1002" s="11"/>
      <x:c r="D1002" s="11"/>
      <x:c r="E1002" s="11"/>
      <x:c r="F1002" s="11"/>
      <x:c r="G1002" s="11"/>
      <x:c r="H1002" s="11"/>
      <x:c r="I1002" s="11"/>
      <x:c r="J1002" s="11"/>
      <x:c r="K1002" s="12" t="str">
        <x:f>IF(A1002="","",E1002*F1002+G1002*H1002+I1002*J1002)</x:f>
      </x:c>
      <x:c r="L1002" s="9"/>
      <x:c r="M1002" s="9" t="str">
        <x:f>IF(A1002="","",INDEX('입고대장'!$M$7:$M$1006,MATCH(A1002,'입고대장'!$A$7:$A$1006,0)))</x:f>
      </x:c>
      <x:c r="N1002" s="9"/>
    </x:row>
    <x:row r="1003" ht="23" customHeight="1">
      <x:c r="A1003" s="9"/>
      <x:c r="B1003" s="10"/>
      <x:c r="C1003" s="11"/>
      <x:c r="D1003" s="11"/>
      <x:c r="E1003" s="11"/>
      <x:c r="F1003" s="11"/>
      <x:c r="G1003" s="11"/>
      <x:c r="H1003" s="11"/>
      <x:c r="I1003" s="11"/>
      <x:c r="J1003" s="11"/>
      <x:c r="K1003" s="12" t="str">
        <x:f>IF(A1003="","",E1003*F1003+G1003*H1003+I1003*J1003)</x:f>
      </x:c>
      <x:c r="L1003" s="9"/>
      <x:c r="M1003" s="9" t="str">
        <x:f>IF(A1003="","",INDEX('입고대장'!$M$7:$M$1006,MATCH(A1003,'입고대장'!$A$7:$A$1006,0)))</x:f>
      </x:c>
      <x:c r="N1003" s="9"/>
    </x:row>
    <x:row r="1004" ht="23" customHeight="1">
      <x:c r="A1004" s="9"/>
      <x:c r="B1004" s="10"/>
      <x:c r="C1004" s="11"/>
      <x:c r="D1004" s="11"/>
      <x:c r="E1004" s="11"/>
      <x:c r="F1004" s="11"/>
      <x:c r="G1004" s="11"/>
      <x:c r="H1004" s="11"/>
      <x:c r="I1004" s="11"/>
      <x:c r="J1004" s="11"/>
      <x:c r="K1004" s="12" t="str">
        <x:f>IF(A1004="","",E1004*F1004+G1004*H1004+I1004*J1004)</x:f>
      </x:c>
      <x:c r="L1004" s="9"/>
      <x:c r="M1004" s="9" t="str">
        <x:f>IF(A1004="","",INDEX('입고대장'!$M$7:$M$1006,MATCH(A1004,'입고대장'!$A$7:$A$1006,0)))</x:f>
      </x:c>
      <x:c r="N1004" s="9"/>
    </x:row>
    <x:row r="1005" ht="23" customHeight="1">
      <x:c r="A1005" s="9"/>
      <x:c r="B1005" s="10"/>
      <x:c r="C1005" s="11"/>
      <x:c r="D1005" s="11"/>
      <x:c r="E1005" s="11"/>
      <x:c r="F1005" s="11"/>
      <x:c r="G1005" s="11"/>
      <x:c r="H1005" s="11"/>
      <x:c r="I1005" s="11"/>
      <x:c r="J1005" s="11"/>
      <x:c r="K1005" s="12" t="str">
        <x:f>IF(A1005="","",E1005*F1005+G1005*H1005+I1005*J1005)</x:f>
      </x:c>
      <x:c r="L1005" s="9"/>
      <x:c r="M1005" s="9" t="str">
        <x:f>IF(A1005="","",INDEX('입고대장'!$M$7:$M$1006,MATCH(A1005,'입고대장'!$A$7:$A$1006,0)))</x:f>
      </x:c>
      <x:c r="N1005" s="9"/>
    </x:row>
    <x:row r="1006" ht="23" customHeight="1">
      <x:c r="A1006" s="9"/>
      <x:c r="B1006" s="10"/>
      <x:c r="C1006" s="11"/>
      <x:c r="D1006" s="11"/>
      <x:c r="E1006" s="11"/>
      <x:c r="F1006" s="11"/>
      <x:c r="G1006" s="11"/>
      <x:c r="H1006" s="11"/>
      <x:c r="I1006" s="11"/>
      <x:c r="J1006" s="11"/>
      <x:c r="K1006" s="12" t="str">
        <x:f>IF(A1006="","",E1006*F1006+G1006*H1006+I1006*J1006)</x:f>
      </x:c>
      <x:c r="L1006" s="9"/>
      <x:c r="M1006" s="9" t="str">
        <x:f>IF(A1006="","",INDEX('입고대장'!$M$7:$M$1006,MATCH(A1006,'입고대장'!$A$7:$A$1006,0)))</x:f>
      </x:c>
      <x:c r="N1006" s="9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31" hidden="0" customWidth="1"/>
    <x:col min="2" max="2" width="15" hidden="0" customWidth="1"/>
    <x:col min="3" max="3" width="18" hidden="0" customWidth="1"/>
    <x:col min="4" max="4" width="40" hidden="0" customWidth="1"/>
    <x:col min="5" max="5" width="13" hidden="0" customWidth="1"/>
    <x:col min="6" max="6" width="30" hidden="0" customWidth="1"/>
    <x:col min="7" max="7" width="13" hidden="0" customWidth="1"/>
    <x:col min="8" max="8" width="42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3" customHeight="1">
      <x:c r="A2" s="3" t="str">
        <x:v>서울마우스 입금대장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3" customHeight="1">
      <x:c r="A3" s="4" t="str">
        <x:v>서버 저장자료의 사본입니다. 엑셀 수정은 서버에 반영되지 않습니다.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38" customHeight="1">
      <x:c r="A6" s="8" t="str">
        <x:v>접수번호</x:v>
      </x:c>
      <x:c r="B6" s="8" t="str">
        <x:v>입금일</x:v>
      </x:c>
      <x:c r="C6" s="8" t="str">
        <x:v>입금액</x:v>
      </x:c>
      <x:c r="D6" s="8" t="str">
        <x:v>입금 메모</x:v>
      </x:c>
      <x:c r="E6" s="8" t="str">
        <x:v>입금 상태</x:v>
      </x:c>
      <x:c r="F6" s="8" t="str">
        <x:v>취소 사유</x:v>
      </x:c>
      <x:c r="G6" s="8" t="str">
        <x:v>입고 상태</x:v>
      </x:c>
      <x:c r="H6" s="8" t="str">
        <x:v>입금 ID</x:v>
      </x:c>
      <x:c r="I6" s="2"/>
      <x:c r="J6" s="2"/>
      <x:c r="K6" s="2"/>
      <x:c r="L6" s="2"/>
      <x:c r="M6" s="2"/>
      <x:c r="N6" s="2"/>
    </x:row>
    <x:row r="7" ht="23" customHeight="1">
      <x:c r="A7" s="9"/>
      <x:c r="B7" s="10"/>
      <x:c r="C7" s="14"/>
      <x:c r="D7" s="9"/>
      <x:c r="E7" s="9"/>
      <x:c r="F7" s="9"/>
      <x:c r="G7" s="9" t="str">
        <x:f>IF(A7="","",INDEX('입고대장'!$M$7:$M$1006,MATCH(A7,'입고대장'!$A$7:$A$1006,0)))</x:f>
      </x:c>
      <x:c r="H7" s="9"/>
      <x:c r="I7" s="2"/>
      <x:c r="J7" s="2"/>
      <x:c r="K7" s="2"/>
      <x:c r="L7" s="2"/>
      <x:c r="M7" s="2"/>
      <x:c r="N7" s="2"/>
    </x:row>
    <x:row r="8" ht="23" customHeight="1">
      <x:c r="A8" s="9"/>
      <x:c r="B8" s="10"/>
      <x:c r="C8" s="14"/>
      <x:c r="D8" s="9"/>
      <x:c r="E8" s="9"/>
      <x:c r="F8" s="9"/>
      <x:c r="G8" s="9" t="str">
        <x:f>IF(A8="","",INDEX('입고대장'!$M$7:$M$1006,MATCH(A8,'입고대장'!$A$7:$A$1006,0)))</x:f>
      </x:c>
      <x:c r="H8" s="9"/>
      <x:c r="I8" s="2"/>
      <x:c r="J8" s="2"/>
      <x:c r="K8" s="2"/>
      <x:c r="L8" s="2"/>
      <x:c r="M8" s="2"/>
      <x:c r="N8" s="2"/>
    </x:row>
    <x:row r="9" ht="23" customHeight="1">
      <x:c r="A9" s="9"/>
      <x:c r="B9" s="10"/>
      <x:c r="C9" s="14"/>
      <x:c r="D9" s="9"/>
      <x:c r="E9" s="9"/>
      <x:c r="F9" s="9"/>
      <x:c r="G9" s="9" t="str">
        <x:f>IF(A9="","",INDEX('입고대장'!$M$7:$M$1006,MATCH(A9,'입고대장'!$A$7:$A$1006,0)))</x:f>
      </x:c>
      <x:c r="H9" s="9"/>
      <x:c r="I9" s="2"/>
      <x:c r="J9" s="2"/>
      <x:c r="K9" s="2"/>
      <x:c r="L9" s="2"/>
      <x:c r="M9" s="2"/>
      <x:c r="N9" s="2"/>
    </x:row>
    <x:row r="10" ht="23" customHeight="1">
      <x:c r="A10" s="9"/>
      <x:c r="B10" s="10"/>
      <x:c r="C10" s="14"/>
      <x:c r="D10" s="9"/>
      <x:c r="E10" s="9"/>
      <x:c r="F10" s="9"/>
      <x:c r="G10" s="9" t="str">
        <x:f>IF(A10="","",INDEX('입고대장'!$M$7:$M$1006,MATCH(A10,'입고대장'!$A$7:$A$1006,0)))</x:f>
      </x:c>
      <x:c r="H10" s="9"/>
      <x:c r="I10" s="2"/>
      <x:c r="J10" s="2"/>
      <x:c r="K10" s="2"/>
      <x:c r="L10" s="2"/>
      <x:c r="M10" s="2"/>
      <x:c r="N10" s="2"/>
    </x:row>
    <x:row r="11" ht="23" customHeight="1">
      <x:c r="A11" s="9"/>
      <x:c r="B11" s="10"/>
      <x:c r="C11" s="14"/>
      <x:c r="D11" s="9"/>
      <x:c r="E11" s="9"/>
      <x:c r="F11" s="9"/>
      <x:c r="G11" s="9" t="str">
        <x:f>IF(A11="","",INDEX('입고대장'!$M$7:$M$1006,MATCH(A11,'입고대장'!$A$7:$A$1006,0)))</x:f>
      </x:c>
      <x:c r="H11" s="9"/>
      <x:c r="I11" s="2"/>
      <x:c r="J11" s="2"/>
      <x:c r="K11" s="2"/>
      <x:c r="L11" s="2"/>
      <x:c r="M11" s="2"/>
      <x:c r="N11" s="2"/>
    </x:row>
    <x:row r="12" ht="23" customHeight="1">
      <x:c r="A12" s="9"/>
      <x:c r="B12" s="10"/>
      <x:c r="C12" s="14"/>
      <x:c r="D12" s="9"/>
      <x:c r="E12" s="9"/>
      <x:c r="F12" s="9"/>
      <x:c r="G12" s="9" t="str">
        <x:f>IF(A12="","",INDEX('입고대장'!$M$7:$M$1006,MATCH(A12,'입고대장'!$A$7:$A$1006,0)))</x:f>
      </x:c>
      <x:c r="H12" s="9"/>
      <x:c r="I12" s="2"/>
      <x:c r="J12" s="2"/>
      <x:c r="K12" s="2"/>
      <x:c r="L12" s="2"/>
      <x:c r="M12" s="2"/>
      <x:c r="N12" s="2"/>
    </x:row>
    <x:row r="13" ht="23" customHeight="1">
      <x:c r="A13" s="9"/>
      <x:c r="B13" s="10"/>
      <x:c r="C13" s="14"/>
      <x:c r="D13" s="9"/>
      <x:c r="E13" s="9"/>
      <x:c r="F13" s="9"/>
      <x:c r="G13" s="9" t="str">
        <x:f>IF(A13="","",INDEX('입고대장'!$M$7:$M$1006,MATCH(A13,'입고대장'!$A$7:$A$1006,0)))</x:f>
      </x:c>
      <x:c r="H13" s="9"/>
      <x:c r="I13" s="2"/>
      <x:c r="J13" s="2"/>
      <x:c r="K13" s="2"/>
      <x:c r="L13" s="2"/>
      <x:c r="M13" s="2"/>
      <x:c r="N13" s="2"/>
    </x:row>
    <x:row r="14" ht="23" customHeight="1">
      <x:c r="A14" s="9"/>
      <x:c r="B14" s="10"/>
      <x:c r="C14" s="14"/>
      <x:c r="D14" s="9"/>
      <x:c r="E14" s="9"/>
      <x:c r="F14" s="9"/>
      <x:c r="G14" s="9" t="str">
        <x:f>IF(A14="","",INDEX('입고대장'!$M$7:$M$1006,MATCH(A14,'입고대장'!$A$7:$A$1006,0)))</x:f>
      </x:c>
      <x:c r="H14" s="9"/>
      <x:c r="I14" s="2"/>
      <x:c r="J14" s="2"/>
      <x:c r="K14" s="2"/>
      <x:c r="L14" s="2"/>
      <x:c r="M14" s="2"/>
      <x:c r="N14" s="2"/>
    </x:row>
    <x:row r="15" ht="23" customHeight="1">
      <x:c r="A15" s="9"/>
      <x:c r="B15" s="10"/>
      <x:c r="C15" s="14"/>
      <x:c r="D15" s="9"/>
      <x:c r="E15" s="9"/>
      <x:c r="F15" s="9"/>
      <x:c r="G15" s="9" t="str">
        <x:f>IF(A15="","",INDEX('입고대장'!$M$7:$M$1006,MATCH(A15,'입고대장'!$A$7:$A$1006,0)))</x:f>
      </x:c>
      <x:c r="H15" s="9"/>
      <x:c r="I15" s="2"/>
      <x:c r="J15" s="2"/>
      <x:c r="K15" s="2"/>
      <x:c r="L15" s="2"/>
      <x:c r="M15" s="2"/>
      <x:c r="N15" s="2"/>
    </x:row>
    <x:row r="16" ht="23" customHeight="1">
      <x:c r="A16" s="9"/>
      <x:c r="B16" s="10"/>
      <x:c r="C16" s="14"/>
      <x:c r="D16" s="9"/>
      <x:c r="E16" s="9"/>
      <x:c r="F16" s="9"/>
      <x:c r="G16" s="9" t="str">
        <x:f>IF(A16="","",INDEX('입고대장'!$M$7:$M$1006,MATCH(A16,'입고대장'!$A$7:$A$1006,0)))</x:f>
      </x:c>
      <x:c r="H16" s="9"/>
      <x:c r="I16" s="2"/>
      <x:c r="J16" s="2"/>
      <x:c r="K16" s="2"/>
      <x:c r="L16" s="2"/>
      <x:c r="M16" s="2"/>
      <x:c r="N16" s="2"/>
    </x:row>
    <x:row r="17" ht="23" customHeight="1">
      <x:c r="A17" s="9"/>
      <x:c r="B17" s="10"/>
      <x:c r="C17" s="14"/>
      <x:c r="D17" s="9"/>
      <x:c r="E17" s="9"/>
      <x:c r="F17" s="9"/>
      <x:c r="G17" s="9" t="str">
        <x:f>IF(A17="","",INDEX('입고대장'!$M$7:$M$1006,MATCH(A17,'입고대장'!$A$7:$A$1006,0)))</x:f>
      </x:c>
      <x:c r="H17" s="9"/>
      <x:c r="I17" s="2"/>
      <x:c r="J17" s="2"/>
      <x:c r="K17" s="2"/>
      <x:c r="L17" s="2"/>
      <x:c r="M17" s="2"/>
      <x:c r="N17" s="2"/>
    </x:row>
    <x:row r="18" ht="23" customHeight="1">
      <x:c r="A18" s="9"/>
      <x:c r="B18" s="10"/>
      <x:c r="C18" s="14"/>
      <x:c r="D18" s="9"/>
      <x:c r="E18" s="9"/>
      <x:c r="F18" s="9"/>
      <x:c r="G18" s="9" t="str">
        <x:f>IF(A18="","",INDEX('입고대장'!$M$7:$M$1006,MATCH(A18,'입고대장'!$A$7:$A$1006,0)))</x:f>
      </x:c>
      <x:c r="H18" s="9"/>
      <x:c r="I18" s="2"/>
      <x:c r="J18" s="2"/>
      <x:c r="K18" s="2"/>
      <x:c r="L18" s="2"/>
      <x:c r="M18" s="2"/>
      <x:c r="N18" s="2"/>
    </x:row>
    <x:row r="19" ht="23" customHeight="1">
      <x:c r="A19" s="9"/>
      <x:c r="B19" s="10"/>
      <x:c r="C19" s="14"/>
      <x:c r="D19" s="9"/>
      <x:c r="E19" s="9"/>
      <x:c r="F19" s="9"/>
      <x:c r="G19" s="9" t="str">
        <x:f>IF(A19="","",INDEX('입고대장'!$M$7:$M$1006,MATCH(A19,'입고대장'!$A$7:$A$1006,0)))</x:f>
      </x:c>
      <x:c r="H19" s="9"/>
      <x:c r="I19" s="2"/>
      <x:c r="J19" s="2"/>
      <x:c r="K19" s="2"/>
      <x:c r="L19" s="2"/>
      <x:c r="M19" s="2"/>
      <x:c r="N19" s="2"/>
    </x:row>
    <x:row r="20" ht="23" customHeight="1">
      <x:c r="A20" s="9"/>
      <x:c r="B20" s="10"/>
      <x:c r="C20" s="14"/>
      <x:c r="D20" s="9"/>
      <x:c r="E20" s="9"/>
      <x:c r="F20" s="9"/>
      <x:c r="G20" s="9" t="str">
        <x:f>IF(A20="","",INDEX('입고대장'!$M$7:$M$1006,MATCH(A20,'입고대장'!$A$7:$A$1006,0)))</x:f>
      </x:c>
      <x:c r="H20" s="9"/>
      <x:c r="I20" s="2"/>
      <x:c r="J20" s="2"/>
      <x:c r="K20" s="2"/>
      <x:c r="L20" s="2"/>
      <x:c r="M20" s="2"/>
      <x:c r="N20" s="2"/>
    </x:row>
    <x:row r="21" ht="23" customHeight="1">
      <x:c r="A21" s="9"/>
      <x:c r="B21" s="10"/>
      <x:c r="C21" s="14"/>
      <x:c r="D21" s="9"/>
      <x:c r="E21" s="9"/>
      <x:c r="F21" s="9"/>
      <x:c r="G21" s="9" t="str">
        <x:f>IF(A21="","",INDEX('입고대장'!$M$7:$M$1006,MATCH(A21,'입고대장'!$A$7:$A$1006,0)))</x:f>
      </x:c>
      <x:c r="H21" s="9"/>
      <x:c r="I21" s="2"/>
      <x:c r="J21" s="2"/>
      <x:c r="K21" s="2"/>
      <x:c r="L21" s="2"/>
      <x:c r="M21" s="2"/>
      <x:c r="N21" s="2"/>
    </x:row>
    <x:row r="22" ht="23" customHeight="1">
      <x:c r="A22" s="9"/>
      <x:c r="B22" s="10"/>
      <x:c r="C22" s="14"/>
      <x:c r="D22" s="9"/>
      <x:c r="E22" s="9"/>
      <x:c r="F22" s="9"/>
      <x:c r="G22" s="9" t="str">
        <x:f>IF(A22="","",INDEX('입고대장'!$M$7:$M$1006,MATCH(A22,'입고대장'!$A$7:$A$1006,0)))</x:f>
      </x:c>
      <x:c r="H22" s="9"/>
      <x:c r="I22" s="2"/>
      <x:c r="J22" s="2"/>
      <x:c r="K22" s="2"/>
      <x:c r="L22" s="2"/>
      <x:c r="M22" s="2"/>
      <x:c r="N22" s="2"/>
    </x:row>
    <x:row r="23" ht="23" customHeight="1">
      <x:c r="A23" s="9"/>
      <x:c r="B23" s="10"/>
      <x:c r="C23" s="14"/>
      <x:c r="D23" s="9"/>
      <x:c r="E23" s="9"/>
      <x:c r="F23" s="9"/>
      <x:c r="G23" s="9" t="str">
        <x:f>IF(A23="","",INDEX('입고대장'!$M$7:$M$1006,MATCH(A23,'입고대장'!$A$7:$A$1006,0)))</x:f>
      </x:c>
      <x:c r="H23" s="9"/>
      <x:c r="I23" s="2"/>
      <x:c r="J23" s="2"/>
      <x:c r="K23" s="2"/>
      <x:c r="L23" s="2"/>
      <x:c r="M23" s="2"/>
      <x:c r="N23" s="2"/>
    </x:row>
    <x:row r="24" ht="23" customHeight="1">
      <x:c r="A24" s="9"/>
      <x:c r="B24" s="10"/>
      <x:c r="C24" s="14"/>
      <x:c r="D24" s="9"/>
      <x:c r="E24" s="9"/>
      <x:c r="F24" s="9"/>
      <x:c r="G24" s="9" t="str">
        <x:f>IF(A24="","",INDEX('입고대장'!$M$7:$M$1006,MATCH(A24,'입고대장'!$A$7:$A$1006,0)))</x:f>
      </x:c>
      <x:c r="H24" s="9"/>
      <x:c r="I24" s="2"/>
      <x:c r="J24" s="2"/>
      <x:c r="K24" s="2"/>
      <x:c r="L24" s="2"/>
      <x:c r="M24" s="2"/>
      <x:c r="N24" s="2"/>
    </x:row>
    <x:row r="25" ht="23" customHeight="1">
      <x:c r="A25" s="9"/>
      <x:c r="B25" s="10"/>
      <x:c r="C25" s="14"/>
      <x:c r="D25" s="9"/>
      <x:c r="E25" s="9"/>
      <x:c r="F25" s="9"/>
      <x:c r="G25" s="9" t="str">
        <x:f>IF(A25="","",INDEX('입고대장'!$M$7:$M$1006,MATCH(A25,'입고대장'!$A$7:$A$1006,0)))</x:f>
      </x:c>
      <x:c r="H25" s="9"/>
      <x:c r="I25" s="2"/>
      <x:c r="J25" s="2"/>
      <x:c r="K25" s="2"/>
      <x:c r="L25" s="2"/>
      <x:c r="M25" s="2"/>
      <x:c r="N25" s="2"/>
    </x:row>
    <x:row r="26" ht="23" customHeight="1">
      <x:c r="A26" s="9"/>
      <x:c r="B26" s="10"/>
      <x:c r="C26" s="14"/>
      <x:c r="D26" s="9"/>
      <x:c r="E26" s="9"/>
      <x:c r="F26" s="9"/>
      <x:c r="G26" s="9" t="str">
        <x:f>IF(A26="","",INDEX('입고대장'!$M$7:$M$1006,MATCH(A26,'입고대장'!$A$7:$A$1006,0)))</x:f>
      </x:c>
      <x:c r="H26" s="9"/>
      <x:c r="I26" s="2"/>
      <x:c r="J26" s="2"/>
      <x:c r="K26" s="2"/>
      <x:c r="L26" s="2"/>
      <x:c r="M26" s="2"/>
      <x:c r="N26" s="2"/>
    </x:row>
    <x:row r="27" ht="23" customHeight="1">
      <x:c r="A27" s="9"/>
      <x:c r="B27" s="10"/>
      <x:c r="C27" s="14"/>
      <x:c r="D27" s="9"/>
      <x:c r="E27" s="9"/>
      <x:c r="F27" s="9"/>
      <x:c r="G27" s="9" t="str">
        <x:f>IF(A27="","",INDEX('입고대장'!$M$7:$M$1006,MATCH(A27,'입고대장'!$A$7:$A$1006,0)))</x:f>
      </x:c>
      <x:c r="H27" s="9"/>
      <x:c r="I27" s="2"/>
      <x:c r="J27" s="2"/>
      <x:c r="K27" s="2"/>
      <x:c r="L27" s="2"/>
      <x:c r="M27" s="2"/>
      <x:c r="N27" s="2"/>
    </x:row>
    <x:row r="28" ht="23" customHeight="1">
      <x:c r="A28" s="9"/>
      <x:c r="B28" s="10"/>
      <x:c r="C28" s="14"/>
      <x:c r="D28" s="9"/>
      <x:c r="E28" s="9"/>
      <x:c r="F28" s="9"/>
      <x:c r="G28" s="9" t="str">
        <x:f>IF(A28="","",INDEX('입고대장'!$M$7:$M$1006,MATCH(A28,'입고대장'!$A$7:$A$1006,0)))</x:f>
      </x:c>
      <x:c r="H28" s="9"/>
      <x:c r="I28" s="2"/>
      <x:c r="J28" s="2"/>
      <x:c r="K28" s="2"/>
      <x:c r="L28" s="2"/>
      <x:c r="M28" s="2"/>
      <x:c r="N28" s="2"/>
    </x:row>
    <x:row r="29" ht="23" customHeight="1">
      <x:c r="A29" s="9"/>
      <x:c r="B29" s="10"/>
      <x:c r="C29" s="14"/>
      <x:c r="D29" s="9"/>
      <x:c r="E29" s="9"/>
      <x:c r="F29" s="9"/>
      <x:c r="G29" s="9" t="str">
        <x:f>IF(A29="","",INDEX('입고대장'!$M$7:$M$1006,MATCH(A29,'입고대장'!$A$7:$A$1006,0)))</x:f>
      </x:c>
      <x:c r="H29" s="9"/>
      <x:c r="I29" s="2"/>
      <x:c r="J29" s="2"/>
      <x:c r="K29" s="2"/>
      <x:c r="L29" s="2"/>
      <x:c r="M29" s="2"/>
      <x:c r="N29" s="2"/>
    </x:row>
    <x:row r="30" ht="23" customHeight="1">
      <x:c r="A30" s="9"/>
      <x:c r="B30" s="10"/>
      <x:c r="C30" s="14"/>
      <x:c r="D30" s="9"/>
      <x:c r="E30" s="9"/>
      <x:c r="F30" s="9"/>
      <x:c r="G30" s="9" t="str">
        <x:f>IF(A30="","",INDEX('입고대장'!$M$7:$M$1006,MATCH(A30,'입고대장'!$A$7:$A$1006,0)))</x:f>
      </x:c>
      <x:c r="H30" s="9"/>
      <x:c r="I30" s="2"/>
      <x:c r="J30" s="2"/>
      <x:c r="K30" s="2"/>
      <x:c r="L30" s="2"/>
      <x:c r="M30" s="2"/>
      <x:c r="N30" s="2"/>
    </x:row>
    <x:row r="31" ht="23" customHeight="1">
      <x:c r="A31" s="9"/>
      <x:c r="B31" s="10"/>
      <x:c r="C31" s="14"/>
      <x:c r="D31" s="9"/>
      <x:c r="E31" s="9"/>
      <x:c r="F31" s="9"/>
      <x:c r="G31" s="9" t="str">
        <x:f>IF(A31="","",INDEX('입고대장'!$M$7:$M$1006,MATCH(A31,'입고대장'!$A$7:$A$1006,0)))</x:f>
      </x:c>
      <x:c r="H31" s="9"/>
      <x:c r="I31" s="2"/>
      <x:c r="J31" s="2"/>
      <x:c r="K31" s="2"/>
      <x:c r="L31" s="2"/>
      <x:c r="M31" s="2"/>
      <x:c r="N31" s="2"/>
    </x:row>
    <x:row r="32" ht="23" customHeight="1">
      <x:c r="A32" s="9"/>
      <x:c r="B32" s="10"/>
      <x:c r="C32" s="14"/>
      <x:c r="D32" s="9"/>
      <x:c r="E32" s="9"/>
      <x:c r="F32" s="9"/>
      <x:c r="G32" s="9" t="str">
        <x:f>IF(A32="","",INDEX('입고대장'!$M$7:$M$1006,MATCH(A32,'입고대장'!$A$7:$A$1006,0)))</x:f>
      </x:c>
      <x:c r="H32" s="9"/>
      <x:c r="I32" s="2"/>
      <x:c r="J32" s="2"/>
      <x:c r="K32" s="2"/>
      <x:c r="L32" s="2"/>
      <x:c r="M32" s="2"/>
      <x:c r="N32" s="2"/>
    </x:row>
    <x:row r="33" ht="23" customHeight="1">
      <x:c r="A33" s="9"/>
      <x:c r="B33" s="10"/>
      <x:c r="C33" s="14"/>
      <x:c r="D33" s="9"/>
      <x:c r="E33" s="9"/>
      <x:c r="F33" s="9"/>
      <x:c r="G33" s="9" t="str">
        <x:f>IF(A33="","",INDEX('입고대장'!$M$7:$M$1006,MATCH(A33,'입고대장'!$A$7:$A$1006,0)))</x:f>
      </x:c>
      <x:c r="H33" s="9"/>
      <x:c r="I33" s="2"/>
      <x:c r="J33" s="2"/>
      <x:c r="K33" s="2"/>
      <x:c r="L33" s="2"/>
      <x:c r="M33" s="2"/>
      <x:c r="N33" s="2"/>
    </x:row>
    <x:row r="34" ht="23" customHeight="1">
      <x:c r="A34" s="9"/>
      <x:c r="B34" s="10"/>
      <x:c r="C34" s="14"/>
      <x:c r="D34" s="9"/>
      <x:c r="E34" s="9"/>
      <x:c r="F34" s="9"/>
      <x:c r="G34" s="9" t="str">
        <x:f>IF(A34="","",INDEX('입고대장'!$M$7:$M$1006,MATCH(A34,'입고대장'!$A$7:$A$1006,0)))</x:f>
      </x:c>
      <x:c r="H34" s="9"/>
      <x:c r="I34" s="2"/>
      <x:c r="J34" s="2"/>
      <x:c r="K34" s="2"/>
      <x:c r="L34" s="2"/>
      <x:c r="M34" s="2"/>
      <x:c r="N34" s="2"/>
    </x:row>
    <x:row r="35" ht="23" customHeight="1">
      <x:c r="A35" s="9"/>
      <x:c r="B35" s="10"/>
      <x:c r="C35" s="14"/>
      <x:c r="D35" s="9"/>
      <x:c r="E35" s="9"/>
      <x:c r="F35" s="9"/>
      <x:c r="G35" s="9" t="str">
        <x:f>IF(A35="","",INDEX('입고대장'!$M$7:$M$1006,MATCH(A35,'입고대장'!$A$7:$A$1006,0)))</x:f>
      </x:c>
      <x:c r="H35" s="9"/>
      <x:c r="I35" s="2"/>
      <x:c r="J35" s="2"/>
      <x:c r="K35" s="2"/>
      <x:c r="L35" s="2"/>
      <x:c r="M35" s="2"/>
      <x:c r="N35" s="2"/>
    </x:row>
    <x:row r="36" ht="23" customHeight="1">
      <x:c r="A36" s="9"/>
      <x:c r="B36" s="10"/>
      <x:c r="C36" s="14"/>
      <x:c r="D36" s="9"/>
      <x:c r="E36" s="9"/>
      <x:c r="F36" s="9"/>
      <x:c r="G36" s="9" t="str">
        <x:f>IF(A36="","",INDEX('입고대장'!$M$7:$M$1006,MATCH(A36,'입고대장'!$A$7:$A$1006,0)))</x:f>
      </x:c>
      <x:c r="H36" s="9"/>
      <x:c r="I36" s="2"/>
      <x:c r="J36" s="2"/>
      <x:c r="K36" s="2"/>
      <x:c r="L36" s="2"/>
      <x:c r="M36" s="2"/>
      <x:c r="N36" s="2"/>
    </x:row>
    <x:row r="37" ht="23" customHeight="1">
      <x:c r="A37" s="9"/>
      <x:c r="B37" s="10"/>
      <x:c r="C37" s="14"/>
      <x:c r="D37" s="9"/>
      <x:c r="E37" s="9"/>
      <x:c r="F37" s="9"/>
      <x:c r="G37" s="9" t="str">
        <x:f>IF(A37="","",INDEX('입고대장'!$M$7:$M$1006,MATCH(A37,'입고대장'!$A$7:$A$1006,0)))</x:f>
      </x:c>
      <x:c r="H37" s="9"/>
      <x:c r="I37" s="2"/>
      <x:c r="J37" s="2"/>
      <x:c r="K37" s="2"/>
      <x:c r="L37" s="2"/>
      <x:c r="M37" s="2"/>
      <x:c r="N37" s="2"/>
    </x:row>
    <x:row r="38" ht="23" customHeight="1">
      <x:c r="A38" s="9"/>
      <x:c r="B38" s="10"/>
      <x:c r="C38" s="14"/>
      <x:c r="D38" s="9"/>
      <x:c r="E38" s="9"/>
      <x:c r="F38" s="9"/>
      <x:c r="G38" s="9" t="str">
        <x:f>IF(A38="","",INDEX('입고대장'!$M$7:$M$1006,MATCH(A38,'입고대장'!$A$7:$A$1006,0)))</x:f>
      </x:c>
      <x:c r="H38" s="9"/>
      <x:c r="I38" s="2"/>
      <x:c r="J38" s="2"/>
      <x:c r="K38" s="2"/>
      <x:c r="L38" s="2"/>
      <x:c r="M38" s="2"/>
      <x:c r="N38" s="2"/>
    </x:row>
    <x:row r="39" ht="23" customHeight="1">
      <x:c r="A39" s="9"/>
      <x:c r="B39" s="10"/>
      <x:c r="C39" s="14"/>
      <x:c r="D39" s="9"/>
      <x:c r="E39" s="9"/>
      <x:c r="F39" s="9"/>
      <x:c r="G39" s="9" t="str">
        <x:f>IF(A39="","",INDEX('입고대장'!$M$7:$M$1006,MATCH(A39,'입고대장'!$A$7:$A$1006,0)))</x:f>
      </x:c>
      <x:c r="H39" s="9"/>
      <x:c r="I39" s="2"/>
      <x:c r="J39" s="2"/>
      <x:c r="K39" s="2"/>
      <x:c r="L39" s="2"/>
      <x:c r="M39" s="2"/>
      <x:c r="N39" s="2"/>
    </x:row>
    <x:row r="40" ht="23" customHeight="1">
      <x:c r="A40" s="9"/>
      <x:c r="B40" s="10"/>
      <x:c r="C40" s="14"/>
      <x:c r="D40" s="9"/>
      <x:c r="E40" s="9"/>
      <x:c r="F40" s="9"/>
      <x:c r="G40" s="9" t="str">
        <x:f>IF(A40="","",INDEX('입고대장'!$M$7:$M$1006,MATCH(A40,'입고대장'!$A$7:$A$1006,0)))</x:f>
      </x:c>
      <x:c r="H40" s="9"/>
      <x:c r="I40" s="2"/>
      <x:c r="J40" s="2"/>
      <x:c r="K40" s="2"/>
      <x:c r="L40" s="2"/>
      <x:c r="M40" s="2"/>
      <x:c r="N40" s="2"/>
    </x:row>
    <x:row r="41" ht="23" customHeight="1">
      <x:c r="A41" s="9"/>
      <x:c r="B41" s="10"/>
      <x:c r="C41" s="14"/>
      <x:c r="D41" s="9"/>
      <x:c r="E41" s="9"/>
      <x:c r="F41" s="9"/>
      <x:c r="G41" s="9" t="str">
        <x:f>IF(A41="","",INDEX('입고대장'!$M$7:$M$1006,MATCH(A41,'입고대장'!$A$7:$A$1006,0)))</x:f>
      </x:c>
      <x:c r="H41" s="9"/>
      <x:c r="I41" s="2"/>
      <x:c r="J41" s="2"/>
      <x:c r="K41" s="2"/>
      <x:c r="L41" s="2"/>
      <x:c r="M41" s="2"/>
      <x:c r="N41" s="2"/>
    </x:row>
    <x:row r="42" ht="23" customHeight="1">
      <x:c r="A42" s="9"/>
      <x:c r="B42" s="10"/>
      <x:c r="C42" s="14"/>
      <x:c r="D42" s="9"/>
      <x:c r="E42" s="9"/>
      <x:c r="F42" s="9"/>
      <x:c r="G42" s="9" t="str">
        <x:f>IF(A42="","",INDEX('입고대장'!$M$7:$M$1006,MATCH(A42,'입고대장'!$A$7:$A$1006,0)))</x:f>
      </x:c>
      <x:c r="H42" s="9"/>
      <x:c r="I42" s="2"/>
      <x:c r="J42" s="2"/>
      <x:c r="K42" s="2"/>
      <x:c r="L42" s="2"/>
      <x:c r="M42" s="2"/>
      <x:c r="N42" s="2"/>
    </x:row>
    <x:row r="43" ht="23" customHeight="1">
      <x:c r="A43" s="9"/>
      <x:c r="B43" s="10"/>
      <x:c r="C43" s="14"/>
      <x:c r="D43" s="9"/>
      <x:c r="E43" s="9"/>
      <x:c r="F43" s="9"/>
      <x:c r="G43" s="9" t="str">
        <x:f>IF(A43="","",INDEX('입고대장'!$M$7:$M$1006,MATCH(A43,'입고대장'!$A$7:$A$1006,0)))</x:f>
      </x:c>
      <x:c r="H43" s="9"/>
      <x:c r="I43" s="2"/>
      <x:c r="J43" s="2"/>
      <x:c r="K43" s="2"/>
      <x:c r="L43" s="2"/>
      <x:c r="M43" s="2"/>
      <x:c r="N43" s="2"/>
    </x:row>
    <x:row r="44" ht="23" customHeight="1">
      <x:c r="A44" s="9"/>
      <x:c r="B44" s="10"/>
      <x:c r="C44" s="14"/>
      <x:c r="D44" s="9"/>
      <x:c r="E44" s="9"/>
      <x:c r="F44" s="9"/>
      <x:c r="G44" s="9" t="str">
        <x:f>IF(A44="","",INDEX('입고대장'!$M$7:$M$1006,MATCH(A44,'입고대장'!$A$7:$A$1006,0)))</x:f>
      </x:c>
      <x:c r="H44" s="9"/>
      <x:c r="I44" s="2"/>
      <x:c r="J44" s="2"/>
      <x:c r="K44" s="2"/>
      <x:c r="L44" s="2"/>
      <x:c r="M44" s="2"/>
      <x:c r="N44" s="2"/>
    </x:row>
    <x:row r="45" ht="23" customHeight="1">
      <x:c r="A45" s="9"/>
      <x:c r="B45" s="10"/>
      <x:c r="C45" s="14"/>
      <x:c r="D45" s="9"/>
      <x:c r="E45" s="9"/>
      <x:c r="F45" s="9"/>
      <x:c r="G45" s="9" t="str">
        <x:f>IF(A45="","",INDEX('입고대장'!$M$7:$M$1006,MATCH(A45,'입고대장'!$A$7:$A$1006,0)))</x:f>
      </x:c>
      <x:c r="H45" s="9"/>
      <x:c r="I45" s="2"/>
      <x:c r="J45" s="2"/>
      <x:c r="K45" s="2"/>
      <x:c r="L45" s="2"/>
      <x:c r="M45" s="2"/>
      <x:c r="N45" s="2"/>
    </x:row>
    <x:row r="46" ht="23" customHeight="1">
      <x:c r="A46" s="9"/>
      <x:c r="B46" s="10"/>
      <x:c r="C46" s="14"/>
      <x:c r="D46" s="9"/>
      <x:c r="E46" s="9"/>
      <x:c r="F46" s="9"/>
      <x:c r="G46" s="9" t="str">
        <x:f>IF(A46="","",INDEX('입고대장'!$M$7:$M$1006,MATCH(A46,'입고대장'!$A$7:$A$1006,0)))</x:f>
      </x:c>
      <x:c r="H46" s="9"/>
      <x:c r="I46" s="2"/>
      <x:c r="J46" s="2"/>
      <x:c r="K46" s="2"/>
      <x:c r="L46" s="2"/>
      <x:c r="M46" s="2"/>
      <x:c r="N46" s="2"/>
    </x:row>
    <x:row r="47" ht="23" customHeight="1">
      <x:c r="A47" s="9"/>
      <x:c r="B47" s="10"/>
      <x:c r="C47" s="14"/>
      <x:c r="D47" s="9"/>
      <x:c r="E47" s="9"/>
      <x:c r="F47" s="9"/>
      <x:c r="G47" s="9" t="str">
        <x:f>IF(A47="","",INDEX('입고대장'!$M$7:$M$1006,MATCH(A47,'입고대장'!$A$7:$A$1006,0)))</x:f>
      </x:c>
      <x:c r="H47" s="9"/>
      <x:c r="I47" s="2"/>
      <x:c r="J47" s="2"/>
      <x:c r="K47" s="2"/>
      <x:c r="L47" s="2"/>
      <x:c r="M47" s="2"/>
      <x:c r="N47" s="2"/>
    </x:row>
    <x:row r="48" ht="23" customHeight="1">
      <x:c r="A48" s="9"/>
      <x:c r="B48" s="10"/>
      <x:c r="C48" s="14"/>
      <x:c r="D48" s="9"/>
      <x:c r="E48" s="9"/>
      <x:c r="F48" s="9"/>
      <x:c r="G48" s="9" t="str">
        <x:f>IF(A48="","",INDEX('입고대장'!$M$7:$M$1006,MATCH(A48,'입고대장'!$A$7:$A$1006,0)))</x:f>
      </x:c>
      <x:c r="H48" s="9"/>
      <x:c r="I48" s="2"/>
      <x:c r="J48" s="2"/>
      <x:c r="K48" s="2"/>
      <x:c r="L48" s="2"/>
      <x:c r="M48" s="2"/>
      <x:c r="N48" s="2"/>
    </x:row>
    <x:row r="49" ht="23" customHeight="1">
      <x:c r="A49" s="9"/>
      <x:c r="B49" s="10"/>
      <x:c r="C49" s="14"/>
      <x:c r="D49" s="9"/>
      <x:c r="E49" s="9"/>
      <x:c r="F49" s="9"/>
      <x:c r="G49" s="9" t="str">
        <x:f>IF(A49="","",INDEX('입고대장'!$M$7:$M$1006,MATCH(A49,'입고대장'!$A$7:$A$1006,0)))</x:f>
      </x:c>
      <x:c r="H49" s="9"/>
      <x:c r="I49" s="2"/>
      <x:c r="J49" s="2"/>
      <x:c r="K49" s="2"/>
      <x:c r="L49" s="2"/>
      <x:c r="M49" s="2"/>
      <x:c r="N49" s="2"/>
    </x:row>
    <x:row r="50" ht="23" customHeight="1">
      <x:c r="A50" s="9"/>
      <x:c r="B50" s="10"/>
      <x:c r="C50" s="14"/>
      <x:c r="D50" s="9"/>
      <x:c r="E50" s="9"/>
      <x:c r="F50" s="9"/>
      <x:c r="G50" s="9" t="str">
        <x:f>IF(A50="","",INDEX('입고대장'!$M$7:$M$1006,MATCH(A50,'입고대장'!$A$7:$A$1006,0)))</x:f>
      </x:c>
      <x:c r="H50" s="9"/>
      <x:c r="I50" s="2"/>
      <x:c r="J50" s="2"/>
      <x:c r="K50" s="2"/>
      <x:c r="L50" s="2"/>
      <x:c r="M50" s="2"/>
      <x:c r="N50" s="2"/>
    </x:row>
    <x:row r="51" ht="23" customHeight="1">
      <x:c r="A51" s="9"/>
      <x:c r="B51" s="10"/>
      <x:c r="C51" s="14"/>
      <x:c r="D51" s="9"/>
      <x:c r="E51" s="9"/>
      <x:c r="F51" s="9"/>
      <x:c r="G51" s="9" t="str">
        <x:f>IF(A51="","",INDEX('입고대장'!$M$7:$M$1006,MATCH(A51,'입고대장'!$A$7:$A$1006,0)))</x:f>
      </x:c>
      <x:c r="H51" s="9"/>
      <x:c r="I51" s="2"/>
      <x:c r="J51" s="2"/>
      <x:c r="K51" s="2"/>
      <x:c r="L51" s="2"/>
      <x:c r="M51" s="2"/>
      <x:c r="N51" s="2"/>
    </x:row>
    <x:row r="52" ht="23" customHeight="1">
      <x:c r="A52" s="9"/>
      <x:c r="B52" s="10"/>
      <x:c r="C52" s="14"/>
      <x:c r="D52" s="9"/>
      <x:c r="E52" s="9"/>
      <x:c r="F52" s="9"/>
      <x:c r="G52" s="9" t="str">
        <x:f>IF(A52="","",INDEX('입고대장'!$M$7:$M$1006,MATCH(A52,'입고대장'!$A$7:$A$1006,0)))</x:f>
      </x:c>
      <x:c r="H52" s="9"/>
      <x:c r="I52" s="2"/>
      <x:c r="J52" s="2"/>
      <x:c r="K52" s="2"/>
      <x:c r="L52" s="2"/>
      <x:c r="M52" s="2"/>
      <x:c r="N52" s="2"/>
    </x:row>
    <x:row r="53" ht="23" customHeight="1">
      <x:c r="A53" s="9"/>
      <x:c r="B53" s="10"/>
      <x:c r="C53" s="14"/>
      <x:c r="D53" s="9"/>
      <x:c r="E53" s="9"/>
      <x:c r="F53" s="9"/>
      <x:c r="G53" s="9" t="str">
        <x:f>IF(A53="","",INDEX('입고대장'!$M$7:$M$1006,MATCH(A53,'입고대장'!$A$7:$A$1006,0)))</x:f>
      </x:c>
      <x:c r="H53" s="9"/>
      <x:c r="I53" s="2"/>
      <x:c r="J53" s="2"/>
      <x:c r="K53" s="2"/>
      <x:c r="L53" s="2"/>
      <x:c r="M53" s="2"/>
      <x:c r="N53" s="2"/>
    </x:row>
    <x:row r="54" ht="23" customHeight="1">
      <x:c r="A54" s="9"/>
      <x:c r="B54" s="10"/>
      <x:c r="C54" s="14"/>
      <x:c r="D54" s="9"/>
      <x:c r="E54" s="9"/>
      <x:c r="F54" s="9"/>
      <x:c r="G54" s="9" t="str">
        <x:f>IF(A54="","",INDEX('입고대장'!$M$7:$M$1006,MATCH(A54,'입고대장'!$A$7:$A$1006,0)))</x:f>
      </x:c>
      <x:c r="H54" s="9"/>
      <x:c r="I54" s="2"/>
      <x:c r="J54" s="2"/>
      <x:c r="K54" s="2"/>
      <x:c r="L54" s="2"/>
      <x:c r="M54" s="2"/>
      <x:c r="N54" s="2"/>
    </x:row>
    <x:row r="55" ht="23" customHeight="1">
      <x:c r="A55" s="9"/>
      <x:c r="B55" s="10"/>
      <x:c r="C55" s="14"/>
      <x:c r="D55" s="9"/>
      <x:c r="E55" s="9"/>
      <x:c r="F55" s="9"/>
      <x:c r="G55" s="9" t="str">
        <x:f>IF(A55="","",INDEX('입고대장'!$M$7:$M$1006,MATCH(A55,'입고대장'!$A$7:$A$1006,0)))</x:f>
      </x:c>
      <x:c r="H55" s="9"/>
      <x:c r="I55" s="2"/>
      <x:c r="J55" s="2"/>
      <x:c r="K55" s="2"/>
      <x:c r="L55" s="2"/>
      <x:c r="M55" s="2"/>
      <x:c r="N55" s="2"/>
    </x:row>
    <x:row r="56" ht="23" customHeight="1">
      <x:c r="A56" s="9"/>
      <x:c r="B56" s="10"/>
      <x:c r="C56" s="14"/>
      <x:c r="D56" s="9"/>
      <x:c r="E56" s="9"/>
      <x:c r="F56" s="9"/>
      <x:c r="G56" s="9" t="str">
        <x:f>IF(A56="","",INDEX('입고대장'!$M$7:$M$1006,MATCH(A56,'입고대장'!$A$7:$A$1006,0)))</x:f>
      </x:c>
      <x:c r="H56" s="9"/>
      <x:c r="I56" s="2"/>
      <x:c r="J56" s="2"/>
      <x:c r="K56" s="2"/>
      <x:c r="L56" s="2"/>
      <x:c r="M56" s="2"/>
      <x:c r="N56" s="2"/>
    </x:row>
    <x:row r="57" ht="23" customHeight="1">
      <x:c r="A57" s="9"/>
      <x:c r="B57" s="10"/>
      <x:c r="C57" s="14"/>
      <x:c r="D57" s="9"/>
      <x:c r="E57" s="9"/>
      <x:c r="F57" s="9"/>
      <x:c r="G57" s="9" t="str">
        <x:f>IF(A57="","",INDEX('입고대장'!$M$7:$M$1006,MATCH(A57,'입고대장'!$A$7:$A$1006,0)))</x:f>
      </x:c>
      <x:c r="H57" s="9"/>
      <x:c r="I57" s="2"/>
      <x:c r="J57" s="2"/>
      <x:c r="K57" s="2"/>
      <x:c r="L57" s="2"/>
      <x:c r="M57" s="2"/>
      <x:c r="N57" s="2"/>
    </x:row>
    <x:row r="58" ht="23" customHeight="1">
      <x:c r="A58" s="9"/>
      <x:c r="B58" s="10"/>
      <x:c r="C58" s="14"/>
      <x:c r="D58" s="9"/>
      <x:c r="E58" s="9"/>
      <x:c r="F58" s="9"/>
      <x:c r="G58" s="9" t="str">
        <x:f>IF(A58="","",INDEX('입고대장'!$M$7:$M$1006,MATCH(A58,'입고대장'!$A$7:$A$1006,0)))</x:f>
      </x:c>
      <x:c r="H58" s="9"/>
      <x:c r="I58" s="2"/>
      <x:c r="J58" s="2"/>
      <x:c r="K58" s="2"/>
      <x:c r="L58" s="2"/>
      <x:c r="M58" s="2"/>
      <x:c r="N58" s="2"/>
    </x:row>
    <x:row r="59" ht="23" customHeight="1">
      <x:c r="A59" s="9"/>
      <x:c r="B59" s="10"/>
      <x:c r="C59" s="14"/>
      <x:c r="D59" s="9"/>
      <x:c r="E59" s="9"/>
      <x:c r="F59" s="9"/>
      <x:c r="G59" s="9" t="str">
        <x:f>IF(A59="","",INDEX('입고대장'!$M$7:$M$1006,MATCH(A59,'입고대장'!$A$7:$A$1006,0)))</x:f>
      </x:c>
      <x:c r="H59" s="9"/>
      <x:c r="I59" s="2"/>
      <x:c r="J59" s="2"/>
      <x:c r="K59" s="2"/>
      <x:c r="L59" s="2"/>
      <x:c r="M59" s="2"/>
      <x:c r="N59" s="2"/>
    </x:row>
    <x:row r="60" ht="23" customHeight="1">
      <x:c r="A60" s="9"/>
      <x:c r="B60" s="10"/>
      <x:c r="C60" s="14"/>
      <x:c r="D60" s="9"/>
      <x:c r="E60" s="9"/>
      <x:c r="F60" s="9"/>
      <x:c r="G60" s="9" t="str">
        <x:f>IF(A60="","",INDEX('입고대장'!$M$7:$M$1006,MATCH(A60,'입고대장'!$A$7:$A$1006,0)))</x:f>
      </x:c>
      <x:c r="H60" s="9"/>
      <x:c r="I60" s="2"/>
      <x:c r="J60" s="2"/>
      <x:c r="K60" s="2"/>
      <x:c r="L60" s="2"/>
      <x:c r="M60" s="2"/>
      <x:c r="N60" s="2"/>
    </x:row>
    <x:row r="61" ht="23" customHeight="1">
      <x:c r="A61" s="9"/>
      <x:c r="B61" s="10"/>
      <x:c r="C61" s="14"/>
      <x:c r="D61" s="9"/>
      <x:c r="E61" s="9"/>
      <x:c r="F61" s="9"/>
      <x:c r="G61" s="9" t="str">
        <x:f>IF(A61="","",INDEX('입고대장'!$M$7:$M$1006,MATCH(A61,'입고대장'!$A$7:$A$1006,0)))</x:f>
      </x:c>
      <x:c r="H61" s="9"/>
      <x:c r="I61" s="2"/>
      <x:c r="J61" s="2"/>
      <x:c r="K61" s="2"/>
      <x:c r="L61" s="2"/>
      <x:c r="M61" s="2"/>
      <x:c r="N61" s="2"/>
    </x:row>
    <x:row r="62" ht="23" customHeight="1">
      <x:c r="A62" s="9"/>
      <x:c r="B62" s="10"/>
      <x:c r="C62" s="14"/>
      <x:c r="D62" s="9"/>
      <x:c r="E62" s="9"/>
      <x:c r="F62" s="9"/>
      <x:c r="G62" s="9" t="str">
        <x:f>IF(A62="","",INDEX('입고대장'!$M$7:$M$1006,MATCH(A62,'입고대장'!$A$7:$A$1006,0)))</x:f>
      </x:c>
      <x:c r="H62" s="9"/>
      <x:c r="I62" s="2"/>
      <x:c r="J62" s="2"/>
      <x:c r="K62" s="2"/>
      <x:c r="L62" s="2"/>
      <x:c r="M62" s="2"/>
      <x:c r="N62" s="2"/>
    </x:row>
    <x:row r="63" ht="23" customHeight="1">
      <x:c r="A63" s="9"/>
      <x:c r="B63" s="10"/>
      <x:c r="C63" s="14"/>
      <x:c r="D63" s="9"/>
      <x:c r="E63" s="9"/>
      <x:c r="F63" s="9"/>
      <x:c r="G63" s="9" t="str">
        <x:f>IF(A63="","",INDEX('입고대장'!$M$7:$M$1006,MATCH(A63,'입고대장'!$A$7:$A$1006,0)))</x:f>
      </x:c>
      <x:c r="H63" s="9"/>
      <x:c r="I63" s="2"/>
      <x:c r="J63" s="2"/>
      <x:c r="K63" s="2"/>
      <x:c r="L63" s="2"/>
      <x:c r="M63" s="2"/>
      <x:c r="N63" s="2"/>
    </x:row>
    <x:row r="64" ht="23" customHeight="1">
      <x:c r="A64" s="9"/>
      <x:c r="B64" s="10"/>
      <x:c r="C64" s="14"/>
      <x:c r="D64" s="9"/>
      <x:c r="E64" s="9"/>
      <x:c r="F64" s="9"/>
      <x:c r="G64" s="9" t="str">
        <x:f>IF(A64="","",INDEX('입고대장'!$M$7:$M$1006,MATCH(A64,'입고대장'!$A$7:$A$1006,0)))</x:f>
      </x:c>
      <x:c r="H64" s="9"/>
      <x:c r="I64" s="2"/>
      <x:c r="J64" s="2"/>
      <x:c r="K64" s="2"/>
      <x:c r="L64" s="2"/>
      <x:c r="M64" s="2"/>
      <x:c r="N64" s="2"/>
    </x:row>
    <x:row r="65" ht="23" customHeight="1">
      <x:c r="A65" s="9"/>
      <x:c r="B65" s="10"/>
      <x:c r="C65" s="14"/>
      <x:c r="D65" s="9"/>
      <x:c r="E65" s="9"/>
      <x:c r="F65" s="9"/>
      <x:c r="G65" s="9" t="str">
        <x:f>IF(A65="","",INDEX('입고대장'!$M$7:$M$1006,MATCH(A65,'입고대장'!$A$7:$A$1006,0)))</x:f>
      </x:c>
      <x:c r="H65" s="9"/>
      <x:c r="I65" s="2"/>
      <x:c r="J65" s="2"/>
      <x:c r="K65" s="2"/>
      <x:c r="L65" s="2"/>
      <x:c r="M65" s="2"/>
      <x:c r="N65" s="2"/>
    </x:row>
    <x:row r="66" ht="23" customHeight="1">
      <x:c r="A66" s="9"/>
      <x:c r="B66" s="10"/>
      <x:c r="C66" s="14"/>
      <x:c r="D66" s="9"/>
      <x:c r="E66" s="9"/>
      <x:c r="F66" s="9"/>
      <x:c r="G66" s="9" t="str">
        <x:f>IF(A66="","",INDEX('입고대장'!$M$7:$M$1006,MATCH(A66,'입고대장'!$A$7:$A$1006,0)))</x:f>
      </x:c>
      <x:c r="H66" s="9"/>
      <x:c r="I66" s="2"/>
      <x:c r="J66" s="2"/>
      <x:c r="K66" s="2"/>
      <x:c r="L66" s="2"/>
      <x:c r="M66" s="2"/>
      <x:c r="N66" s="2"/>
    </x:row>
    <x:row r="67" ht="23" customHeight="1">
      <x:c r="A67" s="9"/>
      <x:c r="B67" s="10"/>
      <x:c r="C67" s="14"/>
      <x:c r="D67" s="9"/>
      <x:c r="E67" s="9"/>
      <x:c r="F67" s="9"/>
      <x:c r="G67" s="9" t="str">
        <x:f>IF(A67="","",INDEX('입고대장'!$M$7:$M$1006,MATCH(A67,'입고대장'!$A$7:$A$1006,0)))</x:f>
      </x:c>
      <x:c r="H67" s="9"/>
      <x:c r="I67" s="2"/>
      <x:c r="J67" s="2"/>
      <x:c r="K67" s="2"/>
      <x:c r="L67" s="2"/>
      <x:c r="M67" s="2"/>
      <x:c r="N67" s="2"/>
    </x:row>
    <x:row r="68" ht="23" customHeight="1">
      <x:c r="A68" s="9"/>
      <x:c r="B68" s="10"/>
      <x:c r="C68" s="14"/>
      <x:c r="D68" s="9"/>
      <x:c r="E68" s="9"/>
      <x:c r="F68" s="9"/>
      <x:c r="G68" s="9" t="str">
        <x:f>IF(A68="","",INDEX('입고대장'!$M$7:$M$1006,MATCH(A68,'입고대장'!$A$7:$A$1006,0)))</x:f>
      </x:c>
      <x:c r="H68" s="9"/>
      <x:c r="I68" s="2"/>
      <x:c r="J68" s="2"/>
      <x:c r="K68" s="2"/>
      <x:c r="L68" s="2"/>
      <x:c r="M68" s="2"/>
      <x:c r="N68" s="2"/>
    </x:row>
    <x:row r="69" ht="23" customHeight="1">
      <x:c r="A69" s="9"/>
      <x:c r="B69" s="10"/>
      <x:c r="C69" s="14"/>
      <x:c r="D69" s="9"/>
      <x:c r="E69" s="9"/>
      <x:c r="F69" s="9"/>
      <x:c r="G69" s="9" t="str">
        <x:f>IF(A69="","",INDEX('입고대장'!$M$7:$M$1006,MATCH(A69,'입고대장'!$A$7:$A$1006,0)))</x:f>
      </x:c>
      <x:c r="H69" s="9"/>
      <x:c r="I69" s="2"/>
      <x:c r="J69" s="2"/>
      <x:c r="K69" s="2"/>
      <x:c r="L69" s="2"/>
      <x:c r="M69" s="2"/>
      <x:c r="N69" s="2"/>
    </x:row>
    <x:row r="70" ht="23" customHeight="1">
      <x:c r="A70" s="9"/>
      <x:c r="B70" s="10"/>
      <x:c r="C70" s="14"/>
      <x:c r="D70" s="9"/>
      <x:c r="E70" s="9"/>
      <x:c r="F70" s="9"/>
      <x:c r="G70" s="9" t="str">
        <x:f>IF(A70="","",INDEX('입고대장'!$M$7:$M$1006,MATCH(A70,'입고대장'!$A$7:$A$1006,0)))</x:f>
      </x:c>
      <x:c r="H70" s="9"/>
      <x:c r="I70" s="2"/>
      <x:c r="J70" s="2"/>
      <x:c r="K70" s="2"/>
      <x:c r="L70" s="2"/>
      <x:c r="M70" s="2"/>
      <x:c r="N70" s="2"/>
    </x:row>
    <x:row r="71" ht="23" customHeight="1">
      <x:c r="A71" s="9"/>
      <x:c r="B71" s="10"/>
      <x:c r="C71" s="14"/>
      <x:c r="D71" s="9"/>
      <x:c r="E71" s="9"/>
      <x:c r="F71" s="9"/>
      <x:c r="G71" s="9" t="str">
        <x:f>IF(A71="","",INDEX('입고대장'!$M$7:$M$1006,MATCH(A71,'입고대장'!$A$7:$A$1006,0)))</x:f>
      </x:c>
      <x:c r="H71" s="9"/>
      <x:c r="I71" s="2"/>
      <x:c r="J71" s="2"/>
      <x:c r="K71" s="2"/>
      <x:c r="L71" s="2"/>
      <x:c r="M71" s="2"/>
      <x:c r="N71" s="2"/>
    </x:row>
    <x:row r="72" ht="23" customHeight="1">
      <x:c r="A72" s="9"/>
      <x:c r="B72" s="10"/>
      <x:c r="C72" s="14"/>
      <x:c r="D72" s="9"/>
      <x:c r="E72" s="9"/>
      <x:c r="F72" s="9"/>
      <x:c r="G72" s="9" t="str">
        <x:f>IF(A72="","",INDEX('입고대장'!$M$7:$M$1006,MATCH(A72,'입고대장'!$A$7:$A$1006,0)))</x:f>
      </x:c>
      <x:c r="H72" s="9"/>
      <x:c r="I72" s="2"/>
      <x:c r="J72" s="2"/>
      <x:c r="K72" s="2"/>
      <x:c r="L72" s="2"/>
      <x:c r="M72" s="2"/>
      <x:c r="N72" s="2"/>
    </x:row>
    <x:row r="73" ht="23" customHeight="1">
      <x:c r="A73" s="9"/>
      <x:c r="B73" s="10"/>
      <x:c r="C73" s="14"/>
      <x:c r="D73" s="9"/>
      <x:c r="E73" s="9"/>
      <x:c r="F73" s="9"/>
      <x:c r="G73" s="9" t="str">
        <x:f>IF(A73="","",INDEX('입고대장'!$M$7:$M$1006,MATCH(A73,'입고대장'!$A$7:$A$1006,0)))</x:f>
      </x:c>
      <x:c r="H73" s="9"/>
      <x:c r="I73" s="2"/>
      <x:c r="J73" s="2"/>
      <x:c r="K73" s="2"/>
      <x:c r="L73" s="2"/>
      <x:c r="M73" s="2"/>
      <x:c r="N73" s="2"/>
    </x:row>
    <x:row r="74" ht="23" customHeight="1">
      <x:c r="A74" s="9"/>
      <x:c r="B74" s="10"/>
      <x:c r="C74" s="14"/>
      <x:c r="D74" s="9"/>
      <x:c r="E74" s="9"/>
      <x:c r="F74" s="9"/>
      <x:c r="G74" s="9" t="str">
        <x:f>IF(A74="","",INDEX('입고대장'!$M$7:$M$1006,MATCH(A74,'입고대장'!$A$7:$A$1006,0)))</x:f>
      </x:c>
      <x:c r="H74" s="9"/>
      <x:c r="I74" s="2"/>
      <x:c r="J74" s="2"/>
      <x:c r="K74" s="2"/>
      <x:c r="L74" s="2"/>
      <x:c r="M74" s="2"/>
      <x:c r="N74" s="2"/>
    </x:row>
    <x:row r="75" ht="23" customHeight="1">
      <x:c r="A75" s="9"/>
      <x:c r="B75" s="10"/>
      <x:c r="C75" s="14"/>
      <x:c r="D75" s="9"/>
      <x:c r="E75" s="9"/>
      <x:c r="F75" s="9"/>
      <x:c r="G75" s="9" t="str">
        <x:f>IF(A75="","",INDEX('입고대장'!$M$7:$M$1006,MATCH(A75,'입고대장'!$A$7:$A$1006,0)))</x:f>
      </x:c>
      <x:c r="H75" s="9"/>
      <x:c r="I75" s="2"/>
      <x:c r="J75" s="2"/>
      <x:c r="K75" s="2"/>
      <x:c r="L75" s="2"/>
      <x:c r="M75" s="2"/>
      <x:c r="N75" s="2"/>
    </x:row>
    <x:row r="76" ht="23" customHeight="1">
      <x:c r="A76" s="9"/>
      <x:c r="B76" s="10"/>
      <x:c r="C76" s="14"/>
      <x:c r="D76" s="9"/>
      <x:c r="E76" s="9"/>
      <x:c r="F76" s="9"/>
      <x:c r="G76" s="9" t="str">
        <x:f>IF(A76="","",INDEX('입고대장'!$M$7:$M$1006,MATCH(A76,'입고대장'!$A$7:$A$1006,0)))</x:f>
      </x:c>
      <x:c r="H76" s="9"/>
      <x:c r="I76" s="2"/>
      <x:c r="J76" s="2"/>
      <x:c r="K76" s="2"/>
      <x:c r="L76" s="2"/>
      <x:c r="M76" s="2"/>
      <x:c r="N76" s="2"/>
    </x:row>
    <x:row r="77" ht="23" customHeight="1">
      <x:c r="A77" s="9"/>
      <x:c r="B77" s="10"/>
      <x:c r="C77" s="14"/>
      <x:c r="D77" s="9"/>
      <x:c r="E77" s="9"/>
      <x:c r="F77" s="9"/>
      <x:c r="G77" s="9" t="str">
        <x:f>IF(A77="","",INDEX('입고대장'!$M$7:$M$1006,MATCH(A77,'입고대장'!$A$7:$A$1006,0)))</x:f>
      </x:c>
      <x:c r="H77" s="9"/>
      <x:c r="I77" s="2"/>
      <x:c r="J77" s="2"/>
      <x:c r="K77" s="2"/>
      <x:c r="L77" s="2"/>
      <x:c r="M77" s="2"/>
      <x:c r="N77" s="2"/>
    </x:row>
    <x:row r="78" ht="23" customHeight="1">
      <x:c r="A78" s="9"/>
      <x:c r="B78" s="10"/>
      <x:c r="C78" s="14"/>
      <x:c r="D78" s="9"/>
      <x:c r="E78" s="9"/>
      <x:c r="F78" s="9"/>
      <x:c r="G78" s="9" t="str">
        <x:f>IF(A78="","",INDEX('입고대장'!$M$7:$M$1006,MATCH(A78,'입고대장'!$A$7:$A$1006,0)))</x:f>
      </x:c>
      <x:c r="H78" s="9"/>
      <x:c r="I78" s="2"/>
      <x:c r="J78" s="2"/>
      <x:c r="K78" s="2"/>
      <x:c r="L78" s="2"/>
      <x:c r="M78" s="2"/>
      <x:c r="N78" s="2"/>
    </x:row>
    <x:row r="79" ht="23" customHeight="1">
      <x:c r="A79" s="9"/>
      <x:c r="B79" s="10"/>
      <x:c r="C79" s="14"/>
      <x:c r="D79" s="9"/>
      <x:c r="E79" s="9"/>
      <x:c r="F79" s="9"/>
      <x:c r="G79" s="9" t="str">
        <x:f>IF(A79="","",INDEX('입고대장'!$M$7:$M$1006,MATCH(A79,'입고대장'!$A$7:$A$1006,0)))</x:f>
      </x:c>
      <x:c r="H79" s="9"/>
      <x:c r="I79" s="2"/>
      <x:c r="J79" s="2"/>
      <x:c r="K79" s="2"/>
      <x:c r="L79" s="2"/>
      <x:c r="M79" s="2"/>
      <x:c r="N79" s="2"/>
    </x:row>
    <x:row r="80" ht="23" customHeight="1">
      <x:c r="A80" s="9"/>
      <x:c r="B80" s="10"/>
      <x:c r="C80" s="14"/>
      <x:c r="D80" s="9"/>
      <x:c r="E80" s="9"/>
      <x:c r="F80" s="9"/>
      <x:c r="G80" s="9" t="str">
        <x:f>IF(A80="","",INDEX('입고대장'!$M$7:$M$1006,MATCH(A80,'입고대장'!$A$7:$A$1006,0)))</x:f>
      </x:c>
      <x:c r="H80" s="9"/>
      <x:c r="I80" s="2"/>
      <x:c r="J80" s="2"/>
      <x:c r="K80" s="2"/>
      <x:c r="L80" s="2"/>
      <x:c r="M80" s="2"/>
      <x:c r="N80" s="2"/>
    </x:row>
    <x:row r="81" ht="23" customHeight="1">
      <x:c r="A81" s="9"/>
      <x:c r="B81" s="10"/>
      <x:c r="C81" s="14"/>
      <x:c r="D81" s="9"/>
      <x:c r="E81" s="9"/>
      <x:c r="F81" s="9"/>
      <x:c r="G81" s="9" t="str">
        <x:f>IF(A81="","",INDEX('입고대장'!$M$7:$M$1006,MATCH(A81,'입고대장'!$A$7:$A$1006,0)))</x:f>
      </x:c>
      <x:c r="H81" s="9"/>
      <x:c r="I81" s="2"/>
      <x:c r="J81" s="2"/>
      <x:c r="K81" s="2"/>
      <x:c r="L81" s="2"/>
      <x:c r="M81" s="2"/>
      <x:c r="N81" s="2"/>
    </x:row>
    <x:row r="82" ht="23" customHeight="1">
      <x:c r="A82" s="9"/>
      <x:c r="B82" s="10"/>
      <x:c r="C82" s="14"/>
      <x:c r="D82" s="9"/>
      <x:c r="E82" s="9"/>
      <x:c r="F82" s="9"/>
      <x:c r="G82" s="9" t="str">
        <x:f>IF(A82="","",INDEX('입고대장'!$M$7:$M$1006,MATCH(A82,'입고대장'!$A$7:$A$1006,0)))</x:f>
      </x:c>
      <x:c r="H82" s="9"/>
      <x:c r="I82" s="2"/>
      <x:c r="J82" s="2"/>
      <x:c r="K82" s="2"/>
      <x:c r="L82" s="2"/>
      <x:c r="M82" s="2"/>
      <x:c r="N82" s="2"/>
    </x:row>
    <x:row r="83" ht="23" customHeight="1">
      <x:c r="A83" s="9"/>
      <x:c r="B83" s="10"/>
      <x:c r="C83" s="14"/>
      <x:c r="D83" s="9"/>
      <x:c r="E83" s="9"/>
      <x:c r="F83" s="9"/>
      <x:c r="G83" s="9" t="str">
        <x:f>IF(A83="","",INDEX('입고대장'!$M$7:$M$1006,MATCH(A83,'입고대장'!$A$7:$A$1006,0)))</x:f>
      </x:c>
      <x:c r="H83" s="9"/>
      <x:c r="I83" s="2"/>
      <x:c r="J83" s="2"/>
      <x:c r="K83" s="2"/>
      <x:c r="L83" s="2"/>
      <x:c r="M83" s="2"/>
      <x:c r="N83" s="2"/>
    </x:row>
    <x:row r="84" ht="23" customHeight="1">
      <x:c r="A84" s="9"/>
      <x:c r="B84" s="10"/>
      <x:c r="C84" s="14"/>
      <x:c r="D84" s="9"/>
      <x:c r="E84" s="9"/>
      <x:c r="F84" s="9"/>
      <x:c r="G84" s="9" t="str">
        <x:f>IF(A84="","",INDEX('입고대장'!$M$7:$M$1006,MATCH(A84,'입고대장'!$A$7:$A$1006,0)))</x:f>
      </x:c>
      <x:c r="H84" s="9"/>
      <x:c r="I84" s="2"/>
      <x:c r="J84" s="2"/>
      <x:c r="K84" s="2"/>
      <x:c r="L84" s="2"/>
      <x:c r="M84" s="2"/>
      <x:c r="N84" s="2"/>
    </x:row>
    <x:row r="85" ht="23" customHeight="1">
      <x:c r="A85" s="9"/>
      <x:c r="B85" s="10"/>
      <x:c r="C85" s="14"/>
      <x:c r="D85" s="9"/>
      <x:c r="E85" s="9"/>
      <x:c r="F85" s="9"/>
      <x:c r="G85" s="9" t="str">
        <x:f>IF(A85="","",INDEX('입고대장'!$M$7:$M$1006,MATCH(A85,'입고대장'!$A$7:$A$1006,0)))</x:f>
      </x:c>
      <x:c r="H85" s="9"/>
      <x:c r="I85" s="2"/>
      <x:c r="J85" s="2"/>
      <x:c r="K85" s="2"/>
      <x:c r="L85" s="2"/>
      <x:c r="M85" s="2"/>
      <x:c r="N85" s="2"/>
    </x:row>
    <x:row r="86" ht="23" customHeight="1">
      <x:c r="A86" s="9"/>
      <x:c r="B86" s="10"/>
      <x:c r="C86" s="14"/>
      <x:c r="D86" s="9"/>
      <x:c r="E86" s="9"/>
      <x:c r="F86" s="9"/>
      <x:c r="G86" s="9" t="str">
        <x:f>IF(A86="","",INDEX('입고대장'!$M$7:$M$1006,MATCH(A86,'입고대장'!$A$7:$A$1006,0)))</x:f>
      </x:c>
      <x:c r="H86" s="9"/>
      <x:c r="I86" s="2"/>
      <x:c r="J86" s="2"/>
      <x:c r="K86" s="2"/>
      <x:c r="L86" s="2"/>
      <x:c r="M86" s="2"/>
      <x:c r="N86" s="2"/>
    </x:row>
    <x:row r="87" ht="23" customHeight="1">
      <x:c r="A87" s="9"/>
      <x:c r="B87" s="10"/>
      <x:c r="C87" s="14"/>
      <x:c r="D87" s="9"/>
      <x:c r="E87" s="9"/>
      <x:c r="F87" s="9"/>
      <x:c r="G87" s="9" t="str">
        <x:f>IF(A87="","",INDEX('입고대장'!$M$7:$M$1006,MATCH(A87,'입고대장'!$A$7:$A$1006,0)))</x:f>
      </x:c>
      <x:c r="H87" s="9"/>
      <x:c r="I87" s="2"/>
      <x:c r="J87" s="2"/>
      <x:c r="K87" s="2"/>
      <x:c r="L87" s="2"/>
      <x:c r="M87" s="2"/>
      <x:c r="N87" s="2"/>
    </x:row>
    <x:row r="88" ht="23" customHeight="1">
      <x:c r="A88" s="9"/>
      <x:c r="B88" s="10"/>
      <x:c r="C88" s="14"/>
      <x:c r="D88" s="9"/>
      <x:c r="E88" s="9"/>
      <x:c r="F88" s="9"/>
      <x:c r="G88" s="9" t="str">
        <x:f>IF(A88="","",INDEX('입고대장'!$M$7:$M$1006,MATCH(A88,'입고대장'!$A$7:$A$1006,0)))</x:f>
      </x:c>
      <x:c r="H88" s="9"/>
      <x:c r="I88" s="2"/>
      <x:c r="J88" s="2"/>
      <x:c r="K88" s="2"/>
      <x:c r="L88" s="2"/>
      <x:c r="M88" s="2"/>
      <x:c r="N88" s="2"/>
    </x:row>
    <x:row r="89" ht="23" customHeight="1">
      <x:c r="A89" s="9"/>
      <x:c r="B89" s="10"/>
      <x:c r="C89" s="14"/>
      <x:c r="D89" s="9"/>
      <x:c r="E89" s="9"/>
      <x:c r="F89" s="9"/>
      <x:c r="G89" s="9" t="str">
        <x:f>IF(A89="","",INDEX('입고대장'!$M$7:$M$1006,MATCH(A89,'입고대장'!$A$7:$A$1006,0)))</x:f>
      </x:c>
      <x:c r="H89" s="9"/>
      <x:c r="I89" s="2"/>
      <x:c r="J89" s="2"/>
      <x:c r="K89" s="2"/>
      <x:c r="L89" s="2"/>
      <x:c r="M89" s="2"/>
      <x:c r="N89" s="2"/>
    </x:row>
    <x:row r="90" ht="23" customHeight="1">
      <x:c r="A90" s="9"/>
      <x:c r="B90" s="10"/>
      <x:c r="C90" s="14"/>
      <x:c r="D90" s="9"/>
      <x:c r="E90" s="9"/>
      <x:c r="F90" s="9"/>
      <x:c r="G90" s="9" t="str">
        <x:f>IF(A90="","",INDEX('입고대장'!$M$7:$M$1006,MATCH(A90,'입고대장'!$A$7:$A$1006,0)))</x:f>
      </x:c>
      <x:c r="H90" s="9"/>
      <x:c r="I90" s="2"/>
      <x:c r="J90" s="2"/>
      <x:c r="K90" s="2"/>
      <x:c r="L90" s="2"/>
      <x:c r="M90" s="2"/>
      <x:c r="N90" s="2"/>
    </x:row>
    <x:row r="91" ht="23" customHeight="1">
      <x:c r="A91" s="9"/>
      <x:c r="B91" s="10"/>
      <x:c r="C91" s="14"/>
      <x:c r="D91" s="9"/>
      <x:c r="E91" s="9"/>
      <x:c r="F91" s="9"/>
      <x:c r="G91" s="9" t="str">
        <x:f>IF(A91="","",INDEX('입고대장'!$M$7:$M$1006,MATCH(A91,'입고대장'!$A$7:$A$1006,0)))</x:f>
      </x:c>
      <x:c r="H91" s="9"/>
      <x:c r="I91" s="2"/>
      <x:c r="J91" s="2"/>
      <x:c r="K91" s="2"/>
      <x:c r="L91" s="2"/>
      <x:c r="M91" s="2"/>
      <x:c r="N91" s="2"/>
    </x:row>
    <x:row r="92" ht="23" customHeight="1">
      <x:c r="A92" s="9"/>
      <x:c r="B92" s="10"/>
      <x:c r="C92" s="14"/>
      <x:c r="D92" s="9"/>
      <x:c r="E92" s="9"/>
      <x:c r="F92" s="9"/>
      <x:c r="G92" s="9" t="str">
        <x:f>IF(A92="","",INDEX('입고대장'!$M$7:$M$1006,MATCH(A92,'입고대장'!$A$7:$A$1006,0)))</x:f>
      </x:c>
      <x:c r="H92" s="9"/>
      <x:c r="I92" s="2"/>
      <x:c r="J92" s="2"/>
      <x:c r="K92" s="2"/>
      <x:c r="L92" s="2"/>
      <x:c r="M92" s="2"/>
      <x:c r="N92" s="2"/>
    </x:row>
    <x:row r="93" ht="23" customHeight="1">
      <x:c r="A93" s="9"/>
      <x:c r="B93" s="10"/>
      <x:c r="C93" s="14"/>
      <x:c r="D93" s="9"/>
      <x:c r="E93" s="9"/>
      <x:c r="F93" s="9"/>
      <x:c r="G93" s="9" t="str">
        <x:f>IF(A93="","",INDEX('입고대장'!$M$7:$M$1006,MATCH(A93,'입고대장'!$A$7:$A$1006,0)))</x:f>
      </x:c>
      <x:c r="H93" s="9"/>
      <x:c r="I93" s="2"/>
      <x:c r="J93" s="2"/>
      <x:c r="K93" s="2"/>
      <x:c r="L93" s="2"/>
      <x:c r="M93" s="2"/>
      <x:c r="N93" s="2"/>
    </x:row>
    <x:row r="94" ht="23" customHeight="1">
      <x:c r="A94" s="9"/>
      <x:c r="B94" s="10"/>
      <x:c r="C94" s="14"/>
      <x:c r="D94" s="9"/>
      <x:c r="E94" s="9"/>
      <x:c r="F94" s="9"/>
      <x:c r="G94" s="9" t="str">
        <x:f>IF(A94="","",INDEX('입고대장'!$M$7:$M$1006,MATCH(A94,'입고대장'!$A$7:$A$1006,0)))</x:f>
      </x:c>
      <x:c r="H94" s="9"/>
      <x:c r="I94" s="2"/>
      <x:c r="J94" s="2"/>
      <x:c r="K94" s="2"/>
      <x:c r="L94" s="2"/>
      <x:c r="M94" s="2"/>
      <x:c r="N94" s="2"/>
    </x:row>
    <x:row r="95" ht="23" customHeight="1">
      <x:c r="A95" s="9"/>
      <x:c r="B95" s="10"/>
      <x:c r="C95" s="14"/>
      <x:c r="D95" s="9"/>
      <x:c r="E95" s="9"/>
      <x:c r="F95" s="9"/>
      <x:c r="G95" s="9" t="str">
        <x:f>IF(A95="","",INDEX('입고대장'!$M$7:$M$1006,MATCH(A95,'입고대장'!$A$7:$A$1006,0)))</x:f>
      </x:c>
      <x:c r="H95" s="9"/>
      <x:c r="I95" s="2"/>
      <x:c r="J95" s="2"/>
      <x:c r="K95" s="2"/>
      <x:c r="L95" s="2"/>
      <x:c r="M95" s="2"/>
      <x:c r="N95" s="2"/>
    </x:row>
    <x:row r="96" ht="23" customHeight="1">
      <x:c r="A96" s="9"/>
      <x:c r="B96" s="10"/>
      <x:c r="C96" s="14"/>
      <x:c r="D96" s="9"/>
      <x:c r="E96" s="9"/>
      <x:c r="F96" s="9"/>
      <x:c r="G96" s="9" t="str">
        <x:f>IF(A96="","",INDEX('입고대장'!$M$7:$M$1006,MATCH(A96,'입고대장'!$A$7:$A$1006,0)))</x:f>
      </x:c>
      <x:c r="H96" s="9"/>
      <x:c r="I96" s="2"/>
      <x:c r="J96" s="2"/>
      <x:c r="K96" s="2"/>
      <x:c r="L96" s="2"/>
      <x:c r="M96" s="2"/>
      <x:c r="N96" s="2"/>
    </x:row>
    <x:row r="97" ht="23" customHeight="1">
      <x:c r="A97" s="9"/>
      <x:c r="B97" s="10"/>
      <x:c r="C97" s="14"/>
      <x:c r="D97" s="9"/>
      <x:c r="E97" s="9"/>
      <x:c r="F97" s="9"/>
      <x:c r="G97" s="9" t="str">
        <x:f>IF(A97="","",INDEX('입고대장'!$M$7:$M$1006,MATCH(A97,'입고대장'!$A$7:$A$1006,0)))</x:f>
      </x:c>
      <x:c r="H97" s="9"/>
      <x:c r="I97" s="2"/>
      <x:c r="J97" s="2"/>
      <x:c r="K97" s="2"/>
      <x:c r="L97" s="2"/>
      <x:c r="M97" s="2"/>
      <x:c r="N97" s="2"/>
    </x:row>
    <x:row r="98" ht="23" customHeight="1">
      <x:c r="A98" s="9"/>
      <x:c r="B98" s="10"/>
      <x:c r="C98" s="14"/>
      <x:c r="D98" s="9"/>
      <x:c r="E98" s="9"/>
      <x:c r="F98" s="9"/>
      <x:c r="G98" s="9" t="str">
        <x:f>IF(A98="","",INDEX('입고대장'!$M$7:$M$1006,MATCH(A98,'입고대장'!$A$7:$A$1006,0)))</x:f>
      </x:c>
      <x:c r="H98" s="9"/>
      <x:c r="I98" s="2"/>
      <x:c r="J98" s="2"/>
      <x:c r="K98" s="2"/>
      <x:c r="L98" s="2"/>
      <x:c r="M98" s="2"/>
      <x:c r="N98" s="2"/>
    </x:row>
    <x:row r="99" ht="23" customHeight="1">
      <x:c r="A99" s="9"/>
      <x:c r="B99" s="10"/>
      <x:c r="C99" s="14"/>
      <x:c r="D99" s="9"/>
      <x:c r="E99" s="9"/>
      <x:c r="F99" s="9"/>
      <x:c r="G99" s="9" t="str">
        <x:f>IF(A99="","",INDEX('입고대장'!$M$7:$M$1006,MATCH(A99,'입고대장'!$A$7:$A$1006,0)))</x:f>
      </x:c>
      <x:c r="H99" s="9"/>
      <x:c r="I99" s="2"/>
      <x:c r="J99" s="2"/>
      <x:c r="K99" s="2"/>
      <x:c r="L99" s="2"/>
      <x:c r="M99" s="2"/>
      <x:c r="N99" s="2"/>
    </x:row>
    <x:row r="100" ht="23" customHeight="1">
      <x:c r="A100" s="9"/>
      <x:c r="B100" s="10"/>
      <x:c r="C100" s="14"/>
      <x:c r="D100" s="9"/>
      <x:c r="E100" s="9"/>
      <x:c r="F100" s="9"/>
      <x:c r="G100" s="9" t="str">
        <x:f>IF(A100="","",INDEX('입고대장'!$M$7:$M$1006,MATCH(A100,'입고대장'!$A$7:$A$1006,0)))</x:f>
      </x:c>
      <x:c r="H100" s="9"/>
      <x:c r="I100" s="2"/>
      <x:c r="J100" s="2"/>
      <x:c r="K100" s="2"/>
      <x:c r="L100" s="2"/>
      <x:c r="M100" s="2"/>
      <x:c r="N100" s="2"/>
    </x:row>
    <x:row r="101" ht="23" customHeight="1">
      <x:c r="A101" s="9"/>
      <x:c r="B101" s="10"/>
      <x:c r="C101" s="14"/>
      <x:c r="D101" s="9"/>
      <x:c r="E101" s="9"/>
      <x:c r="F101" s="9"/>
      <x:c r="G101" s="9" t="str">
        <x:f>IF(A101="","",INDEX('입고대장'!$M$7:$M$1006,MATCH(A101,'입고대장'!$A$7:$A$1006,0)))</x:f>
      </x:c>
      <x:c r="H101" s="9"/>
      <x:c r="I101" s="2"/>
      <x:c r="J101" s="2"/>
      <x:c r="K101" s="2"/>
      <x:c r="L101" s="2"/>
      <x:c r="M101" s="2"/>
      <x:c r="N101" s="2"/>
    </x:row>
    <x:row r="102" ht="23" customHeight="1">
      <x:c r="A102" s="9"/>
      <x:c r="B102" s="10"/>
      <x:c r="C102" s="14"/>
      <x:c r="D102" s="9"/>
      <x:c r="E102" s="9"/>
      <x:c r="F102" s="9"/>
      <x:c r="G102" s="9" t="str">
        <x:f>IF(A102="","",INDEX('입고대장'!$M$7:$M$1006,MATCH(A102,'입고대장'!$A$7:$A$1006,0)))</x:f>
      </x:c>
      <x:c r="H102" s="9"/>
      <x:c r="I102" s="2"/>
      <x:c r="J102" s="2"/>
      <x:c r="K102" s="2"/>
      <x:c r="L102" s="2"/>
      <x:c r="M102" s="2"/>
      <x:c r="N102" s="2"/>
    </x:row>
    <x:row r="103" ht="23" customHeight="1">
      <x:c r="A103" s="9"/>
      <x:c r="B103" s="10"/>
      <x:c r="C103" s="14"/>
      <x:c r="D103" s="9"/>
      <x:c r="E103" s="9"/>
      <x:c r="F103" s="9"/>
      <x:c r="G103" s="9" t="str">
        <x:f>IF(A103="","",INDEX('입고대장'!$M$7:$M$1006,MATCH(A103,'입고대장'!$A$7:$A$1006,0)))</x:f>
      </x:c>
      <x:c r="H103" s="9"/>
      <x:c r="I103" s="2"/>
      <x:c r="J103" s="2"/>
      <x:c r="K103" s="2"/>
      <x:c r="L103" s="2"/>
      <x:c r="M103" s="2"/>
      <x:c r="N103" s="2"/>
    </x:row>
    <x:row r="104" ht="23" customHeight="1">
      <x:c r="A104" s="9"/>
      <x:c r="B104" s="10"/>
      <x:c r="C104" s="14"/>
      <x:c r="D104" s="9"/>
      <x:c r="E104" s="9"/>
      <x:c r="F104" s="9"/>
      <x:c r="G104" s="9" t="str">
        <x:f>IF(A104="","",INDEX('입고대장'!$M$7:$M$1006,MATCH(A104,'입고대장'!$A$7:$A$1006,0)))</x:f>
      </x:c>
      <x:c r="H104" s="9"/>
      <x:c r="I104" s="2"/>
      <x:c r="J104" s="2"/>
      <x:c r="K104" s="2"/>
      <x:c r="L104" s="2"/>
      <x:c r="M104" s="2"/>
      <x:c r="N104" s="2"/>
    </x:row>
    <x:row r="105" ht="23" customHeight="1">
      <x:c r="A105" s="9"/>
      <x:c r="B105" s="10"/>
      <x:c r="C105" s="14"/>
      <x:c r="D105" s="9"/>
      <x:c r="E105" s="9"/>
      <x:c r="F105" s="9"/>
      <x:c r="G105" s="9" t="str">
        <x:f>IF(A105="","",INDEX('입고대장'!$M$7:$M$1006,MATCH(A105,'입고대장'!$A$7:$A$1006,0)))</x:f>
      </x:c>
      <x:c r="H105" s="9"/>
      <x:c r="I105" s="2"/>
      <x:c r="J105" s="2"/>
      <x:c r="K105" s="2"/>
      <x:c r="L105" s="2"/>
      <x:c r="M105" s="2"/>
      <x:c r="N105" s="2"/>
    </x:row>
    <x:row r="106" ht="23" customHeight="1">
      <x:c r="A106" s="9"/>
      <x:c r="B106" s="10"/>
      <x:c r="C106" s="14"/>
      <x:c r="D106" s="9"/>
      <x:c r="E106" s="9"/>
      <x:c r="F106" s="9"/>
      <x:c r="G106" s="9" t="str">
        <x:f>IF(A106="","",INDEX('입고대장'!$M$7:$M$1006,MATCH(A106,'입고대장'!$A$7:$A$1006,0)))</x:f>
      </x:c>
      <x:c r="H106" s="9"/>
      <x:c r="I106" s="2"/>
      <x:c r="J106" s="2"/>
      <x:c r="K106" s="2"/>
      <x:c r="L106" s="2"/>
      <x:c r="M106" s="2"/>
      <x:c r="N106" s="2"/>
    </x:row>
    <x:row r="107" ht="23" customHeight="1">
      <x:c r="A107" s="9"/>
      <x:c r="B107" s="10"/>
      <x:c r="C107" s="14"/>
      <x:c r="D107" s="9"/>
      <x:c r="E107" s="9"/>
      <x:c r="F107" s="9"/>
      <x:c r="G107" s="9" t="str">
        <x:f>IF(A107="","",INDEX('입고대장'!$M$7:$M$1006,MATCH(A107,'입고대장'!$A$7:$A$1006,0)))</x:f>
      </x:c>
      <x:c r="H107" s="9"/>
      <x:c r="I107" s="2"/>
      <x:c r="J107" s="2"/>
      <x:c r="K107" s="2"/>
      <x:c r="L107" s="2"/>
      <x:c r="M107" s="2"/>
      <x:c r="N107" s="2"/>
    </x:row>
    <x:row r="108" ht="23" customHeight="1">
      <x:c r="A108" s="9"/>
      <x:c r="B108" s="10"/>
      <x:c r="C108" s="14"/>
      <x:c r="D108" s="9"/>
      <x:c r="E108" s="9"/>
      <x:c r="F108" s="9"/>
      <x:c r="G108" s="9" t="str">
        <x:f>IF(A108="","",INDEX('입고대장'!$M$7:$M$1006,MATCH(A108,'입고대장'!$A$7:$A$1006,0)))</x:f>
      </x:c>
      <x:c r="H108" s="9"/>
      <x:c r="I108" s="2"/>
      <x:c r="J108" s="2"/>
      <x:c r="K108" s="2"/>
      <x:c r="L108" s="2"/>
      <x:c r="M108" s="2"/>
      <x:c r="N108" s="2"/>
    </x:row>
    <x:row r="109" ht="23" customHeight="1">
      <x:c r="A109" s="9"/>
      <x:c r="B109" s="10"/>
      <x:c r="C109" s="14"/>
      <x:c r="D109" s="9"/>
      <x:c r="E109" s="9"/>
      <x:c r="F109" s="9"/>
      <x:c r="G109" s="9" t="str">
        <x:f>IF(A109="","",INDEX('입고대장'!$M$7:$M$1006,MATCH(A109,'입고대장'!$A$7:$A$1006,0)))</x:f>
      </x:c>
      <x:c r="H109" s="9"/>
      <x:c r="I109" s="2"/>
      <x:c r="J109" s="2"/>
      <x:c r="K109" s="2"/>
      <x:c r="L109" s="2"/>
      <x:c r="M109" s="2"/>
      <x:c r="N109" s="2"/>
    </x:row>
    <x:row r="110" ht="23" customHeight="1">
      <x:c r="A110" s="9"/>
      <x:c r="B110" s="10"/>
      <x:c r="C110" s="14"/>
      <x:c r="D110" s="9"/>
      <x:c r="E110" s="9"/>
      <x:c r="F110" s="9"/>
      <x:c r="G110" s="9" t="str">
        <x:f>IF(A110="","",INDEX('입고대장'!$M$7:$M$1006,MATCH(A110,'입고대장'!$A$7:$A$1006,0)))</x:f>
      </x:c>
      <x:c r="H110" s="9"/>
      <x:c r="I110" s="2"/>
      <x:c r="J110" s="2"/>
      <x:c r="K110" s="2"/>
      <x:c r="L110" s="2"/>
      <x:c r="M110" s="2"/>
      <x:c r="N110" s="2"/>
    </x:row>
    <x:row r="111" ht="23" customHeight="1">
      <x:c r="A111" s="9"/>
      <x:c r="B111" s="10"/>
      <x:c r="C111" s="14"/>
      <x:c r="D111" s="9"/>
      <x:c r="E111" s="9"/>
      <x:c r="F111" s="9"/>
      <x:c r="G111" s="9" t="str">
        <x:f>IF(A111="","",INDEX('입고대장'!$M$7:$M$1006,MATCH(A111,'입고대장'!$A$7:$A$1006,0)))</x:f>
      </x:c>
      <x:c r="H111" s="9"/>
      <x:c r="I111" s="2"/>
      <x:c r="J111" s="2"/>
      <x:c r="K111" s="2"/>
      <x:c r="L111" s="2"/>
      <x:c r="M111" s="2"/>
      <x:c r="N111" s="2"/>
    </x:row>
    <x:row r="112" ht="23" customHeight="1">
      <x:c r="A112" s="9"/>
      <x:c r="B112" s="10"/>
      <x:c r="C112" s="14"/>
      <x:c r="D112" s="9"/>
      <x:c r="E112" s="9"/>
      <x:c r="F112" s="9"/>
      <x:c r="G112" s="9" t="str">
        <x:f>IF(A112="","",INDEX('입고대장'!$M$7:$M$1006,MATCH(A112,'입고대장'!$A$7:$A$1006,0)))</x:f>
      </x:c>
      <x:c r="H112" s="9"/>
      <x:c r="I112" s="2"/>
      <x:c r="J112" s="2"/>
      <x:c r="K112" s="2"/>
      <x:c r="L112" s="2"/>
      <x:c r="M112" s="2"/>
      <x:c r="N112" s="2"/>
    </x:row>
    <x:row r="113" ht="23" customHeight="1">
      <x:c r="A113" s="9"/>
      <x:c r="B113" s="10"/>
      <x:c r="C113" s="14"/>
      <x:c r="D113" s="9"/>
      <x:c r="E113" s="9"/>
      <x:c r="F113" s="9"/>
      <x:c r="G113" s="9" t="str">
        <x:f>IF(A113="","",INDEX('입고대장'!$M$7:$M$1006,MATCH(A113,'입고대장'!$A$7:$A$1006,0)))</x:f>
      </x:c>
      <x:c r="H113" s="9"/>
      <x:c r="I113" s="2"/>
      <x:c r="J113" s="2"/>
      <x:c r="K113" s="2"/>
      <x:c r="L113" s="2"/>
      <x:c r="M113" s="2"/>
      <x:c r="N113" s="2"/>
    </x:row>
    <x:row r="114" ht="23" customHeight="1">
      <x:c r="A114" s="9"/>
      <x:c r="B114" s="10"/>
      <x:c r="C114" s="14"/>
      <x:c r="D114" s="9"/>
      <x:c r="E114" s="9"/>
      <x:c r="F114" s="9"/>
      <x:c r="G114" s="9" t="str">
        <x:f>IF(A114="","",INDEX('입고대장'!$M$7:$M$1006,MATCH(A114,'입고대장'!$A$7:$A$1006,0)))</x:f>
      </x:c>
      <x:c r="H114" s="9"/>
      <x:c r="I114" s="2"/>
      <x:c r="J114" s="2"/>
      <x:c r="K114" s="2"/>
      <x:c r="L114" s="2"/>
      <x:c r="M114" s="2"/>
      <x:c r="N114" s="2"/>
    </x:row>
    <x:row r="115" ht="23" customHeight="1">
      <x:c r="A115" s="9"/>
      <x:c r="B115" s="10"/>
      <x:c r="C115" s="14"/>
      <x:c r="D115" s="9"/>
      <x:c r="E115" s="9"/>
      <x:c r="F115" s="9"/>
      <x:c r="G115" s="9" t="str">
        <x:f>IF(A115="","",INDEX('입고대장'!$M$7:$M$1006,MATCH(A115,'입고대장'!$A$7:$A$1006,0)))</x:f>
      </x:c>
      <x:c r="H115" s="9"/>
      <x:c r="I115" s="2"/>
      <x:c r="J115" s="2"/>
      <x:c r="K115" s="2"/>
      <x:c r="L115" s="2"/>
      <x:c r="M115" s="2"/>
      <x:c r="N115" s="2"/>
    </x:row>
    <x:row r="116" ht="23" customHeight="1">
      <x:c r="A116" s="9"/>
      <x:c r="B116" s="10"/>
      <x:c r="C116" s="14"/>
      <x:c r="D116" s="9"/>
      <x:c r="E116" s="9"/>
      <x:c r="F116" s="9"/>
      <x:c r="G116" s="9" t="str">
        <x:f>IF(A116="","",INDEX('입고대장'!$M$7:$M$1006,MATCH(A116,'입고대장'!$A$7:$A$1006,0)))</x:f>
      </x:c>
      <x:c r="H116" s="9"/>
      <x:c r="I116" s="2"/>
      <x:c r="J116" s="2"/>
      <x:c r="K116" s="2"/>
      <x:c r="L116" s="2"/>
      <x:c r="M116" s="2"/>
      <x:c r="N116" s="2"/>
    </x:row>
    <x:row r="117" ht="23" customHeight="1">
      <x:c r="A117" s="9"/>
      <x:c r="B117" s="10"/>
      <x:c r="C117" s="14"/>
      <x:c r="D117" s="9"/>
      <x:c r="E117" s="9"/>
      <x:c r="F117" s="9"/>
      <x:c r="G117" s="9" t="str">
        <x:f>IF(A117="","",INDEX('입고대장'!$M$7:$M$1006,MATCH(A117,'입고대장'!$A$7:$A$1006,0)))</x:f>
      </x:c>
      <x:c r="H117" s="9"/>
      <x:c r="I117" s="2"/>
      <x:c r="J117" s="2"/>
      <x:c r="K117" s="2"/>
      <x:c r="L117" s="2"/>
      <x:c r="M117" s="2"/>
      <x:c r="N117" s="2"/>
    </x:row>
    <x:row r="118" ht="23" customHeight="1">
      <x:c r="A118" s="9"/>
      <x:c r="B118" s="10"/>
      <x:c r="C118" s="14"/>
      <x:c r="D118" s="9"/>
      <x:c r="E118" s="9"/>
      <x:c r="F118" s="9"/>
      <x:c r="G118" s="9" t="str">
        <x:f>IF(A118="","",INDEX('입고대장'!$M$7:$M$1006,MATCH(A118,'입고대장'!$A$7:$A$1006,0)))</x:f>
      </x:c>
      <x:c r="H118" s="9"/>
      <x:c r="I118" s="2"/>
      <x:c r="J118" s="2"/>
      <x:c r="K118" s="2"/>
      <x:c r="L118" s="2"/>
      <x:c r="M118" s="2"/>
      <x:c r="N118" s="2"/>
    </x:row>
    <x:row r="119" ht="23" customHeight="1">
      <x:c r="A119" s="9"/>
      <x:c r="B119" s="10"/>
      <x:c r="C119" s="14"/>
      <x:c r="D119" s="9"/>
      <x:c r="E119" s="9"/>
      <x:c r="F119" s="9"/>
      <x:c r="G119" s="9" t="str">
        <x:f>IF(A119="","",INDEX('입고대장'!$M$7:$M$1006,MATCH(A119,'입고대장'!$A$7:$A$1006,0)))</x:f>
      </x:c>
      <x:c r="H119" s="9"/>
      <x:c r="I119" s="2"/>
      <x:c r="J119" s="2"/>
      <x:c r="K119" s="2"/>
      <x:c r="L119" s="2"/>
      <x:c r="M119" s="2"/>
      <x:c r="N119" s="2"/>
    </x:row>
    <x:row r="120" ht="23" customHeight="1">
      <x:c r="A120" s="9"/>
      <x:c r="B120" s="10"/>
      <x:c r="C120" s="14"/>
      <x:c r="D120" s="9"/>
      <x:c r="E120" s="9"/>
      <x:c r="F120" s="9"/>
      <x:c r="G120" s="9" t="str">
        <x:f>IF(A120="","",INDEX('입고대장'!$M$7:$M$1006,MATCH(A120,'입고대장'!$A$7:$A$1006,0)))</x:f>
      </x:c>
      <x:c r="H120" s="9"/>
      <x:c r="I120" s="2"/>
      <x:c r="J120" s="2"/>
      <x:c r="K120" s="2"/>
      <x:c r="L120" s="2"/>
      <x:c r="M120" s="2"/>
      <x:c r="N120" s="2"/>
    </x:row>
    <x:row r="121" ht="23" customHeight="1">
      <x:c r="A121" s="9"/>
      <x:c r="B121" s="10"/>
      <x:c r="C121" s="14"/>
      <x:c r="D121" s="9"/>
      <x:c r="E121" s="9"/>
      <x:c r="F121" s="9"/>
      <x:c r="G121" s="9" t="str">
        <x:f>IF(A121="","",INDEX('입고대장'!$M$7:$M$1006,MATCH(A121,'입고대장'!$A$7:$A$1006,0)))</x:f>
      </x:c>
      <x:c r="H121" s="9"/>
      <x:c r="I121" s="2"/>
      <x:c r="J121" s="2"/>
      <x:c r="K121" s="2"/>
      <x:c r="L121" s="2"/>
      <x:c r="M121" s="2"/>
      <x:c r="N121" s="2"/>
    </x:row>
    <x:row r="122" ht="23" customHeight="1">
      <x:c r="A122" s="9"/>
      <x:c r="B122" s="10"/>
      <x:c r="C122" s="14"/>
      <x:c r="D122" s="9"/>
      <x:c r="E122" s="9"/>
      <x:c r="F122" s="9"/>
      <x:c r="G122" s="9" t="str">
        <x:f>IF(A122="","",INDEX('입고대장'!$M$7:$M$1006,MATCH(A122,'입고대장'!$A$7:$A$1006,0)))</x:f>
      </x:c>
      <x:c r="H122" s="9"/>
      <x:c r="I122" s="2"/>
      <x:c r="J122" s="2"/>
      <x:c r="K122" s="2"/>
      <x:c r="L122" s="2"/>
      <x:c r="M122" s="2"/>
      <x:c r="N122" s="2"/>
    </x:row>
    <x:row r="123" ht="23" customHeight="1">
      <x:c r="A123" s="9"/>
      <x:c r="B123" s="10"/>
      <x:c r="C123" s="14"/>
      <x:c r="D123" s="9"/>
      <x:c r="E123" s="9"/>
      <x:c r="F123" s="9"/>
      <x:c r="G123" s="9" t="str">
        <x:f>IF(A123="","",INDEX('입고대장'!$M$7:$M$1006,MATCH(A123,'입고대장'!$A$7:$A$1006,0)))</x:f>
      </x:c>
      <x:c r="H123" s="9"/>
      <x:c r="I123" s="2"/>
      <x:c r="J123" s="2"/>
      <x:c r="K123" s="2"/>
      <x:c r="L123" s="2"/>
      <x:c r="M123" s="2"/>
      <x:c r="N123" s="2"/>
    </x:row>
    <x:row r="124" ht="23" customHeight="1">
      <x:c r="A124" s="9"/>
      <x:c r="B124" s="10"/>
      <x:c r="C124" s="14"/>
      <x:c r="D124" s="9"/>
      <x:c r="E124" s="9"/>
      <x:c r="F124" s="9"/>
      <x:c r="G124" s="9" t="str">
        <x:f>IF(A124="","",INDEX('입고대장'!$M$7:$M$1006,MATCH(A124,'입고대장'!$A$7:$A$1006,0)))</x:f>
      </x:c>
      <x:c r="H124" s="9"/>
      <x:c r="I124" s="2"/>
      <x:c r="J124" s="2"/>
      <x:c r="K124" s="2"/>
      <x:c r="L124" s="2"/>
      <x:c r="M124" s="2"/>
      <x:c r="N124" s="2"/>
    </x:row>
    <x:row r="125" ht="23" customHeight="1">
      <x:c r="A125" s="9"/>
      <x:c r="B125" s="10"/>
      <x:c r="C125" s="14"/>
      <x:c r="D125" s="9"/>
      <x:c r="E125" s="9"/>
      <x:c r="F125" s="9"/>
      <x:c r="G125" s="9" t="str">
        <x:f>IF(A125="","",INDEX('입고대장'!$M$7:$M$1006,MATCH(A125,'입고대장'!$A$7:$A$1006,0)))</x:f>
      </x:c>
      <x:c r="H125" s="9"/>
      <x:c r="I125" s="2"/>
      <x:c r="J125" s="2"/>
      <x:c r="K125" s="2"/>
      <x:c r="L125" s="2"/>
      <x:c r="M125" s="2"/>
      <x:c r="N125" s="2"/>
    </x:row>
    <x:row r="126" ht="23" customHeight="1">
      <x:c r="A126" s="9"/>
      <x:c r="B126" s="10"/>
      <x:c r="C126" s="14"/>
      <x:c r="D126" s="9"/>
      <x:c r="E126" s="9"/>
      <x:c r="F126" s="9"/>
      <x:c r="G126" s="9" t="str">
        <x:f>IF(A126="","",INDEX('입고대장'!$M$7:$M$1006,MATCH(A126,'입고대장'!$A$7:$A$1006,0)))</x:f>
      </x:c>
      <x:c r="H126" s="9"/>
      <x:c r="I126" s="2"/>
      <x:c r="J126" s="2"/>
      <x:c r="K126" s="2"/>
      <x:c r="L126" s="2"/>
      <x:c r="M126" s="2"/>
      <x:c r="N126" s="2"/>
    </x:row>
    <x:row r="127" ht="23" customHeight="1">
      <x:c r="A127" s="9"/>
      <x:c r="B127" s="10"/>
      <x:c r="C127" s="14"/>
      <x:c r="D127" s="9"/>
      <x:c r="E127" s="9"/>
      <x:c r="F127" s="9"/>
      <x:c r="G127" s="9" t="str">
        <x:f>IF(A127="","",INDEX('입고대장'!$M$7:$M$1006,MATCH(A127,'입고대장'!$A$7:$A$1006,0)))</x:f>
      </x:c>
      <x:c r="H127" s="9"/>
      <x:c r="I127" s="2"/>
      <x:c r="J127" s="2"/>
      <x:c r="K127" s="2"/>
      <x:c r="L127" s="2"/>
      <x:c r="M127" s="2"/>
      <x:c r="N127" s="2"/>
    </x:row>
    <x:row r="128" ht="23" customHeight="1">
      <x:c r="A128" s="9"/>
      <x:c r="B128" s="10"/>
      <x:c r="C128" s="14"/>
      <x:c r="D128" s="9"/>
      <x:c r="E128" s="9"/>
      <x:c r="F128" s="9"/>
      <x:c r="G128" s="9" t="str">
        <x:f>IF(A128="","",INDEX('입고대장'!$M$7:$M$1006,MATCH(A128,'입고대장'!$A$7:$A$1006,0)))</x:f>
      </x:c>
      <x:c r="H128" s="9"/>
      <x:c r="I128" s="2"/>
      <x:c r="J128" s="2"/>
      <x:c r="K128" s="2"/>
      <x:c r="L128" s="2"/>
      <x:c r="M128" s="2"/>
      <x:c r="N128" s="2"/>
    </x:row>
    <x:row r="129" ht="23" customHeight="1">
      <x:c r="A129" s="9"/>
      <x:c r="B129" s="10"/>
      <x:c r="C129" s="14"/>
      <x:c r="D129" s="9"/>
      <x:c r="E129" s="9"/>
      <x:c r="F129" s="9"/>
      <x:c r="G129" s="9" t="str">
        <x:f>IF(A129="","",INDEX('입고대장'!$M$7:$M$1006,MATCH(A129,'입고대장'!$A$7:$A$1006,0)))</x:f>
      </x:c>
      <x:c r="H129" s="9"/>
      <x:c r="I129" s="2"/>
      <x:c r="J129" s="2"/>
      <x:c r="K129" s="2"/>
      <x:c r="L129" s="2"/>
      <x:c r="M129" s="2"/>
      <x:c r="N129" s="2"/>
    </x:row>
    <x:row r="130" ht="23" customHeight="1">
      <x:c r="A130" s="9"/>
      <x:c r="B130" s="10"/>
      <x:c r="C130" s="14"/>
      <x:c r="D130" s="9"/>
      <x:c r="E130" s="9"/>
      <x:c r="F130" s="9"/>
      <x:c r="G130" s="9" t="str">
        <x:f>IF(A130="","",INDEX('입고대장'!$M$7:$M$1006,MATCH(A130,'입고대장'!$A$7:$A$1006,0)))</x:f>
      </x:c>
      <x:c r="H130" s="9"/>
      <x:c r="I130" s="2"/>
      <x:c r="J130" s="2"/>
      <x:c r="K130" s="2"/>
      <x:c r="L130" s="2"/>
      <x:c r="M130" s="2"/>
      <x:c r="N130" s="2"/>
    </x:row>
    <x:row r="131" ht="23" customHeight="1">
      <x:c r="A131" s="9"/>
      <x:c r="B131" s="10"/>
      <x:c r="C131" s="14"/>
      <x:c r="D131" s="9"/>
      <x:c r="E131" s="9"/>
      <x:c r="F131" s="9"/>
      <x:c r="G131" s="9" t="str">
        <x:f>IF(A131="","",INDEX('입고대장'!$M$7:$M$1006,MATCH(A131,'입고대장'!$A$7:$A$1006,0)))</x:f>
      </x:c>
      <x:c r="H131" s="9"/>
      <x:c r="I131" s="2"/>
      <x:c r="J131" s="2"/>
      <x:c r="K131" s="2"/>
      <x:c r="L131" s="2"/>
      <x:c r="M131" s="2"/>
      <x:c r="N131" s="2"/>
    </x:row>
    <x:row r="132" ht="23" customHeight="1">
      <x:c r="A132" s="9"/>
      <x:c r="B132" s="10"/>
      <x:c r="C132" s="14"/>
      <x:c r="D132" s="9"/>
      <x:c r="E132" s="9"/>
      <x:c r="F132" s="9"/>
      <x:c r="G132" s="9" t="str">
        <x:f>IF(A132="","",INDEX('입고대장'!$M$7:$M$1006,MATCH(A132,'입고대장'!$A$7:$A$1006,0)))</x:f>
      </x:c>
      <x:c r="H132" s="9"/>
      <x:c r="I132" s="2"/>
      <x:c r="J132" s="2"/>
      <x:c r="K132" s="2"/>
      <x:c r="L132" s="2"/>
      <x:c r="M132" s="2"/>
      <x:c r="N132" s="2"/>
    </x:row>
    <x:row r="133" ht="23" customHeight="1">
      <x:c r="A133" s="9"/>
      <x:c r="B133" s="10"/>
      <x:c r="C133" s="14"/>
      <x:c r="D133" s="9"/>
      <x:c r="E133" s="9"/>
      <x:c r="F133" s="9"/>
      <x:c r="G133" s="9" t="str">
        <x:f>IF(A133="","",INDEX('입고대장'!$M$7:$M$1006,MATCH(A133,'입고대장'!$A$7:$A$1006,0)))</x:f>
      </x:c>
      <x:c r="H133" s="9"/>
      <x:c r="I133" s="2"/>
      <x:c r="J133" s="2"/>
      <x:c r="K133" s="2"/>
      <x:c r="L133" s="2"/>
      <x:c r="M133" s="2"/>
      <x:c r="N133" s="2"/>
    </x:row>
    <x:row r="134" ht="23" customHeight="1">
      <x:c r="A134" s="9"/>
      <x:c r="B134" s="10"/>
      <x:c r="C134" s="14"/>
      <x:c r="D134" s="9"/>
      <x:c r="E134" s="9"/>
      <x:c r="F134" s="9"/>
      <x:c r="G134" s="9" t="str">
        <x:f>IF(A134="","",INDEX('입고대장'!$M$7:$M$1006,MATCH(A134,'입고대장'!$A$7:$A$1006,0)))</x:f>
      </x:c>
      <x:c r="H134" s="9"/>
      <x:c r="I134" s="2"/>
      <x:c r="J134" s="2"/>
      <x:c r="K134" s="2"/>
      <x:c r="L134" s="2"/>
      <x:c r="M134" s="2"/>
      <x:c r="N134" s="2"/>
    </x:row>
    <x:row r="135" ht="23" customHeight="1">
      <x:c r="A135" s="9"/>
      <x:c r="B135" s="10"/>
      <x:c r="C135" s="14"/>
      <x:c r="D135" s="9"/>
      <x:c r="E135" s="9"/>
      <x:c r="F135" s="9"/>
      <x:c r="G135" s="9" t="str">
        <x:f>IF(A135="","",INDEX('입고대장'!$M$7:$M$1006,MATCH(A135,'입고대장'!$A$7:$A$1006,0)))</x:f>
      </x:c>
      <x:c r="H135" s="9"/>
      <x:c r="I135" s="2"/>
      <x:c r="J135" s="2"/>
      <x:c r="K135" s="2"/>
      <x:c r="L135" s="2"/>
      <x:c r="M135" s="2"/>
      <x:c r="N135" s="2"/>
    </x:row>
    <x:row r="136" ht="23" customHeight="1">
      <x:c r="A136" s="9"/>
      <x:c r="B136" s="10"/>
      <x:c r="C136" s="14"/>
      <x:c r="D136" s="9"/>
      <x:c r="E136" s="9"/>
      <x:c r="F136" s="9"/>
      <x:c r="G136" s="9" t="str">
        <x:f>IF(A136="","",INDEX('입고대장'!$M$7:$M$1006,MATCH(A136,'입고대장'!$A$7:$A$1006,0)))</x:f>
      </x:c>
      <x:c r="H136" s="9"/>
      <x:c r="I136" s="2"/>
      <x:c r="J136" s="2"/>
      <x:c r="K136" s="2"/>
      <x:c r="L136" s="2"/>
      <x:c r="M136" s="2"/>
      <x:c r="N136" s="2"/>
    </x:row>
    <x:row r="137" ht="23" customHeight="1">
      <x:c r="A137" s="9"/>
      <x:c r="B137" s="10"/>
      <x:c r="C137" s="14"/>
      <x:c r="D137" s="9"/>
      <x:c r="E137" s="9"/>
      <x:c r="F137" s="9"/>
      <x:c r="G137" s="9" t="str">
        <x:f>IF(A137="","",INDEX('입고대장'!$M$7:$M$1006,MATCH(A137,'입고대장'!$A$7:$A$1006,0)))</x:f>
      </x:c>
      <x:c r="H137" s="9"/>
      <x:c r="I137" s="2"/>
      <x:c r="J137" s="2"/>
      <x:c r="K137" s="2"/>
      <x:c r="L137" s="2"/>
      <x:c r="M137" s="2"/>
      <x:c r="N137" s="2"/>
    </x:row>
    <x:row r="138" ht="23" customHeight="1">
      <x:c r="A138" s="9"/>
      <x:c r="B138" s="10"/>
      <x:c r="C138" s="14"/>
      <x:c r="D138" s="9"/>
      <x:c r="E138" s="9"/>
      <x:c r="F138" s="9"/>
      <x:c r="G138" s="9" t="str">
        <x:f>IF(A138="","",INDEX('입고대장'!$M$7:$M$1006,MATCH(A138,'입고대장'!$A$7:$A$1006,0)))</x:f>
      </x:c>
      <x:c r="H138" s="9"/>
      <x:c r="I138" s="2"/>
      <x:c r="J138" s="2"/>
      <x:c r="K138" s="2"/>
      <x:c r="L138" s="2"/>
      <x:c r="M138" s="2"/>
      <x:c r="N138" s="2"/>
    </x:row>
    <x:row r="139" ht="23" customHeight="1">
      <x:c r="A139" s="9"/>
      <x:c r="B139" s="10"/>
      <x:c r="C139" s="14"/>
      <x:c r="D139" s="9"/>
      <x:c r="E139" s="9"/>
      <x:c r="F139" s="9"/>
      <x:c r="G139" s="9" t="str">
        <x:f>IF(A139="","",INDEX('입고대장'!$M$7:$M$1006,MATCH(A139,'입고대장'!$A$7:$A$1006,0)))</x:f>
      </x:c>
      <x:c r="H139" s="9"/>
      <x:c r="I139" s="2"/>
      <x:c r="J139" s="2"/>
      <x:c r="K139" s="2"/>
      <x:c r="L139" s="2"/>
      <x:c r="M139" s="2"/>
      <x:c r="N139" s="2"/>
    </x:row>
    <x:row r="140" ht="23" customHeight="1">
      <x:c r="A140" s="9"/>
      <x:c r="B140" s="10"/>
      <x:c r="C140" s="14"/>
      <x:c r="D140" s="9"/>
      <x:c r="E140" s="9"/>
      <x:c r="F140" s="9"/>
      <x:c r="G140" s="9" t="str">
        <x:f>IF(A140="","",INDEX('입고대장'!$M$7:$M$1006,MATCH(A140,'입고대장'!$A$7:$A$1006,0)))</x:f>
      </x:c>
      <x:c r="H140" s="9"/>
      <x:c r="I140" s="2"/>
      <x:c r="J140" s="2"/>
      <x:c r="K140" s="2"/>
      <x:c r="L140" s="2"/>
      <x:c r="M140" s="2"/>
      <x:c r="N140" s="2"/>
    </x:row>
    <x:row r="141" ht="23" customHeight="1">
      <x:c r="A141" s="9"/>
      <x:c r="B141" s="10"/>
      <x:c r="C141" s="14"/>
      <x:c r="D141" s="9"/>
      <x:c r="E141" s="9"/>
      <x:c r="F141" s="9"/>
      <x:c r="G141" s="9" t="str">
        <x:f>IF(A141="","",INDEX('입고대장'!$M$7:$M$1006,MATCH(A141,'입고대장'!$A$7:$A$1006,0)))</x:f>
      </x:c>
      <x:c r="H141" s="9"/>
      <x:c r="I141" s="2"/>
      <x:c r="J141" s="2"/>
      <x:c r="K141" s="2"/>
      <x:c r="L141" s="2"/>
      <x:c r="M141" s="2"/>
      <x:c r="N141" s="2"/>
    </x:row>
    <x:row r="142" ht="23" customHeight="1">
      <x:c r="A142" s="9"/>
      <x:c r="B142" s="10"/>
      <x:c r="C142" s="14"/>
      <x:c r="D142" s="9"/>
      <x:c r="E142" s="9"/>
      <x:c r="F142" s="9"/>
      <x:c r="G142" s="9" t="str">
        <x:f>IF(A142="","",INDEX('입고대장'!$M$7:$M$1006,MATCH(A142,'입고대장'!$A$7:$A$1006,0)))</x:f>
      </x:c>
      <x:c r="H142" s="9"/>
      <x:c r="I142" s="2"/>
      <x:c r="J142" s="2"/>
      <x:c r="K142" s="2"/>
      <x:c r="L142" s="2"/>
      <x:c r="M142" s="2"/>
      <x:c r="N142" s="2"/>
    </x:row>
    <x:row r="143" ht="23" customHeight="1">
      <x:c r="A143" s="9"/>
      <x:c r="B143" s="10"/>
      <x:c r="C143" s="14"/>
      <x:c r="D143" s="9"/>
      <x:c r="E143" s="9"/>
      <x:c r="F143" s="9"/>
      <x:c r="G143" s="9" t="str">
        <x:f>IF(A143="","",INDEX('입고대장'!$M$7:$M$1006,MATCH(A143,'입고대장'!$A$7:$A$1006,0)))</x:f>
      </x:c>
      <x:c r="H143" s="9"/>
      <x:c r="I143" s="2"/>
      <x:c r="J143" s="2"/>
      <x:c r="K143" s="2"/>
      <x:c r="L143" s="2"/>
      <x:c r="M143" s="2"/>
      <x:c r="N143" s="2"/>
    </x:row>
    <x:row r="144" ht="23" customHeight="1">
      <x:c r="A144" s="9"/>
      <x:c r="B144" s="10"/>
      <x:c r="C144" s="14"/>
      <x:c r="D144" s="9"/>
      <x:c r="E144" s="9"/>
      <x:c r="F144" s="9"/>
      <x:c r="G144" s="9" t="str">
        <x:f>IF(A144="","",INDEX('입고대장'!$M$7:$M$1006,MATCH(A144,'입고대장'!$A$7:$A$1006,0)))</x:f>
      </x:c>
      <x:c r="H144" s="9"/>
      <x:c r="I144" s="2"/>
      <x:c r="J144" s="2"/>
      <x:c r="K144" s="2"/>
      <x:c r="L144" s="2"/>
      <x:c r="M144" s="2"/>
      <x:c r="N144" s="2"/>
    </x:row>
    <x:row r="145" ht="23" customHeight="1">
      <x:c r="A145" s="9"/>
      <x:c r="B145" s="10"/>
      <x:c r="C145" s="14"/>
      <x:c r="D145" s="9"/>
      <x:c r="E145" s="9"/>
      <x:c r="F145" s="9"/>
      <x:c r="G145" s="9" t="str">
        <x:f>IF(A145="","",INDEX('입고대장'!$M$7:$M$1006,MATCH(A145,'입고대장'!$A$7:$A$1006,0)))</x:f>
      </x:c>
      <x:c r="H145" s="9"/>
      <x:c r="I145" s="2"/>
      <x:c r="J145" s="2"/>
      <x:c r="K145" s="2"/>
      <x:c r="L145" s="2"/>
      <x:c r="M145" s="2"/>
      <x:c r="N145" s="2"/>
    </x:row>
    <x:row r="146" ht="23" customHeight="1">
      <x:c r="A146" s="9"/>
      <x:c r="B146" s="10"/>
      <x:c r="C146" s="14"/>
      <x:c r="D146" s="9"/>
      <x:c r="E146" s="9"/>
      <x:c r="F146" s="9"/>
      <x:c r="G146" s="9" t="str">
        <x:f>IF(A146="","",INDEX('입고대장'!$M$7:$M$1006,MATCH(A146,'입고대장'!$A$7:$A$1006,0)))</x:f>
      </x:c>
      <x:c r="H146" s="9"/>
      <x:c r="I146" s="2"/>
      <x:c r="J146" s="2"/>
      <x:c r="K146" s="2"/>
      <x:c r="L146" s="2"/>
      <x:c r="M146" s="2"/>
      <x:c r="N146" s="2"/>
    </x:row>
    <x:row r="147" ht="23" customHeight="1">
      <x:c r="A147" s="9"/>
      <x:c r="B147" s="10"/>
      <x:c r="C147" s="14"/>
      <x:c r="D147" s="9"/>
      <x:c r="E147" s="9"/>
      <x:c r="F147" s="9"/>
      <x:c r="G147" s="9" t="str">
        <x:f>IF(A147="","",INDEX('입고대장'!$M$7:$M$1006,MATCH(A147,'입고대장'!$A$7:$A$1006,0)))</x:f>
      </x:c>
      <x:c r="H147" s="9"/>
      <x:c r="I147" s="2"/>
      <x:c r="J147" s="2"/>
      <x:c r="K147" s="2"/>
      <x:c r="L147" s="2"/>
      <x:c r="M147" s="2"/>
      <x:c r="N147" s="2"/>
    </x:row>
    <x:row r="148" ht="23" customHeight="1">
      <x:c r="A148" s="9"/>
      <x:c r="B148" s="10"/>
      <x:c r="C148" s="14"/>
      <x:c r="D148" s="9"/>
      <x:c r="E148" s="9"/>
      <x:c r="F148" s="9"/>
      <x:c r="G148" s="9" t="str">
        <x:f>IF(A148="","",INDEX('입고대장'!$M$7:$M$1006,MATCH(A148,'입고대장'!$A$7:$A$1006,0)))</x:f>
      </x:c>
      <x:c r="H148" s="9"/>
      <x:c r="I148" s="2"/>
      <x:c r="J148" s="2"/>
      <x:c r="K148" s="2"/>
      <x:c r="L148" s="2"/>
      <x:c r="M148" s="2"/>
      <x:c r="N148" s="2"/>
    </x:row>
    <x:row r="149" ht="23" customHeight="1">
      <x:c r="A149" s="9"/>
      <x:c r="B149" s="10"/>
      <x:c r="C149" s="14"/>
      <x:c r="D149" s="9"/>
      <x:c r="E149" s="9"/>
      <x:c r="F149" s="9"/>
      <x:c r="G149" s="9" t="str">
        <x:f>IF(A149="","",INDEX('입고대장'!$M$7:$M$1006,MATCH(A149,'입고대장'!$A$7:$A$1006,0)))</x:f>
      </x:c>
      <x:c r="H149" s="9"/>
      <x:c r="I149" s="2"/>
      <x:c r="J149" s="2"/>
      <x:c r="K149" s="2"/>
      <x:c r="L149" s="2"/>
      <x:c r="M149" s="2"/>
      <x:c r="N149" s="2"/>
    </x:row>
    <x:row r="150" ht="23" customHeight="1">
      <x:c r="A150" s="9"/>
      <x:c r="B150" s="10"/>
      <x:c r="C150" s="14"/>
      <x:c r="D150" s="9"/>
      <x:c r="E150" s="9"/>
      <x:c r="F150" s="9"/>
      <x:c r="G150" s="9" t="str">
        <x:f>IF(A150="","",INDEX('입고대장'!$M$7:$M$1006,MATCH(A150,'입고대장'!$A$7:$A$1006,0)))</x:f>
      </x:c>
      <x:c r="H150" s="9"/>
      <x:c r="I150" s="2"/>
      <x:c r="J150" s="2"/>
      <x:c r="K150" s="2"/>
      <x:c r="L150" s="2"/>
      <x:c r="M150" s="2"/>
      <x:c r="N150" s="2"/>
    </x:row>
    <x:row r="151" ht="23" customHeight="1">
      <x:c r="A151" s="9"/>
      <x:c r="B151" s="10"/>
      <x:c r="C151" s="14"/>
      <x:c r="D151" s="9"/>
      <x:c r="E151" s="9"/>
      <x:c r="F151" s="9"/>
      <x:c r="G151" s="9" t="str">
        <x:f>IF(A151="","",INDEX('입고대장'!$M$7:$M$1006,MATCH(A151,'입고대장'!$A$7:$A$1006,0)))</x:f>
      </x:c>
      <x:c r="H151" s="9"/>
      <x:c r="I151" s="2"/>
      <x:c r="J151" s="2"/>
      <x:c r="K151" s="2"/>
      <x:c r="L151" s="2"/>
      <x:c r="M151" s="2"/>
      <x:c r="N151" s="2"/>
    </x:row>
    <x:row r="152" ht="23" customHeight="1">
      <x:c r="A152" s="9"/>
      <x:c r="B152" s="10"/>
      <x:c r="C152" s="14"/>
      <x:c r="D152" s="9"/>
      <x:c r="E152" s="9"/>
      <x:c r="F152" s="9"/>
      <x:c r="G152" s="9" t="str">
        <x:f>IF(A152="","",INDEX('입고대장'!$M$7:$M$1006,MATCH(A152,'입고대장'!$A$7:$A$1006,0)))</x:f>
      </x:c>
      <x:c r="H152" s="9"/>
      <x:c r="I152" s="2"/>
      <x:c r="J152" s="2"/>
      <x:c r="K152" s="2"/>
      <x:c r="L152" s="2"/>
      <x:c r="M152" s="2"/>
      <x:c r="N152" s="2"/>
    </x:row>
    <x:row r="153" ht="23" customHeight="1">
      <x:c r="A153" s="9"/>
      <x:c r="B153" s="10"/>
      <x:c r="C153" s="14"/>
      <x:c r="D153" s="9"/>
      <x:c r="E153" s="9"/>
      <x:c r="F153" s="9"/>
      <x:c r="G153" s="9" t="str">
        <x:f>IF(A153="","",INDEX('입고대장'!$M$7:$M$1006,MATCH(A153,'입고대장'!$A$7:$A$1006,0)))</x:f>
      </x:c>
      <x:c r="H153" s="9"/>
      <x:c r="I153" s="2"/>
      <x:c r="J153" s="2"/>
      <x:c r="K153" s="2"/>
      <x:c r="L153" s="2"/>
      <x:c r="M153" s="2"/>
      <x:c r="N153" s="2"/>
    </x:row>
    <x:row r="154" ht="23" customHeight="1">
      <x:c r="A154" s="9"/>
      <x:c r="B154" s="10"/>
      <x:c r="C154" s="14"/>
      <x:c r="D154" s="9"/>
      <x:c r="E154" s="9"/>
      <x:c r="F154" s="9"/>
      <x:c r="G154" s="9" t="str">
        <x:f>IF(A154="","",INDEX('입고대장'!$M$7:$M$1006,MATCH(A154,'입고대장'!$A$7:$A$1006,0)))</x:f>
      </x:c>
      <x:c r="H154" s="9"/>
      <x:c r="I154" s="2"/>
      <x:c r="J154" s="2"/>
      <x:c r="K154" s="2"/>
      <x:c r="L154" s="2"/>
      <x:c r="M154" s="2"/>
      <x:c r="N154" s="2"/>
    </x:row>
    <x:row r="155" ht="23" customHeight="1">
      <x:c r="A155" s="9"/>
      <x:c r="B155" s="10"/>
      <x:c r="C155" s="14"/>
      <x:c r="D155" s="9"/>
      <x:c r="E155" s="9"/>
      <x:c r="F155" s="9"/>
      <x:c r="G155" s="9" t="str">
        <x:f>IF(A155="","",INDEX('입고대장'!$M$7:$M$1006,MATCH(A155,'입고대장'!$A$7:$A$1006,0)))</x:f>
      </x:c>
      <x:c r="H155" s="9"/>
      <x:c r="I155" s="2"/>
      <x:c r="J155" s="2"/>
      <x:c r="K155" s="2"/>
      <x:c r="L155" s="2"/>
      <x:c r="M155" s="2"/>
      <x:c r="N155" s="2"/>
    </x:row>
    <x:row r="156" ht="23" customHeight="1">
      <x:c r="A156" s="9"/>
      <x:c r="B156" s="10"/>
      <x:c r="C156" s="14"/>
      <x:c r="D156" s="9"/>
      <x:c r="E156" s="9"/>
      <x:c r="F156" s="9"/>
      <x:c r="G156" s="9" t="str">
        <x:f>IF(A156="","",INDEX('입고대장'!$M$7:$M$1006,MATCH(A156,'입고대장'!$A$7:$A$1006,0)))</x:f>
      </x:c>
      <x:c r="H156" s="9"/>
      <x:c r="I156" s="2"/>
      <x:c r="J156" s="2"/>
      <x:c r="K156" s="2"/>
      <x:c r="L156" s="2"/>
      <x:c r="M156" s="2"/>
      <x:c r="N156" s="2"/>
    </x:row>
    <x:row r="157" ht="23" customHeight="1">
      <x:c r="A157" s="9"/>
      <x:c r="B157" s="10"/>
      <x:c r="C157" s="14"/>
      <x:c r="D157" s="9"/>
      <x:c r="E157" s="9"/>
      <x:c r="F157" s="9"/>
      <x:c r="G157" s="9" t="str">
        <x:f>IF(A157="","",INDEX('입고대장'!$M$7:$M$1006,MATCH(A157,'입고대장'!$A$7:$A$1006,0)))</x:f>
      </x:c>
      <x:c r="H157" s="9"/>
      <x:c r="I157" s="2"/>
      <x:c r="J157" s="2"/>
      <x:c r="K157" s="2"/>
      <x:c r="L157" s="2"/>
      <x:c r="M157" s="2"/>
      <x:c r="N157" s="2"/>
    </x:row>
    <x:row r="158" ht="23" customHeight="1">
      <x:c r="A158" s="9"/>
      <x:c r="B158" s="10"/>
      <x:c r="C158" s="14"/>
      <x:c r="D158" s="9"/>
      <x:c r="E158" s="9"/>
      <x:c r="F158" s="9"/>
      <x:c r="G158" s="9" t="str">
        <x:f>IF(A158="","",INDEX('입고대장'!$M$7:$M$1006,MATCH(A158,'입고대장'!$A$7:$A$1006,0)))</x:f>
      </x:c>
      <x:c r="H158" s="9"/>
      <x:c r="I158" s="2"/>
      <x:c r="J158" s="2"/>
      <x:c r="K158" s="2"/>
      <x:c r="L158" s="2"/>
      <x:c r="M158" s="2"/>
      <x:c r="N158" s="2"/>
    </x:row>
    <x:row r="159" ht="23" customHeight="1">
      <x:c r="A159" s="9"/>
      <x:c r="B159" s="10"/>
      <x:c r="C159" s="14"/>
      <x:c r="D159" s="9"/>
      <x:c r="E159" s="9"/>
      <x:c r="F159" s="9"/>
      <x:c r="G159" s="9" t="str">
        <x:f>IF(A159="","",INDEX('입고대장'!$M$7:$M$1006,MATCH(A159,'입고대장'!$A$7:$A$1006,0)))</x:f>
      </x:c>
      <x:c r="H159" s="9"/>
      <x:c r="I159" s="2"/>
      <x:c r="J159" s="2"/>
      <x:c r="K159" s="2"/>
      <x:c r="L159" s="2"/>
      <x:c r="M159" s="2"/>
      <x:c r="N159" s="2"/>
    </x:row>
    <x:row r="160" ht="23" customHeight="1">
      <x:c r="A160" s="9"/>
      <x:c r="B160" s="10"/>
      <x:c r="C160" s="14"/>
      <x:c r="D160" s="9"/>
      <x:c r="E160" s="9"/>
      <x:c r="F160" s="9"/>
      <x:c r="G160" s="9" t="str">
        <x:f>IF(A160="","",INDEX('입고대장'!$M$7:$M$1006,MATCH(A160,'입고대장'!$A$7:$A$1006,0)))</x:f>
      </x:c>
      <x:c r="H160" s="9"/>
      <x:c r="I160" s="2"/>
      <x:c r="J160" s="2"/>
      <x:c r="K160" s="2"/>
      <x:c r="L160" s="2"/>
      <x:c r="M160" s="2"/>
      <x:c r="N160" s="2"/>
    </x:row>
    <x:row r="161" ht="23" customHeight="1">
      <x:c r="A161" s="9"/>
      <x:c r="B161" s="10"/>
      <x:c r="C161" s="14"/>
      <x:c r="D161" s="9"/>
      <x:c r="E161" s="9"/>
      <x:c r="F161" s="9"/>
      <x:c r="G161" s="9" t="str">
        <x:f>IF(A161="","",INDEX('입고대장'!$M$7:$M$1006,MATCH(A161,'입고대장'!$A$7:$A$1006,0)))</x:f>
      </x:c>
      <x:c r="H161" s="9"/>
      <x:c r="I161" s="2"/>
      <x:c r="J161" s="2"/>
      <x:c r="K161" s="2"/>
      <x:c r="L161" s="2"/>
      <x:c r="M161" s="2"/>
      <x:c r="N161" s="2"/>
    </x:row>
    <x:row r="162" ht="23" customHeight="1">
      <x:c r="A162" s="9"/>
      <x:c r="B162" s="10"/>
      <x:c r="C162" s="14"/>
      <x:c r="D162" s="9"/>
      <x:c r="E162" s="9"/>
      <x:c r="F162" s="9"/>
      <x:c r="G162" s="9" t="str">
        <x:f>IF(A162="","",INDEX('입고대장'!$M$7:$M$1006,MATCH(A162,'입고대장'!$A$7:$A$1006,0)))</x:f>
      </x:c>
      <x:c r="H162" s="9"/>
      <x:c r="I162" s="2"/>
      <x:c r="J162" s="2"/>
      <x:c r="K162" s="2"/>
      <x:c r="L162" s="2"/>
      <x:c r="M162" s="2"/>
      <x:c r="N162" s="2"/>
    </x:row>
    <x:row r="163" ht="23" customHeight="1">
      <x:c r="A163" s="9"/>
      <x:c r="B163" s="10"/>
      <x:c r="C163" s="14"/>
      <x:c r="D163" s="9"/>
      <x:c r="E163" s="9"/>
      <x:c r="F163" s="9"/>
      <x:c r="G163" s="9" t="str">
        <x:f>IF(A163="","",INDEX('입고대장'!$M$7:$M$1006,MATCH(A163,'입고대장'!$A$7:$A$1006,0)))</x:f>
      </x:c>
      <x:c r="H163" s="9"/>
      <x:c r="I163" s="2"/>
      <x:c r="J163" s="2"/>
      <x:c r="K163" s="2"/>
      <x:c r="L163" s="2"/>
      <x:c r="M163" s="2"/>
      <x:c r="N163" s="2"/>
    </x:row>
    <x:row r="164" ht="23" customHeight="1">
      <x:c r="A164" s="9"/>
      <x:c r="B164" s="10"/>
      <x:c r="C164" s="14"/>
      <x:c r="D164" s="9"/>
      <x:c r="E164" s="9"/>
      <x:c r="F164" s="9"/>
      <x:c r="G164" s="9" t="str">
        <x:f>IF(A164="","",INDEX('입고대장'!$M$7:$M$1006,MATCH(A164,'입고대장'!$A$7:$A$1006,0)))</x:f>
      </x:c>
      <x:c r="H164" s="9"/>
      <x:c r="I164" s="2"/>
      <x:c r="J164" s="2"/>
      <x:c r="K164" s="2"/>
      <x:c r="L164" s="2"/>
      <x:c r="M164" s="2"/>
      <x:c r="N164" s="2"/>
    </x:row>
    <x:row r="165" ht="23" customHeight="1">
      <x:c r="A165" s="9"/>
      <x:c r="B165" s="10"/>
      <x:c r="C165" s="14"/>
      <x:c r="D165" s="9"/>
      <x:c r="E165" s="9"/>
      <x:c r="F165" s="9"/>
      <x:c r="G165" s="9" t="str">
        <x:f>IF(A165="","",INDEX('입고대장'!$M$7:$M$1006,MATCH(A165,'입고대장'!$A$7:$A$1006,0)))</x:f>
      </x:c>
      <x:c r="H165" s="9"/>
      <x:c r="I165" s="2"/>
      <x:c r="J165" s="2"/>
      <x:c r="K165" s="2"/>
      <x:c r="L165" s="2"/>
      <x:c r="M165" s="2"/>
      <x:c r="N165" s="2"/>
    </x:row>
    <x:row r="166" ht="23" customHeight="1">
      <x:c r="A166" s="9"/>
      <x:c r="B166" s="10"/>
      <x:c r="C166" s="14"/>
      <x:c r="D166" s="9"/>
      <x:c r="E166" s="9"/>
      <x:c r="F166" s="9"/>
      <x:c r="G166" s="9" t="str">
        <x:f>IF(A166="","",INDEX('입고대장'!$M$7:$M$1006,MATCH(A166,'입고대장'!$A$7:$A$1006,0)))</x:f>
      </x:c>
      <x:c r="H166" s="9"/>
      <x:c r="I166" s="2"/>
      <x:c r="J166" s="2"/>
      <x:c r="K166" s="2"/>
      <x:c r="L166" s="2"/>
      <x:c r="M166" s="2"/>
      <x:c r="N166" s="2"/>
    </x:row>
    <x:row r="167" ht="23" customHeight="1">
      <x:c r="A167" s="9"/>
      <x:c r="B167" s="10"/>
      <x:c r="C167" s="14"/>
      <x:c r="D167" s="9"/>
      <x:c r="E167" s="9"/>
      <x:c r="F167" s="9"/>
      <x:c r="G167" s="9" t="str">
        <x:f>IF(A167="","",INDEX('입고대장'!$M$7:$M$1006,MATCH(A167,'입고대장'!$A$7:$A$1006,0)))</x:f>
      </x:c>
      <x:c r="H167" s="9"/>
      <x:c r="I167" s="2"/>
      <x:c r="J167" s="2"/>
      <x:c r="K167" s="2"/>
      <x:c r="L167" s="2"/>
      <x:c r="M167" s="2"/>
      <x:c r="N167" s="2"/>
    </x:row>
    <x:row r="168" ht="23" customHeight="1">
      <x:c r="A168" s="9"/>
      <x:c r="B168" s="10"/>
      <x:c r="C168" s="14"/>
      <x:c r="D168" s="9"/>
      <x:c r="E168" s="9"/>
      <x:c r="F168" s="9"/>
      <x:c r="G168" s="9" t="str">
        <x:f>IF(A168="","",INDEX('입고대장'!$M$7:$M$1006,MATCH(A168,'입고대장'!$A$7:$A$1006,0)))</x:f>
      </x:c>
      <x:c r="H168" s="9"/>
      <x:c r="I168" s="2"/>
      <x:c r="J168" s="2"/>
      <x:c r="K168" s="2"/>
      <x:c r="L168" s="2"/>
      <x:c r="M168" s="2"/>
      <x:c r="N168" s="2"/>
    </x:row>
    <x:row r="169" ht="23" customHeight="1">
      <x:c r="A169" s="9"/>
      <x:c r="B169" s="10"/>
      <x:c r="C169" s="14"/>
      <x:c r="D169" s="9"/>
      <x:c r="E169" s="9"/>
      <x:c r="F169" s="9"/>
      <x:c r="G169" s="9" t="str">
        <x:f>IF(A169="","",INDEX('입고대장'!$M$7:$M$1006,MATCH(A169,'입고대장'!$A$7:$A$1006,0)))</x:f>
      </x:c>
      <x:c r="H169" s="9"/>
      <x:c r="I169" s="2"/>
      <x:c r="J169" s="2"/>
      <x:c r="K169" s="2"/>
      <x:c r="L169" s="2"/>
      <x:c r="M169" s="2"/>
      <x:c r="N169" s="2"/>
    </x:row>
    <x:row r="170" ht="23" customHeight="1">
      <x:c r="A170" s="9"/>
      <x:c r="B170" s="10"/>
      <x:c r="C170" s="14"/>
      <x:c r="D170" s="9"/>
      <x:c r="E170" s="9"/>
      <x:c r="F170" s="9"/>
      <x:c r="G170" s="9" t="str">
        <x:f>IF(A170="","",INDEX('입고대장'!$M$7:$M$1006,MATCH(A170,'입고대장'!$A$7:$A$1006,0)))</x:f>
      </x:c>
      <x:c r="H170" s="9"/>
      <x:c r="I170" s="2"/>
      <x:c r="J170" s="2"/>
      <x:c r="K170" s="2"/>
      <x:c r="L170" s="2"/>
      <x:c r="M170" s="2"/>
      <x:c r="N170" s="2"/>
    </x:row>
    <x:row r="171" ht="23" customHeight="1">
      <x:c r="A171" s="9"/>
      <x:c r="B171" s="10"/>
      <x:c r="C171" s="14"/>
      <x:c r="D171" s="9"/>
      <x:c r="E171" s="9"/>
      <x:c r="F171" s="9"/>
      <x:c r="G171" s="9" t="str">
        <x:f>IF(A171="","",INDEX('입고대장'!$M$7:$M$1006,MATCH(A171,'입고대장'!$A$7:$A$1006,0)))</x:f>
      </x:c>
      <x:c r="H171" s="9"/>
      <x:c r="I171" s="2"/>
      <x:c r="J171" s="2"/>
      <x:c r="K171" s="2"/>
      <x:c r="L171" s="2"/>
      <x:c r="M171" s="2"/>
      <x:c r="N171" s="2"/>
    </x:row>
    <x:row r="172" ht="23" customHeight="1">
      <x:c r="A172" s="9"/>
      <x:c r="B172" s="10"/>
      <x:c r="C172" s="14"/>
      <x:c r="D172" s="9"/>
      <x:c r="E172" s="9"/>
      <x:c r="F172" s="9"/>
      <x:c r="G172" s="9" t="str">
        <x:f>IF(A172="","",INDEX('입고대장'!$M$7:$M$1006,MATCH(A172,'입고대장'!$A$7:$A$1006,0)))</x:f>
      </x:c>
      <x:c r="H172" s="9"/>
      <x:c r="I172" s="2"/>
      <x:c r="J172" s="2"/>
      <x:c r="K172" s="2"/>
      <x:c r="L172" s="2"/>
      <x:c r="M172" s="2"/>
      <x:c r="N172" s="2"/>
    </x:row>
    <x:row r="173" ht="23" customHeight="1">
      <x:c r="A173" s="9"/>
      <x:c r="B173" s="10"/>
      <x:c r="C173" s="14"/>
      <x:c r="D173" s="9"/>
      <x:c r="E173" s="9"/>
      <x:c r="F173" s="9"/>
      <x:c r="G173" s="9" t="str">
        <x:f>IF(A173="","",INDEX('입고대장'!$M$7:$M$1006,MATCH(A173,'입고대장'!$A$7:$A$1006,0)))</x:f>
      </x:c>
      <x:c r="H173" s="9"/>
      <x:c r="I173" s="2"/>
      <x:c r="J173" s="2"/>
      <x:c r="K173" s="2"/>
      <x:c r="L173" s="2"/>
      <x:c r="M173" s="2"/>
      <x:c r="N173" s="2"/>
    </x:row>
    <x:row r="174" ht="23" customHeight="1">
      <x:c r="A174" s="9"/>
      <x:c r="B174" s="10"/>
      <x:c r="C174" s="14"/>
      <x:c r="D174" s="9"/>
      <x:c r="E174" s="9"/>
      <x:c r="F174" s="9"/>
      <x:c r="G174" s="9" t="str">
        <x:f>IF(A174="","",INDEX('입고대장'!$M$7:$M$1006,MATCH(A174,'입고대장'!$A$7:$A$1006,0)))</x:f>
      </x:c>
      <x:c r="H174" s="9"/>
      <x:c r="I174" s="2"/>
      <x:c r="J174" s="2"/>
      <x:c r="K174" s="2"/>
      <x:c r="L174" s="2"/>
      <x:c r="M174" s="2"/>
      <x:c r="N174" s="2"/>
    </x:row>
    <x:row r="175" ht="23" customHeight="1">
      <x:c r="A175" s="9"/>
      <x:c r="B175" s="10"/>
      <x:c r="C175" s="14"/>
      <x:c r="D175" s="9"/>
      <x:c r="E175" s="9"/>
      <x:c r="F175" s="9"/>
      <x:c r="G175" s="9" t="str">
        <x:f>IF(A175="","",INDEX('입고대장'!$M$7:$M$1006,MATCH(A175,'입고대장'!$A$7:$A$1006,0)))</x:f>
      </x:c>
      <x:c r="H175" s="9"/>
      <x:c r="I175" s="2"/>
      <x:c r="J175" s="2"/>
      <x:c r="K175" s="2"/>
      <x:c r="L175" s="2"/>
      <x:c r="M175" s="2"/>
      <x:c r="N175" s="2"/>
    </x:row>
    <x:row r="176" ht="23" customHeight="1">
      <x:c r="A176" s="9"/>
      <x:c r="B176" s="10"/>
      <x:c r="C176" s="14"/>
      <x:c r="D176" s="9"/>
      <x:c r="E176" s="9"/>
      <x:c r="F176" s="9"/>
      <x:c r="G176" s="9" t="str">
        <x:f>IF(A176="","",INDEX('입고대장'!$M$7:$M$1006,MATCH(A176,'입고대장'!$A$7:$A$1006,0)))</x:f>
      </x:c>
      <x:c r="H176" s="9"/>
      <x:c r="I176" s="2"/>
      <x:c r="J176" s="2"/>
      <x:c r="K176" s="2"/>
      <x:c r="L176" s="2"/>
      <x:c r="M176" s="2"/>
      <x:c r="N176" s="2"/>
    </x:row>
    <x:row r="177" ht="23" customHeight="1">
      <x:c r="A177" s="9"/>
      <x:c r="B177" s="10"/>
      <x:c r="C177" s="14"/>
      <x:c r="D177" s="9"/>
      <x:c r="E177" s="9"/>
      <x:c r="F177" s="9"/>
      <x:c r="G177" s="9" t="str">
        <x:f>IF(A177="","",INDEX('입고대장'!$M$7:$M$1006,MATCH(A177,'입고대장'!$A$7:$A$1006,0)))</x:f>
      </x:c>
      <x:c r="H177" s="9"/>
      <x:c r="I177" s="2"/>
      <x:c r="J177" s="2"/>
      <x:c r="K177" s="2"/>
      <x:c r="L177" s="2"/>
      <x:c r="M177" s="2"/>
      <x:c r="N177" s="2"/>
    </x:row>
    <x:row r="178" ht="23" customHeight="1">
      <x:c r="A178" s="9"/>
      <x:c r="B178" s="10"/>
      <x:c r="C178" s="14"/>
      <x:c r="D178" s="9"/>
      <x:c r="E178" s="9"/>
      <x:c r="F178" s="9"/>
      <x:c r="G178" s="9" t="str">
        <x:f>IF(A178="","",INDEX('입고대장'!$M$7:$M$1006,MATCH(A178,'입고대장'!$A$7:$A$1006,0)))</x:f>
      </x:c>
      <x:c r="H178" s="9"/>
      <x:c r="I178" s="2"/>
      <x:c r="J178" s="2"/>
      <x:c r="K178" s="2"/>
      <x:c r="L178" s="2"/>
      <x:c r="M178" s="2"/>
      <x:c r="N178" s="2"/>
    </x:row>
    <x:row r="179" ht="23" customHeight="1">
      <x:c r="A179" s="9"/>
      <x:c r="B179" s="10"/>
      <x:c r="C179" s="14"/>
      <x:c r="D179" s="9"/>
      <x:c r="E179" s="9"/>
      <x:c r="F179" s="9"/>
      <x:c r="G179" s="9" t="str">
        <x:f>IF(A179="","",INDEX('입고대장'!$M$7:$M$1006,MATCH(A179,'입고대장'!$A$7:$A$1006,0)))</x:f>
      </x:c>
      <x:c r="H179" s="9"/>
      <x:c r="I179" s="2"/>
      <x:c r="J179" s="2"/>
      <x:c r="K179" s="2"/>
      <x:c r="L179" s="2"/>
      <x:c r="M179" s="2"/>
      <x:c r="N179" s="2"/>
    </x:row>
    <x:row r="180" ht="23" customHeight="1">
      <x:c r="A180" s="9"/>
      <x:c r="B180" s="10"/>
      <x:c r="C180" s="14"/>
      <x:c r="D180" s="9"/>
      <x:c r="E180" s="9"/>
      <x:c r="F180" s="9"/>
      <x:c r="G180" s="9" t="str">
        <x:f>IF(A180="","",INDEX('입고대장'!$M$7:$M$1006,MATCH(A180,'입고대장'!$A$7:$A$1006,0)))</x:f>
      </x:c>
      <x:c r="H180" s="9"/>
      <x:c r="I180" s="2"/>
      <x:c r="J180" s="2"/>
      <x:c r="K180" s="2"/>
      <x:c r="L180" s="2"/>
      <x:c r="M180" s="2"/>
      <x:c r="N180" s="2"/>
    </x:row>
    <x:row r="181" ht="23" customHeight="1">
      <x:c r="A181" s="9"/>
      <x:c r="B181" s="10"/>
      <x:c r="C181" s="14"/>
      <x:c r="D181" s="9"/>
      <x:c r="E181" s="9"/>
      <x:c r="F181" s="9"/>
      <x:c r="G181" s="9" t="str">
        <x:f>IF(A181="","",INDEX('입고대장'!$M$7:$M$1006,MATCH(A181,'입고대장'!$A$7:$A$1006,0)))</x:f>
      </x:c>
      <x:c r="H181" s="9"/>
      <x:c r="I181" s="2"/>
      <x:c r="J181" s="2"/>
      <x:c r="K181" s="2"/>
      <x:c r="L181" s="2"/>
      <x:c r="M181" s="2"/>
      <x:c r="N181" s="2"/>
    </x:row>
    <x:row r="182" ht="23" customHeight="1">
      <x:c r="A182" s="9"/>
      <x:c r="B182" s="10"/>
      <x:c r="C182" s="14"/>
      <x:c r="D182" s="9"/>
      <x:c r="E182" s="9"/>
      <x:c r="F182" s="9"/>
      <x:c r="G182" s="9" t="str">
        <x:f>IF(A182="","",INDEX('입고대장'!$M$7:$M$1006,MATCH(A182,'입고대장'!$A$7:$A$1006,0)))</x:f>
      </x:c>
      <x:c r="H182" s="9"/>
      <x:c r="I182" s="2"/>
      <x:c r="J182" s="2"/>
      <x:c r="K182" s="2"/>
      <x:c r="L182" s="2"/>
      <x:c r="M182" s="2"/>
      <x:c r="N182" s="2"/>
    </x:row>
    <x:row r="183" ht="23" customHeight="1">
      <x:c r="A183" s="9"/>
      <x:c r="B183" s="10"/>
      <x:c r="C183" s="14"/>
      <x:c r="D183" s="9"/>
      <x:c r="E183" s="9"/>
      <x:c r="F183" s="9"/>
      <x:c r="G183" s="9" t="str">
        <x:f>IF(A183="","",INDEX('입고대장'!$M$7:$M$1006,MATCH(A183,'입고대장'!$A$7:$A$1006,0)))</x:f>
      </x:c>
      <x:c r="H183" s="9"/>
      <x:c r="I183" s="2"/>
      <x:c r="J183" s="2"/>
      <x:c r="K183" s="2"/>
      <x:c r="L183" s="2"/>
      <x:c r="M183" s="2"/>
      <x:c r="N183" s="2"/>
    </x:row>
    <x:row r="184" ht="23" customHeight="1">
      <x:c r="A184" s="9"/>
      <x:c r="B184" s="10"/>
      <x:c r="C184" s="14"/>
      <x:c r="D184" s="9"/>
      <x:c r="E184" s="9"/>
      <x:c r="F184" s="9"/>
      <x:c r="G184" s="9" t="str">
        <x:f>IF(A184="","",INDEX('입고대장'!$M$7:$M$1006,MATCH(A184,'입고대장'!$A$7:$A$1006,0)))</x:f>
      </x:c>
      <x:c r="H184" s="9"/>
      <x:c r="I184" s="2"/>
      <x:c r="J184" s="2"/>
      <x:c r="K184" s="2"/>
      <x:c r="L184" s="2"/>
      <x:c r="M184" s="2"/>
      <x:c r="N184" s="2"/>
    </x:row>
    <x:row r="185" ht="23" customHeight="1">
      <x:c r="A185" s="9"/>
      <x:c r="B185" s="10"/>
      <x:c r="C185" s="14"/>
      <x:c r="D185" s="9"/>
      <x:c r="E185" s="9"/>
      <x:c r="F185" s="9"/>
      <x:c r="G185" s="9" t="str">
        <x:f>IF(A185="","",INDEX('입고대장'!$M$7:$M$1006,MATCH(A185,'입고대장'!$A$7:$A$1006,0)))</x:f>
      </x:c>
      <x:c r="H185" s="9"/>
      <x:c r="I185" s="2"/>
      <x:c r="J185" s="2"/>
      <x:c r="K185" s="2"/>
      <x:c r="L185" s="2"/>
      <x:c r="M185" s="2"/>
      <x:c r="N185" s="2"/>
    </x:row>
    <x:row r="186" ht="23" customHeight="1">
      <x:c r="A186" s="9"/>
      <x:c r="B186" s="10"/>
      <x:c r="C186" s="14"/>
      <x:c r="D186" s="9"/>
      <x:c r="E186" s="9"/>
      <x:c r="F186" s="9"/>
      <x:c r="G186" s="9" t="str">
        <x:f>IF(A186="","",INDEX('입고대장'!$M$7:$M$1006,MATCH(A186,'입고대장'!$A$7:$A$1006,0)))</x:f>
      </x:c>
      <x:c r="H186" s="9"/>
      <x:c r="I186" s="2"/>
      <x:c r="J186" s="2"/>
      <x:c r="K186" s="2"/>
      <x:c r="L186" s="2"/>
      <x:c r="M186" s="2"/>
      <x:c r="N186" s="2"/>
    </x:row>
    <x:row r="187" ht="23" customHeight="1">
      <x:c r="A187" s="9"/>
      <x:c r="B187" s="10"/>
      <x:c r="C187" s="14"/>
      <x:c r="D187" s="9"/>
      <x:c r="E187" s="9"/>
      <x:c r="F187" s="9"/>
      <x:c r="G187" s="9" t="str">
        <x:f>IF(A187="","",INDEX('입고대장'!$M$7:$M$1006,MATCH(A187,'입고대장'!$A$7:$A$1006,0)))</x:f>
      </x:c>
      <x:c r="H187" s="9"/>
      <x:c r="I187" s="2"/>
      <x:c r="J187" s="2"/>
      <x:c r="K187" s="2"/>
      <x:c r="L187" s="2"/>
      <x:c r="M187" s="2"/>
      <x:c r="N187" s="2"/>
    </x:row>
    <x:row r="188" ht="23" customHeight="1">
      <x:c r="A188" s="9"/>
      <x:c r="B188" s="10"/>
      <x:c r="C188" s="14"/>
      <x:c r="D188" s="9"/>
      <x:c r="E188" s="9"/>
      <x:c r="F188" s="9"/>
      <x:c r="G188" s="9" t="str">
        <x:f>IF(A188="","",INDEX('입고대장'!$M$7:$M$1006,MATCH(A188,'입고대장'!$A$7:$A$1006,0)))</x:f>
      </x:c>
      <x:c r="H188" s="9"/>
      <x:c r="I188" s="2"/>
      <x:c r="J188" s="2"/>
      <x:c r="K188" s="2"/>
      <x:c r="L188" s="2"/>
      <x:c r="M188" s="2"/>
      <x:c r="N188" s="2"/>
    </x:row>
    <x:row r="189" ht="23" customHeight="1">
      <x:c r="A189" s="9"/>
      <x:c r="B189" s="10"/>
      <x:c r="C189" s="14"/>
      <x:c r="D189" s="9"/>
      <x:c r="E189" s="9"/>
      <x:c r="F189" s="9"/>
      <x:c r="G189" s="9" t="str">
        <x:f>IF(A189="","",INDEX('입고대장'!$M$7:$M$1006,MATCH(A189,'입고대장'!$A$7:$A$1006,0)))</x:f>
      </x:c>
      <x:c r="H189" s="9"/>
      <x:c r="I189" s="2"/>
      <x:c r="J189" s="2"/>
      <x:c r="K189" s="2"/>
      <x:c r="L189" s="2"/>
      <x:c r="M189" s="2"/>
      <x:c r="N189" s="2"/>
    </x:row>
    <x:row r="190" ht="23" customHeight="1">
      <x:c r="A190" s="9"/>
      <x:c r="B190" s="10"/>
      <x:c r="C190" s="14"/>
      <x:c r="D190" s="9"/>
      <x:c r="E190" s="9"/>
      <x:c r="F190" s="9"/>
      <x:c r="G190" s="9" t="str">
        <x:f>IF(A190="","",INDEX('입고대장'!$M$7:$M$1006,MATCH(A190,'입고대장'!$A$7:$A$1006,0)))</x:f>
      </x:c>
      <x:c r="H190" s="9"/>
      <x:c r="I190" s="2"/>
      <x:c r="J190" s="2"/>
      <x:c r="K190" s="2"/>
      <x:c r="L190" s="2"/>
      <x:c r="M190" s="2"/>
      <x:c r="N190" s="2"/>
    </x:row>
    <x:row r="191" ht="23" customHeight="1">
      <x:c r="A191" s="9"/>
      <x:c r="B191" s="10"/>
      <x:c r="C191" s="14"/>
      <x:c r="D191" s="9"/>
      <x:c r="E191" s="9"/>
      <x:c r="F191" s="9"/>
      <x:c r="G191" s="9" t="str">
        <x:f>IF(A191="","",INDEX('입고대장'!$M$7:$M$1006,MATCH(A191,'입고대장'!$A$7:$A$1006,0)))</x:f>
      </x:c>
      <x:c r="H191" s="9"/>
      <x:c r="I191" s="2"/>
      <x:c r="J191" s="2"/>
      <x:c r="K191" s="2"/>
      <x:c r="L191" s="2"/>
      <x:c r="M191" s="2"/>
      <x:c r="N191" s="2"/>
    </x:row>
    <x:row r="192" ht="23" customHeight="1">
      <x:c r="A192" s="9"/>
      <x:c r="B192" s="10"/>
      <x:c r="C192" s="14"/>
      <x:c r="D192" s="9"/>
      <x:c r="E192" s="9"/>
      <x:c r="F192" s="9"/>
      <x:c r="G192" s="9" t="str">
        <x:f>IF(A192="","",INDEX('입고대장'!$M$7:$M$1006,MATCH(A192,'입고대장'!$A$7:$A$1006,0)))</x:f>
      </x:c>
      <x:c r="H192" s="9"/>
      <x:c r="I192" s="2"/>
      <x:c r="J192" s="2"/>
      <x:c r="K192" s="2"/>
      <x:c r="L192" s="2"/>
      <x:c r="M192" s="2"/>
      <x:c r="N192" s="2"/>
    </x:row>
    <x:row r="193" ht="23" customHeight="1">
      <x:c r="A193" s="9"/>
      <x:c r="B193" s="10"/>
      <x:c r="C193" s="14"/>
      <x:c r="D193" s="9"/>
      <x:c r="E193" s="9"/>
      <x:c r="F193" s="9"/>
      <x:c r="G193" s="9" t="str">
        <x:f>IF(A193="","",INDEX('입고대장'!$M$7:$M$1006,MATCH(A193,'입고대장'!$A$7:$A$1006,0)))</x:f>
      </x:c>
      <x:c r="H193" s="9"/>
      <x:c r="I193" s="2"/>
      <x:c r="J193" s="2"/>
      <x:c r="K193" s="2"/>
      <x:c r="L193" s="2"/>
      <x:c r="M193" s="2"/>
      <x:c r="N193" s="2"/>
    </x:row>
    <x:row r="194" ht="23" customHeight="1">
      <x:c r="A194" s="9"/>
      <x:c r="B194" s="10"/>
      <x:c r="C194" s="14"/>
      <x:c r="D194" s="9"/>
      <x:c r="E194" s="9"/>
      <x:c r="F194" s="9"/>
      <x:c r="G194" s="9" t="str">
        <x:f>IF(A194="","",INDEX('입고대장'!$M$7:$M$1006,MATCH(A194,'입고대장'!$A$7:$A$1006,0)))</x:f>
      </x:c>
      <x:c r="H194" s="9"/>
      <x:c r="I194" s="2"/>
      <x:c r="J194" s="2"/>
      <x:c r="K194" s="2"/>
      <x:c r="L194" s="2"/>
      <x:c r="M194" s="2"/>
      <x:c r="N194" s="2"/>
    </x:row>
    <x:row r="195" ht="23" customHeight="1">
      <x:c r="A195" s="9"/>
      <x:c r="B195" s="10"/>
      <x:c r="C195" s="14"/>
      <x:c r="D195" s="9"/>
      <x:c r="E195" s="9"/>
      <x:c r="F195" s="9"/>
      <x:c r="G195" s="9" t="str">
        <x:f>IF(A195="","",INDEX('입고대장'!$M$7:$M$1006,MATCH(A195,'입고대장'!$A$7:$A$1006,0)))</x:f>
      </x:c>
      <x:c r="H195" s="9"/>
      <x:c r="I195" s="2"/>
      <x:c r="J195" s="2"/>
      <x:c r="K195" s="2"/>
      <x:c r="L195" s="2"/>
      <x:c r="M195" s="2"/>
      <x:c r="N195" s="2"/>
    </x:row>
    <x:row r="196" ht="23" customHeight="1">
      <x:c r="A196" s="9"/>
      <x:c r="B196" s="10"/>
      <x:c r="C196" s="14"/>
      <x:c r="D196" s="9"/>
      <x:c r="E196" s="9"/>
      <x:c r="F196" s="9"/>
      <x:c r="G196" s="9" t="str">
        <x:f>IF(A196="","",INDEX('입고대장'!$M$7:$M$1006,MATCH(A196,'입고대장'!$A$7:$A$1006,0)))</x:f>
      </x:c>
      <x:c r="H196" s="9"/>
      <x:c r="I196" s="2"/>
      <x:c r="J196" s="2"/>
      <x:c r="K196" s="2"/>
      <x:c r="L196" s="2"/>
      <x:c r="M196" s="2"/>
      <x:c r="N196" s="2"/>
    </x:row>
    <x:row r="197" ht="23" customHeight="1">
      <x:c r="A197" s="9"/>
      <x:c r="B197" s="10"/>
      <x:c r="C197" s="14"/>
      <x:c r="D197" s="9"/>
      <x:c r="E197" s="9"/>
      <x:c r="F197" s="9"/>
      <x:c r="G197" s="9" t="str">
        <x:f>IF(A197="","",INDEX('입고대장'!$M$7:$M$1006,MATCH(A197,'입고대장'!$A$7:$A$1006,0)))</x:f>
      </x:c>
      <x:c r="H197" s="9"/>
      <x:c r="I197" s="2"/>
      <x:c r="J197" s="2"/>
      <x:c r="K197" s="2"/>
      <x:c r="L197" s="2"/>
      <x:c r="M197" s="2"/>
      <x:c r="N197" s="2"/>
    </x:row>
    <x:row r="198" ht="23" customHeight="1">
      <x:c r="A198" s="9"/>
      <x:c r="B198" s="10"/>
      <x:c r="C198" s="14"/>
      <x:c r="D198" s="9"/>
      <x:c r="E198" s="9"/>
      <x:c r="F198" s="9"/>
      <x:c r="G198" s="9" t="str">
        <x:f>IF(A198="","",INDEX('입고대장'!$M$7:$M$1006,MATCH(A198,'입고대장'!$A$7:$A$1006,0)))</x:f>
      </x:c>
      <x:c r="H198" s="9"/>
      <x:c r="I198" s="2"/>
      <x:c r="J198" s="2"/>
      <x:c r="K198" s="2"/>
      <x:c r="L198" s="2"/>
      <x:c r="M198" s="2"/>
      <x:c r="N198" s="2"/>
    </x:row>
    <x:row r="199" ht="23" customHeight="1">
      <x:c r="A199" s="9"/>
      <x:c r="B199" s="10"/>
      <x:c r="C199" s="14"/>
      <x:c r="D199" s="9"/>
      <x:c r="E199" s="9"/>
      <x:c r="F199" s="9"/>
      <x:c r="G199" s="9" t="str">
        <x:f>IF(A199="","",INDEX('입고대장'!$M$7:$M$1006,MATCH(A199,'입고대장'!$A$7:$A$1006,0)))</x:f>
      </x:c>
      <x:c r="H199" s="9"/>
      <x:c r="I199" s="2"/>
      <x:c r="J199" s="2"/>
      <x:c r="K199" s="2"/>
      <x:c r="L199" s="2"/>
      <x:c r="M199" s="2"/>
      <x:c r="N199" s="2"/>
    </x:row>
    <x:row r="200" ht="23" customHeight="1">
      <x:c r="A200" s="9"/>
      <x:c r="B200" s="10"/>
      <x:c r="C200" s="14"/>
      <x:c r="D200" s="9"/>
      <x:c r="E200" s="9"/>
      <x:c r="F200" s="9"/>
      <x:c r="G200" s="9" t="str">
        <x:f>IF(A200="","",INDEX('입고대장'!$M$7:$M$1006,MATCH(A200,'입고대장'!$A$7:$A$1006,0)))</x:f>
      </x:c>
      <x:c r="H200" s="9"/>
      <x:c r="I200" s="2"/>
      <x:c r="J200" s="2"/>
      <x:c r="K200" s="2"/>
      <x:c r="L200" s="2"/>
      <x:c r="M200" s="2"/>
      <x:c r="N200" s="2"/>
    </x:row>
    <x:row r="201" ht="23" customHeight="1">
      <x:c r="A201" s="9"/>
      <x:c r="B201" s="10"/>
      <x:c r="C201" s="14"/>
      <x:c r="D201" s="9"/>
      <x:c r="E201" s="9"/>
      <x:c r="F201" s="9"/>
      <x:c r="G201" s="9" t="str">
        <x:f>IF(A201="","",INDEX('입고대장'!$M$7:$M$1006,MATCH(A201,'입고대장'!$A$7:$A$1006,0)))</x:f>
      </x:c>
      <x:c r="H201" s="9"/>
      <x:c r="I201" s="2"/>
      <x:c r="J201" s="2"/>
      <x:c r="K201" s="2"/>
      <x:c r="L201" s="2"/>
      <x:c r="M201" s="2"/>
      <x:c r="N201" s="2"/>
    </x:row>
    <x:row r="202" ht="23" customHeight="1">
      <x:c r="A202" s="9"/>
      <x:c r="B202" s="10"/>
      <x:c r="C202" s="14"/>
      <x:c r="D202" s="9"/>
      <x:c r="E202" s="9"/>
      <x:c r="F202" s="9"/>
      <x:c r="G202" s="9" t="str">
        <x:f>IF(A202="","",INDEX('입고대장'!$M$7:$M$1006,MATCH(A202,'입고대장'!$A$7:$A$1006,0)))</x:f>
      </x:c>
      <x:c r="H202" s="9"/>
      <x:c r="I202" s="2"/>
      <x:c r="J202" s="2"/>
      <x:c r="K202" s="2"/>
      <x:c r="L202" s="2"/>
      <x:c r="M202" s="2"/>
      <x:c r="N202" s="2"/>
    </x:row>
    <x:row r="203" ht="23" customHeight="1">
      <x:c r="A203" s="9"/>
      <x:c r="B203" s="10"/>
      <x:c r="C203" s="14"/>
      <x:c r="D203" s="9"/>
      <x:c r="E203" s="9"/>
      <x:c r="F203" s="9"/>
      <x:c r="G203" s="9" t="str">
        <x:f>IF(A203="","",INDEX('입고대장'!$M$7:$M$1006,MATCH(A203,'입고대장'!$A$7:$A$1006,0)))</x:f>
      </x:c>
      <x:c r="H203" s="9"/>
      <x:c r="I203" s="2"/>
      <x:c r="J203" s="2"/>
      <x:c r="K203" s="2"/>
      <x:c r="L203" s="2"/>
      <x:c r="M203" s="2"/>
      <x:c r="N203" s="2"/>
    </x:row>
    <x:row r="204" ht="23" customHeight="1">
      <x:c r="A204" s="9"/>
      <x:c r="B204" s="10"/>
      <x:c r="C204" s="14"/>
      <x:c r="D204" s="9"/>
      <x:c r="E204" s="9"/>
      <x:c r="F204" s="9"/>
      <x:c r="G204" s="9" t="str">
        <x:f>IF(A204="","",INDEX('입고대장'!$M$7:$M$1006,MATCH(A204,'입고대장'!$A$7:$A$1006,0)))</x:f>
      </x:c>
      <x:c r="H204" s="9"/>
      <x:c r="I204" s="2"/>
      <x:c r="J204" s="2"/>
      <x:c r="K204" s="2"/>
      <x:c r="L204" s="2"/>
      <x:c r="M204" s="2"/>
      <x:c r="N204" s="2"/>
    </x:row>
    <x:row r="205" ht="23" customHeight="1">
      <x:c r="A205" s="9"/>
      <x:c r="B205" s="10"/>
      <x:c r="C205" s="14"/>
      <x:c r="D205" s="9"/>
      <x:c r="E205" s="9"/>
      <x:c r="F205" s="9"/>
      <x:c r="G205" s="9" t="str">
        <x:f>IF(A205="","",INDEX('입고대장'!$M$7:$M$1006,MATCH(A205,'입고대장'!$A$7:$A$1006,0)))</x:f>
      </x:c>
      <x:c r="H205" s="9"/>
      <x:c r="I205" s="2"/>
      <x:c r="J205" s="2"/>
      <x:c r="K205" s="2"/>
      <x:c r="L205" s="2"/>
      <x:c r="M205" s="2"/>
      <x:c r="N205" s="2"/>
    </x:row>
    <x:row r="206" ht="23" customHeight="1">
      <x:c r="A206" s="9"/>
      <x:c r="B206" s="10"/>
      <x:c r="C206" s="14"/>
      <x:c r="D206" s="9"/>
      <x:c r="E206" s="9"/>
      <x:c r="F206" s="9"/>
      <x:c r="G206" s="9" t="str">
        <x:f>IF(A206="","",INDEX('입고대장'!$M$7:$M$1006,MATCH(A206,'입고대장'!$A$7:$A$1006,0)))</x:f>
      </x:c>
      <x:c r="H206" s="9"/>
      <x:c r="I206" s="2"/>
      <x:c r="J206" s="2"/>
      <x:c r="K206" s="2"/>
      <x:c r="L206" s="2"/>
      <x:c r="M206" s="2"/>
      <x:c r="N206" s="2"/>
    </x:row>
    <x:row r="207" ht="23" customHeight="1">
      <x:c r="A207" s="9"/>
      <x:c r="B207" s="10"/>
      <x:c r="C207" s="14"/>
      <x:c r="D207" s="9"/>
      <x:c r="E207" s="9"/>
      <x:c r="F207" s="9"/>
      <x:c r="G207" s="9" t="str">
        <x:f>IF(A207="","",INDEX('입고대장'!$M$7:$M$1006,MATCH(A207,'입고대장'!$A$7:$A$1006,0)))</x:f>
      </x:c>
      <x:c r="H207" s="9"/>
      <x:c r="I207" s="2"/>
      <x:c r="J207" s="2"/>
      <x:c r="K207" s="2"/>
      <x:c r="L207" s="2"/>
      <x:c r="M207" s="2"/>
      <x:c r="N207" s="2"/>
    </x:row>
    <x:row r="208" ht="23" customHeight="1">
      <x:c r="A208" s="9"/>
      <x:c r="B208" s="10"/>
      <x:c r="C208" s="14"/>
      <x:c r="D208" s="9"/>
      <x:c r="E208" s="9"/>
      <x:c r="F208" s="9"/>
      <x:c r="G208" s="9" t="str">
        <x:f>IF(A208="","",INDEX('입고대장'!$M$7:$M$1006,MATCH(A208,'입고대장'!$A$7:$A$1006,0)))</x:f>
      </x:c>
      <x:c r="H208" s="9"/>
      <x:c r="I208" s="2"/>
      <x:c r="J208" s="2"/>
      <x:c r="K208" s="2"/>
      <x:c r="L208" s="2"/>
      <x:c r="M208" s="2"/>
      <x:c r="N208" s="2"/>
    </x:row>
    <x:row r="209" ht="23" customHeight="1">
      <x:c r="A209" s="9"/>
      <x:c r="B209" s="10"/>
      <x:c r="C209" s="14"/>
      <x:c r="D209" s="9"/>
      <x:c r="E209" s="9"/>
      <x:c r="F209" s="9"/>
      <x:c r="G209" s="9" t="str">
        <x:f>IF(A209="","",INDEX('입고대장'!$M$7:$M$1006,MATCH(A209,'입고대장'!$A$7:$A$1006,0)))</x:f>
      </x:c>
      <x:c r="H209" s="9"/>
      <x:c r="I209" s="2"/>
      <x:c r="J209" s="2"/>
      <x:c r="K209" s="2"/>
      <x:c r="L209" s="2"/>
      <x:c r="M209" s="2"/>
      <x:c r="N209" s="2"/>
    </x:row>
    <x:row r="210" ht="23" customHeight="1">
      <x:c r="A210" s="9"/>
      <x:c r="B210" s="10"/>
      <x:c r="C210" s="14"/>
      <x:c r="D210" s="9"/>
      <x:c r="E210" s="9"/>
      <x:c r="F210" s="9"/>
      <x:c r="G210" s="9" t="str">
        <x:f>IF(A210="","",INDEX('입고대장'!$M$7:$M$1006,MATCH(A210,'입고대장'!$A$7:$A$1006,0)))</x:f>
      </x:c>
      <x:c r="H210" s="9"/>
      <x:c r="I210" s="2"/>
      <x:c r="J210" s="2"/>
      <x:c r="K210" s="2"/>
      <x:c r="L210" s="2"/>
      <x:c r="M210" s="2"/>
      <x:c r="N210" s="2"/>
    </x:row>
    <x:row r="211" ht="23" customHeight="1">
      <x:c r="A211" s="9"/>
      <x:c r="B211" s="10"/>
      <x:c r="C211" s="14"/>
      <x:c r="D211" s="9"/>
      <x:c r="E211" s="9"/>
      <x:c r="F211" s="9"/>
      <x:c r="G211" s="9" t="str">
        <x:f>IF(A211="","",INDEX('입고대장'!$M$7:$M$1006,MATCH(A211,'입고대장'!$A$7:$A$1006,0)))</x:f>
      </x:c>
      <x:c r="H211" s="9"/>
      <x:c r="I211" s="2"/>
      <x:c r="J211" s="2"/>
      <x:c r="K211" s="2"/>
      <x:c r="L211" s="2"/>
      <x:c r="M211" s="2"/>
      <x:c r="N211" s="2"/>
    </x:row>
    <x:row r="212" ht="23" customHeight="1">
      <x:c r="A212" s="9"/>
      <x:c r="B212" s="10"/>
      <x:c r="C212" s="14"/>
      <x:c r="D212" s="9"/>
      <x:c r="E212" s="9"/>
      <x:c r="F212" s="9"/>
      <x:c r="G212" s="9" t="str">
        <x:f>IF(A212="","",INDEX('입고대장'!$M$7:$M$1006,MATCH(A212,'입고대장'!$A$7:$A$1006,0)))</x:f>
      </x:c>
      <x:c r="H212" s="9"/>
      <x:c r="I212" s="2"/>
      <x:c r="J212" s="2"/>
      <x:c r="K212" s="2"/>
      <x:c r="L212" s="2"/>
      <x:c r="M212" s="2"/>
      <x:c r="N212" s="2"/>
    </x:row>
    <x:row r="213" ht="23" customHeight="1">
      <x:c r="A213" s="9"/>
      <x:c r="B213" s="10"/>
      <x:c r="C213" s="14"/>
      <x:c r="D213" s="9"/>
      <x:c r="E213" s="9"/>
      <x:c r="F213" s="9"/>
      <x:c r="G213" s="9" t="str">
        <x:f>IF(A213="","",INDEX('입고대장'!$M$7:$M$1006,MATCH(A213,'입고대장'!$A$7:$A$1006,0)))</x:f>
      </x:c>
      <x:c r="H213" s="9"/>
      <x:c r="I213" s="2"/>
      <x:c r="J213" s="2"/>
      <x:c r="K213" s="2"/>
      <x:c r="L213" s="2"/>
      <x:c r="M213" s="2"/>
      <x:c r="N213" s="2"/>
    </x:row>
    <x:row r="214" ht="23" customHeight="1">
      <x:c r="A214" s="9"/>
      <x:c r="B214" s="10"/>
      <x:c r="C214" s="14"/>
      <x:c r="D214" s="9"/>
      <x:c r="E214" s="9"/>
      <x:c r="F214" s="9"/>
      <x:c r="G214" s="9" t="str">
        <x:f>IF(A214="","",INDEX('입고대장'!$M$7:$M$1006,MATCH(A214,'입고대장'!$A$7:$A$1006,0)))</x:f>
      </x:c>
      <x:c r="H214" s="9"/>
      <x:c r="I214" s="2"/>
      <x:c r="J214" s="2"/>
      <x:c r="K214" s="2"/>
      <x:c r="L214" s="2"/>
      <x:c r="M214" s="2"/>
      <x:c r="N214" s="2"/>
    </x:row>
    <x:row r="215" ht="23" customHeight="1">
      <x:c r="A215" s="9"/>
      <x:c r="B215" s="10"/>
      <x:c r="C215" s="14"/>
      <x:c r="D215" s="9"/>
      <x:c r="E215" s="9"/>
      <x:c r="F215" s="9"/>
      <x:c r="G215" s="9" t="str">
        <x:f>IF(A215="","",INDEX('입고대장'!$M$7:$M$1006,MATCH(A215,'입고대장'!$A$7:$A$1006,0)))</x:f>
      </x:c>
      <x:c r="H215" s="9"/>
      <x:c r="I215" s="2"/>
      <x:c r="J215" s="2"/>
      <x:c r="K215" s="2"/>
      <x:c r="L215" s="2"/>
      <x:c r="M215" s="2"/>
      <x:c r="N215" s="2"/>
    </x:row>
    <x:row r="216" ht="23" customHeight="1">
      <x:c r="A216" s="9"/>
      <x:c r="B216" s="10"/>
      <x:c r="C216" s="14"/>
      <x:c r="D216" s="9"/>
      <x:c r="E216" s="9"/>
      <x:c r="F216" s="9"/>
      <x:c r="G216" s="9" t="str">
        <x:f>IF(A216="","",INDEX('입고대장'!$M$7:$M$1006,MATCH(A216,'입고대장'!$A$7:$A$1006,0)))</x:f>
      </x:c>
      <x:c r="H216" s="9"/>
      <x:c r="I216" s="2"/>
      <x:c r="J216" s="2"/>
      <x:c r="K216" s="2"/>
      <x:c r="L216" s="2"/>
      <x:c r="M216" s="2"/>
      <x:c r="N216" s="2"/>
    </x:row>
    <x:row r="217" ht="23" customHeight="1">
      <x:c r="A217" s="9"/>
      <x:c r="B217" s="10"/>
      <x:c r="C217" s="14"/>
      <x:c r="D217" s="9"/>
      <x:c r="E217" s="9"/>
      <x:c r="F217" s="9"/>
      <x:c r="G217" s="9" t="str">
        <x:f>IF(A217="","",INDEX('입고대장'!$M$7:$M$1006,MATCH(A217,'입고대장'!$A$7:$A$1006,0)))</x:f>
      </x:c>
      <x:c r="H217" s="9"/>
      <x:c r="I217" s="2"/>
      <x:c r="J217" s="2"/>
      <x:c r="K217" s="2"/>
      <x:c r="L217" s="2"/>
      <x:c r="M217" s="2"/>
      <x:c r="N217" s="2"/>
    </x:row>
    <x:row r="218" ht="23" customHeight="1">
      <x:c r="A218" s="9"/>
      <x:c r="B218" s="10"/>
      <x:c r="C218" s="14"/>
      <x:c r="D218" s="9"/>
      <x:c r="E218" s="9"/>
      <x:c r="F218" s="9"/>
      <x:c r="G218" s="9" t="str">
        <x:f>IF(A218="","",INDEX('입고대장'!$M$7:$M$1006,MATCH(A218,'입고대장'!$A$7:$A$1006,0)))</x:f>
      </x:c>
      <x:c r="H218" s="9"/>
      <x:c r="I218" s="2"/>
      <x:c r="J218" s="2"/>
      <x:c r="K218" s="2"/>
      <x:c r="L218" s="2"/>
      <x:c r="M218" s="2"/>
      <x:c r="N218" s="2"/>
    </x:row>
    <x:row r="219" ht="23" customHeight="1">
      <x:c r="A219" s="9"/>
      <x:c r="B219" s="10"/>
      <x:c r="C219" s="14"/>
      <x:c r="D219" s="9"/>
      <x:c r="E219" s="9"/>
      <x:c r="F219" s="9"/>
      <x:c r="G219" s="9" t="str">
        <x:f>IF(A219="","",INDEX('입고대장'!$M$7:$M$1006,MATCH(A219,'입고대장'!$A$7:$A$1006,0)))</x:f>
      </x:c>
      <x:c r="H219" s="9"/>
      <x:c r="I219" s="2"/>
      <x:c r="J219" s="2"/>
      <x:c r="K219" s="2"/>
      <x:c r="L219" s="2"/>
      <x:c r="M219" s="2"/>
      <x:c r="N219" s="2"/>
    </x:row>
    <x:row r="220" ht="23" customHeight="1">
      <x:c r="A220" s="9"/>
      <x:c r="B220" s="10"/>
      <x:c r="C220" s="14"/>
      <x:c r="D220" s="9"/>
      <x:c r="E220" s="9"/>
      <x:c r="F220" s="9"/>
      <x:c r="G220" s="9" t="str">
        <x:f>IF(A220="","",INDEX('입고대장'!$M$7:$M$1006,MATCH(A220,'입고대장'!$A$7:$A$1006,0)))</x:f>
      </x:c>
      <x:c r="H220" s="9"/>
      <x:c r="I220" s="2"/>
      <x:c r="J220" s="2"/>
      <x:c r="K220" s="2"/>
      <x:c r="L220" s="2"/>
      <x:c r="M220" s="2"/>
      <x:c r="N220" s="2"/>
    </x:row>
    <x:row r="221" ht="23" customHeight="1">
      <x:c r="A221" s="9"/>
      <x:c r="B221" s="10"/>
      <x:c r="C221" s="14"/>
      <x:c r="D221" s="9"/>
      <x:c r="E221" s="9"/>
      <x:c r="F221" s="9"/>
      <x:c r="G221" s="9" t="str">
        <x:f>IF(A221="","",INDEX('입고대장'!$M$7:$M$1006,MATCH(A221,'입고대장'!$A$7:$A$1006,0)))</x:f>
      </x:c>
      <x:c r="H221" s="9"/>
      <x:c r="I221" s="2"/>
      <x:c r="J221" s="2"/>
      <x:c r="K221" s="2"/>
      <x:c r="L221" s="2"/>
      <x:c r="M221" s="2"/>
      <x:c r="N221" s="2"/>
    </x:row>
    <x:row r="222" ht="23" customHeight="1">
      <x:c r="A222" s="9"/>
      <x:c r="B222" s="10"/>
      <x:c r="C222" s="14"/>
      <x:c r="D222" s="9"/>
      <x:c r="E222" s="9"/>
      <x:c r="F222" s="9"/>
      <x:c r="G222" s="9" t="str">
        <x:f>IF(A222="","",INDEX('입고대장'!$M$7:$M$1006,MATCH(A222,'입고대장'!$A$7:$A$1006,0)))</x:f>
      </x:c>
      <x:c r="H222" s="9"/>
      <x:c r="I222" s="2"/>
      <x:c r="J222" s="2"/>
      <x:c r="K222" s="2"/>
      <x:c r="L222" s="2"/>
      <x:c r="M222" s="2"/>
      <x:c r="N222" s="2"/>
    </x:row>
    <x:row r="223" ht="23" customHeight="1">
      <x:c r="A223" s="9"/>
      <x:c r="B223" s="10"/>
      <x:c r="C223" s="14"/>
      <x:c r="D223" s="9"/>
      <x:c r="E223" s="9"/>
      <x:c r="F223" s="9"/>
      <x:c r="G223" s="9" t="str">
        <x:f>IF(A223="","",INDEX('입고대장'!$M$7:$M$1006,MATCH(A223,'입고대장'!$A$7:$A$1006,0)))</x:f>
      </x:c>
      <x:c r="H223" s="9"/>
      <x:c r="I223" s="2"/>
      <x:c r="J223" s="2"/>
      <x:c r="K223" s="2"/>
      <x:c r="L223" s="2"/>
      <x:c r="M223" s="2"/>
      <x:c r="N223" s="2"/>
    </x:row>
    <x:row r="224" ht="23" customHeight="1">
      <x:c r="A224" s="9"/>
      <x:c r="B224" s="10"/>
      <x:c r="C224" s="14"/>
      <x:c r="D224" s="9"/>
      <x:c r="E224" s="9"/>
      <x:c r="F224" s="9"/>
      <x:c r="G224" s="9" t="str">
        <x:f>IF(A224="","",INDEX('입고대장'!$M$7:$M$1006,MATCH(A224,'입고대장'!$A$7:$A$1006,0)))</x:f>
      </x:c>
      <x:c r="H224" s="9"/>
      <x:c r="I224" s="2"/>
      <x:c r="J224" s="2"/>
      <x:c r="K224" s="2"/>
      <x:c r="L224" s="2"/>
      <x:c r="M224" s="2"/>
      <x:c r="N224" s="2"/>
    </x:row>
    <x:row r="225" ht="23" customHeight="1">
      <x:c r="A225" s="9"/>
      <x:c r="B225" s="10"/>
      <x:c r="C225" s="14"/>
      <x:c r="D225" s="9"/>
      <x:c r="E225" s="9"/>
      <x:c r="F225" s="9"/>
      <x:c r="G225" s="9" t="str">
        <x:f>IF(A225="","",INDEX('입고대장'!$M$7:$M$1006,MATCH(A225,'입고대장'!$A$7:$A$1006,0)))</x:f>
      </x:c>
      <x:c r="H225" s="9"/>
      <x:c r="I225" s="2"/>
      <x:c r="J225" s="2"/>
      <x:c r="K225" s="2"/>
      <x:c r="L225" s="2"/>
      <x:c r="M225" s="2"/>
      <x:c r="N225" s="2"/>
    </x:row>
    <x:row r="226" ht="23" customHeight="1">
      <x:c r="A226" s="9"/>
      <x:c r="B226" s="10"/>
      <x:c r="C226" s="14"/>
      <x:c r="D226" s="9"/>
      <x:c r="E226" s="9"/>
      <x:c r="F226" s="9"/>
      <x:c r="G226" s="9" t="str">
        <x:f>IF(A226="","",INDEX('입고대장'!$M$7:$M$1006,MATCH(A226,'입고대장'!$A$7:$A$1006,0)))</x:f>
      </x:c>
      <x:c r="H226" s="9"/>
      <x:c r="I226" s="2"/>
      <x:c r="J226" s="2"/>
      <x:c r="K226" s="2"/>
      <x:c r="L226" s="2"/>
      <x:c r="M226" s="2"/>
      <x:c r="N226" s="2"/>
    </x:row>
    <x:row r="227" ht="23" customHeight="1">
      <x:c r="A227" s="9"/>
      <x:c r="B227" s="10"/>
      <x:c r="C227" s="14"/>
      <x:c r="D227" s="9"/>
      <x:c r="E227" s="9"/>
      <x:c r="F227" s="9"/>
      <x:c r="G227" s="9" t="str">
        <x:f>IF(A227="","",INDEX('입고대장'!$M$7:$M$1006,MATCH(A227,'입고대장'!$A$7:$A$1006,0)))</x:f>
      </x:c>
      <x:c r="H227" s="9"/>
      <x:c r="I227" s="2"/>
      <x:c r="J227" s="2"/>
      <x:c r="K227" s="2"/>
      <x:c r="L227" s="2"/>
      <x:c r="M227" s="2"/>
      <x:c r="N227" s="2"/>
    </x:row>
    <x:row r="228" ht="23" customHeight="1">
      <x:c r="A228" s="9"/>
      <x:c r="B228" s="10"/>
      <x:c r="C228" s="14"/>
      <x:c r="D228" s="9"/>
      <x:c r="E228" s="9"/>
      <x:c r="F228" s="9"/>
      <x:c r="G228" s="9" t="str">
        <x:f>IF(A228="","",INDEX('입고대장'!$M$7:$M$1006,MATCH(A228,'입고대장'!$A$7:$A$1006,0)))</x:f>
      </x:c>
      <x:c r="H228" s="9"/>
      <x:c r="I228" s="2"/>
      <x:c r="J228" s="2"/>
      <x:c r="K228" s="2"/>
      <x:c r="L228" s="2"/>
      <x:c r="M228" s="2"/>
      <x:c r="N228" s="2"/>
    </x:row>
    <x:row r="229" ht="23" customHeight="1">
      <x:c r="A229" s="9"/>
      <x:c r="B229" s="10"/>
      <x:c r="C229" s="14"/>
      <x:c r="D229" s="9"/>
      <x:c r="E229" s="9"/>
      <x:c r="F229" s="9"/>
      <x:c r="G229" s="9" t="str">
        <x:f>IF(A229="","",INDEX('입고대장'!$M$7:$M$1006,MATCH(A229,'입고대장'!$A$7:$A$1006,0)))</x:f>
      </x:c>
      <x:c r="H229" s="9"/>
      <x:c r="I229" s="2"/>
      <x:c r="J229" s="2"/>
      <x:c r="K229" s="2"/>
      <x:c r="L229" s="2"/>
      <x:c r="M229" s="2"/>
      <x:c r="N229" s="2"/>
    </x:row>
    <x:row r="230" ht="23" customHeight="1">
      <x:c r="A230" s="9"/>
      <x:c r="B230" s="10"/>
      <x:c r="C230" s="14"/>
      <x:c r="D230" s="9"/>
      <x:c r="E230" s="9"/>
      <x:c r="F230" s="9"/>
      <x:c r="G230" s="9" t="str">
        <x:f>IF(A230="","",INDEX('입고대장'!$M$7:$M$1006,MATCH(A230,'입고대장'!$A$7:$A$1006,0)))</x:f>
      </x:c>
      <x:c r="H230" s="9"/>
      <x:c r="I230" s="2"/>
      <x:c r="J230" s="2"/>
      <x:c r="K230" s="2"/>
      <x:c r="L230" s="2"/>
      <x:c r="M230" s="2"/>
      <x:c r="N230" s="2"/>
    </x:row>
    <x:row r="231" ht="23" customHeight="1">
      <x:c r="A231" s="9"/>
      <x:c r="B231" s="10"/>
      <x:c r="C231" s="14"/>
      <x:c r="D231" s="9"/>
      <x:c r="E231" s="9"/>
      <x:c r="F231" s="9"/>
      <x:c r="G231" s="9" t="str">
        <x:f>IF(A231="","",INDEX('입고대장'!$M$7:$M$1006,MATCH(A231,'입고대장'!$A$7:$A$1006,0)))</x:f>
      </x:c>
      <x:c r="H231" s="9"/>
      <x:c r="I231" s="2"/>
      <x:c r="J231" s="2"/>
      <x:c r="K231" s="2"/>
      <x:c r="L231" s="2"/>
      <x:c r="M231" s="2"/>
      <x:c r="N231" s="2"/>
    </x:row>
    <x:row r="232" ht="23" customHeight="1">
      <x:c r="A232" s="9"/>
      <x:c r="B232" s="10"/>
      <x:c r="C232" s="14"/>
      <x:c r="D232" s="9"/>
      <x:c r="E232" s="9"/>
      <x:c r="F232" s="9"/>
      <x:c r="G232" s="9" t="str">
        <x:f>IF(A232="","",INDEX('입고대장'!$M$7:$M$1006,MATCH(A232,'입고대장'!$A$7:$A$1006,0)))</x:f>
      </x:c>
      <x:c r="H232" s="9"/>
      <x:c r="I232" s="2"/>
      <x:c r="J232" s="2"/>
      <x:c r="K232" s="2"/>
      <x:c r="L232" s="2"/>
      <x:c r="M232" s="2"/>
      <x:c r="N232" s="2"/>
    </x:row>
    <x:row r="233" ht="23" customHeight="1">
      <x:c r="A233" s="9"/>
      <x:c r="B233" s="10"/>
      <x:c r="C233" s="14"/>
      <x:c r="D233" s="9"/>
      <x:c r="E233" s="9"/>
      <x:c r="F233" s="9"/>
      <x:c r="G233" s="9" t="str">
        <x:f>IF(A233="","",INDEX('입고대장'!$M$7:$M$1006,MATCH(A233,'입고대장'!$A$7:$A$1006,0)))</x:f>
      </x:c>
      <x:c r="H233" s="9"/>
      <x:c r="I233" s="2"/>
      <x:c r="J233" s="2"/>
      <x:c r="K233" s="2"/>
      <x:c r="L233" s="2"/>
      <x:c r="M233" s="2"/>
      <x:c r="N233" s="2"/>
    </x:row>
    <x:row r="234" ht="23" customHeight="1">
      <x:c r="A234" s="9"/>
      <x:c r="B234" s="10"/>
      <x:c r="C234" s="14"/>
      <x:c r="D234" s="9"/>
      <x:c r="E234" s="9"/>
      <x:c r="F234" s="9"/>
      <x:c r="G234" s="9" t="str">
        <x:f>IF(A234="","",INDEX('입고대장'!$M$7:$M$1006,MATCH(A234,'입고대장'!$A$7:$A$1006,0)))</x:f>
      </x:c>
      <x:c r="H234" s="9"/>
      <x:c r="I234" s="2"/>
      <x:c r="J234" s="2"/>
      <x:c r="K234" s="2"/>
      <x:c r="L234" s="2"/>
      <x:c r="M234" s="2"/>
      <x:c r="N234" s="2"/>
    </x:row>
    <x:row r="235" ht="23" customHeight="1">
      <x:c r="A235" s="9"/>
      <x:c r="B235" s="10"/>
      <x:c r="C235" s="14"/>
      <x:c r="D235" s="9"/>
      <x:c r="E235" s="9"/>
      <x:c r="F235" s="9"/>
      <x:c r="G235" s="9" t="str">
        <x:f>IF(A235="","",INDEX('입고대장'!$M$7:$M$1006,MATCH(A235,'입고대장'!$A$7:$A$1006,0)))</x:f>
      </x:c>
      <x:c r="H235" s="9"/>
      <x:c r="I235" s="2"/>
      <x:c r="J235" s="2"/>
      <x:c r="K235" s="2"/>
      <x:c r="L235" s="2"/>
      <x:c r="M235" s="2"/>
      <x:c r="N235" s="2"/>
    </x:row>
    <x:row r="236" ht="23" customHeight="1">
      <x:c r="A236" s="9"/>
      <x:c r="B236" s="10"/>
      <x:c r="C236" s="14"/>
      <x:c r="D236" s="9"/>
      <x:c r="E236" s="9"/>
      <x:c r="F236" s="9"/>
      <x:c r="G236" s="9" t="str">
        <x:f>IF(A236="","",INDEX('입고대장'!$M$7:$M$1006,MATCH(A236,'입고대장'!$A$7:$A$1006,0)))</x:f>
      </x:c>
      <x:c r="H236" s="9"/>
      <x:c r="I236" s="2"/>
      <x:c r="J236" s="2"/>
      <x:c r="K236" s="2"/>
      <x:c r="L236" s="2"/>
      <x:c r="M236" s="2"/>
      <x:c r="N236" s="2"/>
    </x:row>
    <x:row r="237" ht="23" customHeight="1">
      <x:c r="A237" s="9"/>
      <x:c r="B237" s="10"/>
      <x:c r="C237" s="14"/>
      <x:c r="D237" s="9"/>
      <x:c r="E237" s="9"/>
      <x:c r="F237" s="9"/>
      <x:c r="G237" s="9" t="str">
        <x:f>IF(A237="","",INDEX('입고대장'!$M$7:$M$1006,MATCH(A237,'입고대장'!$A$7:$A$1006,0)))</x:f>
      </x:c>
      <x:c r="H237" s="9"/>
      <x:c r="I237" s="2"/>
      <x:c r="J237" s="2"/>
      <x:c r="K237" s="2"/>
      <x:c r="L237" s="2"/>
      <x:c r="M237" s="2"/>
      <x:c r="N237" s="2"/>
    </x:row>
    <x:row r="238" ht="23" customHeight="1">
      <x:c r="A238" s="9"/>
      <x:c r="B238" s="10"/>
      <x:c r="C238" s="14"/>
      <x:c r="D238" s="9"/>
      <x:c r="E238" s="9"/>
      <x:c r="F238" s="9"/>
      <x:c r="G238" s="9" t="str">
        <x:f>IF(A238="","",INDEX('입고대장'!$M$7:$M$1006,MATCH(A238,'입고대장'!$A$7:$A$1006,0)))</x:f>
      </x:c>
      <x:c r="H238" s="9"/>
      <x:c r="I238" s="2"/>
      <x:c r="J238" s="2"/>
      <x:c r="K238" s="2"/>
      <x:c r="L238" s="2"/>
      <x:c r="M238" s="2"/>
      <x:c r="N238" s="2"/>
    </x:row>
    <x:row r="239" ht="23" customHeight="1">
      <x:c r="A239" s="9"/>
      <x:c r="B239" s="10"/>
      <x:c r="C239" s="14"/>
      <x:c r="D239" s="9"/>
      <x:c r="E239" s="9"/>
      <x:c r="F239" s="9"/>
      <x:c r="G239" s="9" t="str">
        <x:f>IF(A239="","",INDEX('입고대장'!$M$7:$M$1006,MATCH(A239,'입고대장'!$A$7:$A$1006,0)))</x:f>
      </x:c>
      <x:c r="H239" s="9"/>
      <x:c r="I239" s="2"/>
      <x:c r="J239" s="2"/>
      <x:c r="K239" s="2"/>
      <x:c r="L239" s="2"/>
      <x:c r="M239" s="2"/>
      <x:c r="N239" s="2"/>
    </x:row>
    <x:row r="240" ht="23" customHeight="1">
      <x:c r="A240" s="9"/>
      <x:c r="B240" s="10"/>
      <x:c r="C240" s="14"/>
      <x:c r="D240" s="9"/>
      <x:c r="E240" s="9"/>
      <x:c r="F240" s="9"/>
      <x:c r="G240" s="9" t="str">
        <x:f>IF(A240="","",INDEX('입고대장'!$M$7:$M$1006,MATCH(A240,'입고대장'!$A$7:$A$1006,0)))</x:f>
      </x:c>
      <x:c r="H240" s="9"/>
      <x:c r="I240" s="2"/>
      <x:c r="J240" s="2"/>
      <x:c r="K240" s="2"/>
      <x:c r="L240" s="2"/>
      <x:c r="M240" s="2"/>
      <x:c r="N240" s="2"/>
    </x:row>
    <x:row r="241" ht="23" customHeight="1">
      <x:c r="A241" s="9"/>
      <x:c r="B241" s="10"/>
      <x:c r="C241" s="14"/>
      <x:c r="D241" s="9"/>
      <x:c r="E241" s="9"/>
      <x:c r="F241" s="9"/>
      <x:c r="G241" s="9" t="str">
        <x:f>IF(A241="","",INDEX('입고대장'!$M$7:$M$1006,MATCH(A241,'입고대장'!$A$7:$A$1006,0)))</x:f>
      </x:c>
      <x:c r="H241" s="9"/>
      <x:c r="I241" s="2"/>
      <x:c r="J241" s="2"/>
      <x:c r="K241" s="2"/>
      <x:c r="L241" s="2"/>
      <x:c r="M241" s="2"/>
      <x:c r="N241" s="2"/>
    </x:row>
    <x:row r="242" ht="23" customHeight="1">
      <x:c r="A242" s="9"/>
      <x:c r="B242" s="10"/>
      <x:c r="C242" s="14"/>
      <x:c r="D242" s="9"/>
      <x:c r="E242" s="9"/>
      <x:c r="F242" s="9"/>
      <x:c r="G242" s="9" t="str">
        <x:f>IF(A242="","",INDEX('입고대장'!$M$7:$M$1006,MATCH(A242,'입고대장'!$A$7:$A$1006,0)))</x:f>
      </x:c>
      <x:c r="H242" s="9"/>
      <x:c r="I242" s="2"/>
      <x:c r="J242" s="2"/>
      <x:c r="K242" s="2"/>
      <x:c r="L242" s="2"/>
      <x:c r="M242" s="2"/>
      <x:c r="N242" s="2"/>
    </x:row>
    <x:row r="243" ht="23" customHeight="1">
      <x:c r="A243" s="9"/>
      <x:c r="B243" s="10"/>
      <x:c r="C243" s="14"/>
      <x:c r="D243" s="9"/>
      <x:c r="E243" s="9"/>
      <x:c r="F243" s="9"/>
      <x:c r="G243" s="9" t="str">
        <x:f>IF(A243="","",INDEX('입고대장'!$M$7:$M$1006,MATCH(A243,'입고대장'!$A$7:$A$1006,0)))</x:f>
      </x:c>
      <x:c r="H243" s="9"/>
      <x:c r="I243" s="2"/>
      <x:c r="J243" s="2"/>
      <x:c r="K243" s="2"/>
      <x:c r="L243" s="2"/>
      <x:c r="M243" s="2"/>
      <x:c r="N243" s="2"/>
    </x:row>
    <x:row r="244" ht="23" customHeight="1">
      <x:c r="A244" s="9"/>
      <x:c r="B244" s="10"/>
      <x:c r="C244" s="14"/>
      <x:c r="D244" s="9"/>
      <x:c r="E244" s="9"/>
      <x:c r="F244" s="9"/>
      <x:c r="G244" s="9" t="str">
        <x:f>IF(A244="","",INDEX('입고대장'!$M$7:$M$1006,MATCH(A244,'입고대장'!$A$7:$A$1006,0)))</x:f>
      </x:c>
      <x:c r="H244" s="9"/>
      <x:c r="I244" s="2"/>
      <x:c r="J244" s="2"/>
      <x:c r="K244" s="2"/>
      <x:c r="L244" s="2"/>
      <x:c r="M244" s="2"/>
      <x:c r="N244" s="2"/>
    </x:row>
    <x:row r="245" ht="23" customHeight="1">
      <x:c r="A245" s="9"/>
      <x:c r="B245" s="10"/>
      <x:c r="C245" s="14"/>
      <x:c r="D245" s="9"/>
      <x:c r="E245" s="9"/>
      <x:c r="F245" s="9"/>
      <x:c r="G245" s="9" t="str">
        <x:f>IF(A245="","",INDEX('입고대장'!$M$7:$M$1006,MATCH(A245,'입고대장'!$A$7:$A$1006,0)))</x:f>
      </x:c>
      <x:c r="H245" s="9"/>
      <x:c r="I245" s="2"/>
      <x:c r="J245" s="2"/>
      <x:c r="K245" s="2"/>
      <x:c r="L245" s="2"/>
      <x:c r="M245" s="2"/>
      <x:c r="N245" s="2"/>
    </x:row>
    <x:row r="246" ht="23" customHeight="1">
      <x:c r="A246" s="9"/>
      <x:c r="B246" s="10"/>
      <x:c r="C246" s="14"/>
      <x:c r="D246" s="9"/>
      <x:c r="E246" s="9"/>
      <x:c r="F246" s="9"/>
      <x:c r="G246" s="9" t="str">
        <x:f>IF(A246="","",INDEX('입고대장'!$M$7:$M$1006,MATCH(A246,'입고대장'!$A$7:$A$1006,0)))</x:f>
      </x:c>
      <x:c r="H246" s="9"/>
      <x:c r="I246" s="2"/>
      <x:c r="J246" s="2"/>
      <x:c r="K246" s="2"/>
      <x:c r="L246" s="2"/>
      <x:c r="M246" s="2"/>
      <x:c r="N246" s="2"/>
    </x:row>
    <x:row r="247" ht="23" customHeight="1">
      <x:c r="A247" s="9"/>
      <x:c r="B247" s="10"/>
      <x:c r="C247" s="14"/>
      <x:c r="D247" s="9"/>
      <x:c r="E247" s="9"/>
      <x:c r="F247" s="9"/>
      <x:c r="G247" s="9" t="str">
        <x:f>IF(A247="","",INDEX('입고대장'!$M$7:$M$1006,MATCH(A247,'입고대장'!$A$7:$A$1006,0)))</x:f>
      </x:c>
      <x:c r="H247" s="9"/>
      <x:c r="I247" s="2"/>
      <x:c r="J247" s="2"/>
      <x:c r="K247" s="2"/>
      <x:c r="L247" s="2"/>
      <x:c r="M247" s="2"/>
      <x:c r="N247" s="2"/>
    </x:row>
    <x:row r="248" ht="23" customHeight="1">
      <x:c r="A248" s="9"/>
      <x:c r="B248" s="10"/>
      <x:c r="C248" s="14"/>
      <x:c r="D248" s="9"/>
      <x:c r="E248" s="9"/>
      <x:c r="F248" s="9"/>
      <x:c r="G248" s="9" t="str">
        <x:f>IF(A248="","",INDEX('입고대장'!$M$7:$M$1006,MATCH(A248,'입고대장'!$A$7:$A$1006,0)))</x:f>
      </x:c>
      <x:c r="H248" s="9"/>
      <x:c r="I248" s="2"/>
      <x:c r="J248" s="2"/>
      <x:c r="K248" s="2"/>
      <x:c r="L248" s="2"/>
      <x:c r="M248" s="2"/>
      <x:c r="N248" s="2"/>
    </x:row>
    <x:row r="249" ht="23" customHeight="1">
      <x:c r="A249" s="9"/>
      <x:c r="B249" s="10"/>
      <x:c r="C249" s="14"/>
      <x:c r="D249" s="9"/>
      <x:c r="E249" s="9"/>
      <x:c r="F249" s="9"/>
      <x:c r="G249" s="9" t="str">
        <x:f>IF(A249="","",INDEX('입고대장'!$M$7:$M$1006,MATCH(A249,'입고대장'!$A$7:$A$1006,0)))</x:f>
      </x:c>
      <x:c r="H249" s="9"/>
      <x:c r="I249" s="2"/>
      <x:c r="J249" s="2"/>
      <x:c r="K249" s="2"/>
      <x:c r="L249" s="2"/>
      <x:c r="M249" s="2"/>
      <x:c r="N249" s="2"/>
    </x:row>
    <x:row r="250" ht="23" customHeight="1">
      <x:c r="A250" s="9"/>
      <x:c r="B250" s="10"/>
      <x:c r="C250" s="14"/>
      <x:c r="D250" s="9"/>
      <x:c r="E250" s="9"/>
      <x:c r="F250" s="9"/>
      <x:c r="G250" s="9" t="str">
        <x:f>IF(A250="","",INDEX('입고대장'!$M$7:$M$1006,MATCH(A250,'입고대장'!$A$7:$A$1006,0)))</x:f>
      </x:c>
      <x:c r="H250" s="9"/>
      <x:c r="I250" s="2"/>
      <x:c r="J250" s="2"/>
      <x:c r="K250" s="2"/>
      <x:c r="L250" s="2"/>
      <x:c r="M250" s="2"/>
      <x:c r="N250" s="2"/>
    </x:row>
    <x:row r="251" ht="23" customHeight="1">
      <x:c r="A251" s="9"/>
      <x:c r="B251" s="10"/>
      <x:c r="C251" s="14"/>
      <x:c r="D251" s="9"/>
      <x:c r="E251" s="9"/>
      <x:c r="F251" s="9"/>
      <x:c r="G251" s="9" t="str">
        <x:f>IF(A251="","",INDEX('입고대장'!$M$7:$M$1006,MATCH(A251,'입고대장'!$A$7:$A$1006,0)))</x:f>
      </x:c>
      <x:c r="H251" s="9"/>
      <x:c r="I251" s="2"/>
      <x:c r="J251" s="2"/>
      <x:c r="K251" s="2"/>
      <x:c r="L251" s="2"/>
      <x:c r="M251" s="2"/>
      <x:c r="N251" s="2"/>
    </x:row>
    <x:row r="252" ht="23" customHeight="1">
      <x:c r="A252" s="9"/>
      <x:c r="B252" s="10"/>
      <x:c r="C252" s="14"/>
      <x:c r="D252" s="9"/>
      <x:c r="E252" s="9"/>
      <x:c r="F252" s="9"/>
      <x:c r="G252" s="9" t="str">
        <x:f>IF(A252="","",INDEX('입고대장'!$M$7:$M$1006,MATCH(A252,'입고대장'!$A$7:$A$1006,0)))</x:f>
      </x:c>
      <x:c r="H252" s="9"/>
      <x:c r="I252" s="2"/>
      <x:c r="J252" s="2"/>
      <x:c r="K252" s="2"/>
      <x:c r="L252" s="2"/>
      <x:c r="M252" s="2"/>
      <x:c r="N252" s="2"/>
    </x:row>
    <x:row r="253" ht="23" customHeight="1">
      <x:c r="A253" s="9"/>
      <x:c r="B253" s="10"/>
      <x:c r="C253" s="14"/>
      <x:c r="D253" s="9"/>
      <x:c r="E253" s="9"/>
      <x:c r="F253" s="9"/>
      <x:c r="G253" s="9" t="str">
        <x:f>IF(A253="","",INDEX('입고대장'!$M$7:$M$1006,MATCH(A253,'입고대장'!$A$7:$A$1006,0)))</x:f>
      </x:c>
      <x:c r="H253" s="9"/>
      <x:c r="I253" s="2"/>
      <x:c r="J253" s="2"/>
      <x:c r="K253" s="2"/>
      <x:c r="L253" s="2"/>
      <x:c r="M253" s="2"/>
      <x:c r="N253" s="2"/>
    </x:row>
    <x:row r="254" ht="23" customHeight="1">
      <x:c r="A254" s="9"/>
      <x:c r="B254" s="10"/>
      <x:c r="C254" s="14"/>
      <x:c r="D254" s="9"/>
      <x:c r="E254" s="9"/>
      <x:c r="F254" s="9"/>
      <x:c r="G254" s="9" t="str">
        <x:f>IF(A254="","",INDEX('입고대장'!$M$7:$M$1006,MATCH(A254,'입고대장'!$A$7:$A$1006,0)))</x:f>
      </x:c>
      <x:c r="H254" s="9"/>
      <x:c r="I254" s="2"/>
      <x:c r="J254" s="2"/>
      <x:c r="K254" s="2"/>
      <x:c r="L254" s="2"/>
      <x:c r="M254" s="2"/>
      <x:c r="N254" s="2"/>
    </x:row>
    <x:row r="255" ht="23" customHeight="1">
      <x:c r="A255" s="9"/>
      <x:c r="B255" s="10"/>
      <x:c r="C255" s="14"/>
      <x:c r="D255" s="9"/>
      <x:c r="E255" s="9"/>
      <x:c r="F255" s="9"/>
      <x:c r="G255" s="9" t="str">
        <x:f>IF(A255="","",INDEX('입고대장'!$M$7:$M$1006,MATCH(A255,'입고대장'!$A$7:$A$1006,0)))</x:f>
      </x:c>
      <x:c r="H255" s="9"/>
      <x:c r="I255" s="2"/>
      <x:c r="J255" s="2"/>
      <x:c r="K255" s="2"/>
      <x:c r="L255" s="2"/>
      <x:c r="M255" s="2"/>
      <x:c r="N255" s="2"/>
    </x:row>
    <x:row r="256" ht="23" customHeight="1">
      <x:c r="A256" s="9"/>
      <x:c r="B256" s="10"/>
      <x:c r="C256" s="14"/>
      <x:c r="D256" s="9"/>
      <x:c r="E256" s="9"/>
      <x:c r="F256" s="9"/>
      <x:c r="G256" s="9" t="str">
        <x:f>IF(A256="","",INDEX('입고대장'!$M$7:$M$1006,MATCH(A256,'입고대장'!$A$7:$A$1006,0)))</x:f>
      </x:c>
      <x:c r="H256" s="9"/>
      <x:c r="I256" s="2"/>
      <x:c r="J256" s="2"/>
      <x:c r="K256" s="2"/>
      <x:c r="L256" s="2"/>
      <x:c r="M256" s="2"/>
      <x:c r="N256" s="2"/>
    </x:row>
    <x:row r="257" ht="23" customHeight="1">
      <x:c r="A257" s="9"/>
      <x:c r="B257" s="10"/>
      <x:c r="C257" s="14"/>
      <x:c r="D257" s="9"/>
      <x:c r="E257" s="9"/>
      <x:c r="F257" s="9"/>
      <x:c r="G257" s="9" t="str">
        <x:f>IF(A257="","",INDEX('입고대장'!$M$7:$M$1006,MATCH(A257,'입고대장'!$A$7:$A$1006,0)))</x:f>
      </x:c>
      <x:c r="H257" s="9"/>
      <x:c r="I257" s="2"/>
      <x:c r="J257" s="2"/>
      <x:c r="K257" s="2"/>
      <x:c r="L257" s="2"/>
      <x:c r="M257" s="2"/>
      <x:c r="N257" s="2"/>
    </x:row>
    <x:row r="258" ht="23" customHeight="1">
      <x:c r="A258" s="9"/>
      <x:c r="B258" s="10"/>
      <x:c r="C258" s="14"/>
      <x:c r="D258" s="9"/>
      <x:c r="E258" s="9"/>
      <x:c r="F258" s="9"/>
      <x:c r="G258" s="9" t="str">
        <x:f>IF(A258="","",INDEX('입고대장'!$M$7:$M$1006,MATCH(A258,'입고대장'!$A$7:$A$1006,0)))</x:f>
      </x:c>
      <x:c r="H258" s="9"/>
      <x:c r="I258" s="2"/>
      <x:c r="J258" s="2"/>
      <x:c r="K258" s="2"/>
      <x:c r="L258" s="2"/>
      <x:c r="M258" s="2"/>
      <x:c r="N258" s="2"/>
    </x:row>
    <x:row r="259" ht="23" customHeight="1">
      <x:c r="A259" s="9"/>
      <x:c r="B259" s="10"/>
      <x:c r="C259" s="14"/>
      <x:c r="D259" s="9"/>
      <x:c r="E259" s="9"/>
      <x:c r="F259" s="9"/>
      <x:c r="G259" s="9" t="str">
        <x:f>IF(A259="","",INDEX('입고대장'!$M$7:$M$1006,MATCH(A259,'입고대장'!$A$7:$A$1006,0)))</x:f>
      </x:c>
      <x:c r="H259" s="9"/>
      <x:c r="I259" s="2"/>
      <x:c r="J259" s="2"/>
      <x:c r="K259" s="2"/>
      <x:c r="L259" s="2"/>
      <x:c r="M259" s="2"/>
      <x:c r="N259" s="2"/>
    </x:row>
    <x:row r="260" ht="23" customHeight="1">
      <x:c r="A260" s="9"/>
      <x:c r="B260" s="10"/>
      <x:c r="C260" s="14"/>
      <x:c r="D260" s="9"/>
      <x:c r="E260" s="9"/>
      <x:c r="F260" s="9"/>
      <x:c r="G260" s="9" t="str">
        <x:f>IF(A260="","",INDEX('입고대장'!$M$7:$M$1006,MATCH(A260,'입고대장'!$A$7:$A$1006,0)))</x:f>
      </x:c>
      <x:c r="H260" s="9"/>
      <x:c r="I260" s="2"/>
      <x:c r="J260" s="2"/>
      <x:c r="K260" s="2"/>
      <x:c r="L260" s="2"/>
      <x:c r="M260" s="2"/>
      <x:c r="N260" s="2"/>
    </x:row>
    <x:row r="261" ht="23" customHeight="1">
      <x:c r="A261" s="9"/>
      <x:c r="B261" s="10"/>
      <x:c r="C261" s="14"/>
      <x:c r="D261" s="9"/>
      <x:c r="E261" s="9"/>
      <x:c r="F261" s="9"/>
      <x:c r="G261" s="9" t="str">
        <x:f>IF(A261="","",INDEX('입고대장'!$M$7:$M$1006,MATCH(A261,'입고대장'!$A$7:$A$1006,0)))</x:f>
      </x:c>
      <x:c r="H261" s="9"/>
      <x:c r="I261" s="2"/>
      <x:c r="J261" s="2"/>
      <x:c r="K261" s="2"/>
      <x:c r="L261" s="2"/>
      <x:c r="M261" s="2"/>
      <x:c r="N261" s="2"/>
    </x:row>
    <x:row r="262" ht="23" customHeight="1">
      <x:c r="A262" s="9"/>
      <x:c r="B262" s="10"/>
      <x:c r="C262" s="14"/>
      <x:c r="D262" s="9"/>
      <x:c r="E262" s="9"/>
      <x:c r="F262" s="9"/>
      <x:c r="G262" s="9" t="str">
        <x:f>IF(A262="","",INDEX('입고대장'!$M$7:$M$1006,MATCH(A262,'입고대장'!$A$7:$A$1006,0)))</x:f>
      </x:c>
      <x:c r="H262" s="9"/>
      <x:c r="I262" s="2"/>
      <x:c r="J262" s="2"/>
      <x:c r="K262" s="2"/>
      <x:c r="L262" s="2"/>
      <x:c r="M262" s="2"/>
      <x:c r="N262" s="2"/>
    </x:row>
    <x:row r="263" ht="23" customHeight="1">
      <x:c r="A263" s="9"/>
      <x:c r="B263" s="10"/>
      <x:c r="C263" s="14"/>
      <x:c r="D263" s="9"/>
      <x:c r="E263" s="9"/>
      <x:c r="F263" s="9"/>
      <x:c r="G263" s="9" t="str">
        <x:f>IF(A263="","",INDEX('입고대장'!$M$7:$M$1006,MATCH(A263,'입고대장'!$A$7:$A$1006,0)))</x:f>
      </x:c>
      <x:c r="H263" s="9"/>
      <x:c r="I263" s="2"/>
      <x:c r="J263" s="2"/>
      <x:c r="K263" s="2"/>
      <x:c r="L263" s="2"/>
      <x:c r="M263" s="2"/>
      <x:c r="N263" s="2"/>
    </x:row>
    <x:row r="264" ht="23" customHeight="1">
      <x:c r="A264" s="9"/>
      <x:c r="B264" s="10"/>
      <x:c r="C264" s="14"/>
      <x:c r="D264" s="9"/>
      <x:c r="E264" s="9"/>
      <x:c r="F264" s="9"/>
      <x:c r="G264" s="9" t="str">
        <x:f>IF(A264="","",INDEX('입고대장'!$M$7:$M$1006,MATCH(A264,'입고대장'!$A$7:$A$1006,0)))</x:f>
      </x:c>
      <x:c r="H264" s="9"/>
      <x:c r="I264" s="2"/>
      <x:c r="J264" s="2"/>
      <x:c r="K264" s="2"/>
      <x:c r="L264" s="2"/>
      <x:c r="M264" s="2"/>
      <x:c r="N264" s="2"/>
    </x:row>
    <x:row r="265" ht="23" customHeight="1">
      <x:c r="A265" s="9"/>
      <x:c r="B265" s="10"/>
      <x:c r="C265" s="14"/>
      <x:c r="D265" s="9"/>
      <x:c r="E265" s="9"/>
      <x:c r="F265" s="9"/>
      <x:c r="G265" s="9" t="str">
        <x:f>IF(A265="","",INDEX('입고대장'!$M$7:$M$1006,MATCH(A265,'입고대장'!$A$7:$A$1006,0)))</x:f>
      </x:c>
      <x:c r="H265" s="9"/>
      <x:c r="I265" s="2"/>
      <x:c r="J265" s="2"/>
      <x:c r="K265" s="2"/>
      <x:c r="L265" s="2"/>
      <x:c r="M265" s="2"/>
      <x:c r="N265" s="2"/>
    </x:row>
    <x:row r="266" ht="23" customHeight="1">
      <x:c r="A266" s="9"/>
      <x:c r="B266" s="10"/>
      <x:c r="C266" s="14"/>
      <x:c r="D266" s="9"/>
      <x:c r="E266" s="9"/>
      <x:c r="F266" s="9"/>
      <x:c r="G266" s="9" t="str">
        <x:f>IF(A266="","",INDEX('입고대장'!$M$7:$M$1006,MATCH(A266,'입고대장'!$A$7:$A$1006,0)))</x:f>
      </x:c>
      <x:c r="H266" s="9"/>
      <x:c r="I266" s="2"/>
      <x:c r="J266" s="2"/>
      <x:c r="K266" s="2"/>
      <x:c r="L266" s="2"/>
      <x:c r="M266" s="2"/>
      <x:c r="N266" s="2"/>
    </x:row>
    <x:row r="267" ht="23" customHeight="1">
      <x:c r="A267" s="9"/>
      <x:c r="B267" s="10"/>
      <x:c r="C267" s="14"/>
      <x:c r="D267" s="9"/>
      <x:c r="E267" s="9"/>
      <x:c r="F267" s="9"/>
      <x:c r="G267" s="9" t="str">
        <x:f>IF(A267="","",INDEX('입고대장'!$M$7:$M$1006,MATCH(A267,'입고대장'!$A$7:$A$1006,0)))</x:f>
      </x:c>
      <x:c r="H267" s="9"/>
      <x:c r="I267" s="2"/>
      <x:c r="J267" s="2"/>
      <x:c r="K267" s="2"/>
      <x:c r="L267" s="2"/>
      <x:c r="M267" s="2"/>
      <x:c r="N267" s="2"/>
    </x:row>
    <x:row r="268" ht="23" customHeight="1">
      <x:c r="A268" s="9"/>
      <x:c r="B268" s="10"/>
      <x:c r="C268" s="14"/>
      <x:c r="D268" s="9"/>
      <x:c r="E268" s="9"/>
      <x:c r="F268" s="9"/>
      <x:c r="G268" s="9" t="str">
        <x:f>IF(A268="","",INDEX('입고대장'!$M$7:$M$1006,MATCH(A268,'입고대장'!$A$7:$A$1006,0)))</x:f>
      </x:c>
      <x:c r="H268" s="9"/>
      <x:c r="I268" s="2"/>
      <x:c r="J268" s="2"/>
      <x:c r="K268" s="2"/>
      <x:c r="L268" s="2"/>
      <x:c r="M268" s="2"/>
      <x:c r="N268" s="2"/>
    </x:row>
    <x:row r="269" ht="23" customHeight="1">
      <x:c r="A269" s="9"/>
      <x:c r="B269" s="10"/>
      <x:c r="C269" s="14"/>
      <x:c r="D269" s="9"/>
      <x:c r="E269" s="9"/>
      <x:c r="F269" s="9"/>
      <x:c r="G269" s="9" t="str">
        <x:f>IF(A269="","",INDEX('입고대장'!$M$7:$M$1006,MATCH(A269,'입고대장'!$A$7:$A$1006,0)))</x:f>
      </x:c>
      <x:c r="H269" s="9"/>
      <x:c r="I269" s="2"/>
      <x:c r="J269" s="2"/>
      <x:c r="K269" s="2"/>
      <x:c r="L269" s="2"/>
      <x:c r="M269" s="2"/>
      <x:c r="N269" s="2"/>
    </x:row>
    <x:row r="270" ht="23" customHeight="1">
      <x:c r="A270" s="9"/>
      <x:c r="B270" s="10"/>
      <x:c r="C270" s="14"/>
      <x:c r="D270" s="9"/>
      <x:c r="E270" s="9"/>
      <x:c r="F270" s="9"/>
      <x:c r="G270" s="9" t="str">
        <x:f>IF(A270="","",INDEX('입고대장'!$M$7:$M$1006,MATCH(A270,'입고대장'!$A$7:$A$1006,0)))</x:f>
      </x:c>
      <x:c r="H270" s="9"/>
      <x:c r="I270" s="2"/>
      <x:c r="J270" s="2"/>
      <x:c r="K270" s="2"/>
      <x:c r="L270" s="2"/>
      <x:c r="M270" s="2"/>
      <x:c r="N270" s="2"/>
    </x:row>
    <x:row r="271" ht="23" customHeight="1">
      <x:c r="A271" s="9"/>
      <x:c r="B271" s="10"/>
      <x:c r="C271" s="14"/>
      <x:c r="D271" s="9"/>
      <x:c r="E271" s="9"/>
      <x:c r="F271" s="9"/>
      <x:c r="G271" s="9" t="str">
        <x:f>IF(A271="","",INDEX('입고대장'!$M$7:$M$1006,MATCH(A271,'입고대장'!$A$7:$A$1006,0)))</x:f>
      </x:c>
      <x:c r="H271" s="9"/>
      <x:c r="I271" s="2"/>
      <x:c r="J271" s="2"/>
      <x:c r="K271" s="2"/>
      <x:c r="L271" s="2"/>
      <x:c r="M271" s="2"/>
      <x:c r="N271" s="2"/>
    </x:row>
    <x:row r="272" ht="23" customHeight="1">
      <x:c r="A272" s="9"/>
      <x:c r="B272" s="10"/>
      <x:c r="C272" s="14"/>
      <x:c r="D272" s="9"/>
      <x:c r="E272" s="9"/>
      <x:c r="F272" s="9"/>
      <x:c r="G272" s="9" t="str">
        <x:f>IF(A272="","",INDEX('입고대장'!$M$7:$M$1006,MATCH(A272,'입고대장'!$A$7:$A$1006,0)))</x:f>
      </x:c>
      <x:c r="H272" s="9"/>
      <x:c r="I272" s="2"/>
      <x:c r="J272" s="2"/>
      <x:c r="K272" s="2"/>
      <x:c r="L272" s="2"/>
      <x:c r="M272" s="2"/>
      <x:c r="N272" s="2"/>
    </x:row>
    <x:row r="273" ht="23" customHeight="1">
      <x:c r="A273" s="9"/>
      <x:c r="B273" s="10"/>
      <x:c r="C273" s="14"/>
      <x:c r="D273" s="9"/>
      <x:c r="E273" s="9"/>
      <x:c r="F273" s="9"/>
      <x:c r="G273" s="9" t="str">
        <x:f>IF(A273="","",INDEX('입고대장'!$M$7:$M$1006,MATCH(A273,'입고대장'!$A$7:$A$1006,0)))</x:f>
      </x:c>
      <x:c r="H273" s="9"/>
      <x:c r="I273" s="2"/>
      <x:c r="J273" s="2"/>
      <x:c r="K273" s="2"/>
      <x:c r="L273" s="2"/>
      <x:c r="M273" s="2"/>
      <x:c r="N273" s="2"/>
    </x:row>
    <x:row r="274" ht="23" customHeight="1">
      <x:c r="A274" s="9"/>
      <x:c r="B274" s="10"/>
      <x:c r="C274" s="14"/>
      <x:c r="D274" s="9"/>
      <x:c r="E274" s="9"/>
      <x:c r="F274" s="9"/>
      <x:c r="G274" s="9" t="str">
        <x:f>IF(A274="","",INDEX('입고대장'!$M$7:$M$1006,MATCH(A274,'입고대장'!$A$7:$A$1006,0)))</x:f>
      </x:c>
      <x:c r="H274" s="9"/>
      <x:c r="I274" s="2"/>
      <x:c r="J274" s="2"/>
      <x:c r="K274" s="2"/>
      <x:c r="L274" s="2"/>
      <x:c r="M274" s="2"/>
      <x:c r="N274" s="2"/>
    </x:row>
    <x:row r="275" ht="23" customHeight="1">
      <x:c r="A275" s="9"/>
      <x:c r="B275" s="10"/>
      <x:c r="C275" s="14"/>
      <x:c r="D275" s="9"/>
      <x:c r="E275" s="9"/>
      <x:c r="F275" s="9"/>
      <x:c r="G275" s="9" t="str">
        <x:f>IF(A275="","",INDEX('입고대장'!$M$7:$M$1006,MATCH(A275,'입고대장'!$A$7:$A$1006,0)))</x:f>
      </x:c>
      <x:c r="H275" s="9"/>
      <x:c r="I275" s="2"/>
      <x:c r="J275" s="2"/>
      <x:c r="K275" s="2"/>
      <x:c r="L275" s="2"/>
      <x:c r="M275" s="2"/>
      <x:c r="N275" s="2"/>
    </x:row>
    <x:row r="276" ht="23" customHeight="1">
      <x:c r="A276" s="9"/>
      <x:c r="B276" s="10"/>
      <x:c r="C276" s="14"/>
      <x:c r="D276" s="9"/>
      <x:c r="E276" s="9"/>
      <x:c r="F276" s="9"/>
      <x:c r="G276" s="9" t="str">
        <x:f>IF(A276="","",INDEX('입고대장'!$M$7:$M$1006,MATCH(A276,'입고대장'!$A$7:$A$1006,0)))</x:f>
      </x:c>
      <x:c r="H276" s="9"/>
      <x:c r="I276" s="2"/>
      <x:c r="J276" s="2"/>
      <x:c r="K276" s="2"/>
      <x:c r="L276" s="2"/>
      <x:c r="M276" s="2"/>
      <x:c r="N276" s="2"/>
    </x:row>
    <x:row r="277" ht="23" customHeight="1">
      <x:c r="A277" s="9"/>
      <x:c r="B277" s="10"/>
      <x:c r="C277" s="14"/>
      <x:c r="D277" s="9"/>
      <x:c r="E277" s="9"/>
      <x:c r="F277" s="9"/>
      <x:c r="G277" s="9" t="str">
        <x:f>IF(A277="","",INDEX('입고대장'!$M$7:$M$1006,MATCH(A277,'입고대장'!$A$7:$A$1006,0)))</x:f>
      </x:c>
      <x:c r="H277" s="9"/>
      <x:c r="I277" s="2"/>
      <x:c r="J277" s="2"/>
      <x:c r="K277" s="2"/>
      <x:c r="L277" s="2"/>
      <x:c r="M277" s="2"/>
      <x:c r="N277" s="2"/>
    </x:row>
    <x:row r="278" ht="23" customHeight="1">
      <x:c r="A278" s="9"/>
      <x:c r="B278" s="10"/>
      <x:c r="C278" s="14"/>
      <x:c r="D278" s="9"/>
      <x:c r="E278" s="9"/>
      <x:c r="F278" s="9"/>
      <x:c r="G278" s="9" t="str">
        <x:f>IF(A278="","",INDEX('입고대장'!$M$7:$M$1006,MATCH(A278,'입고대장'!$A$7:$A$1006,0)))</x:f>
      </x:c>
      <x:c r="H278" s="9"/>
      <x:c r="I278" s="2"/>
      <x:c r="J278" s="2"/>
      <x:c r="K278" s="2"/>
      <x:c r="L278" s="2"/>
      <x:c r="M278" s="2"/>
      <x:c r="N278" s="2"/>
    </x:row>
    <x:row r="279" ht="23" customHeight="1">
      <x:c r="A279" s="9"/>
      <x:c r="B279" s="10"/>
      <x:c r="C279" s="14"/>
      <x:c r="D279" s="9"/>
      <x:c r="E279" s="9"/>
      <x:c r="F279" s="9"/>
      <x:c r="G279" s="9" t="str">
        <x:f>IF(A279="","",INDEX('입고대장'!$M$7:$M$1006,MATCH(A279,'입고대장'!$A$7:$A$1006,0)))</x:f>
      </x:c>
      <x:c r="H279" s="9"/>
      <x:c r="I279" s="2"/>
      <x:c r="J279" s="2"/>
      <x:c r="K279" s="2"/>
      <x:c r="L279" s="2"/>
      <x:c r="M279" s="2"/>
      <x:c r="N279" s="2"/>
    </x:row>
    <x:row r="280" ht="23" customHeight="1">
      <x:c r="A280" s="9"/>
      <x:c r="B280" s="10"/>
      <x:c r="C280" s="14"/>
      <x:c r="D280" s="9"/>
      <x:c r="E280" s="9"/>
      <x:c r="F280" s="9"/>
      <x:c r="G280" s="9" t="str">
        <x:f>IF(A280="","",INDEX('입고대장'!$M$7:$M$1006,MATCH(A280,'입고대장'!$A$7:$A$1006,0)))</x:f>
      </x:c>
      <x:c r="H280" s="9"/>
      <x:c r="I280" s="2"/>
      <x:c r="J280" s="2"/>
      <x:c r="K280" s="2"/>
      <x:c r="L280" s="2"/>
      <x:c r="M280" s="2"/>
      <x:c r="N280" s="2"/>
    </x:row>
    <x:row r="281" ht="23" customHeight="1">
      <x:c r="A281" s="9"/>
      <x:c r="B281" s="10"/>
      <x:c r="C281" s="14"/>
      <x:c r="D281" s="9"/>
      <x:c r="E281" s="9"/>
      <x:c r="F281" s="9"/>
      <x:c r="G281" s="9" t="str">
        <x:f>IF(A281="","",INDEX('입고대장'!$M$7:$M$1006,MATCH(A281,'입고대장'!$A$7:$A$1006,0)))</x:f>
      </x:c>
      <x:c r="H281" s="9"/>
      <x:c r="I281" s="2"/>
      <x:c r="J281" s="2"/>
      <x:c r="K281" s="2"/>
      <x:c r="L281" s="2"/>
      <x:c r="M281" s="2"/>
      <x:c r="N281" s="2"/>
    </x:row>
    <x:row r="282" ht="23" customHeight="1">
      <x:c r="A282" s="9"/>
      <x:c r="B282" s="10"/>
      <x:c r="C282" s="14"/>
      <x:c r="D282" s="9"/>
      <x:c r="E282" s="9"/>
      <x:c r="F282" s="9"/>
      <x:c r="G282" s="9" t="str">
        <x:f>IF(A282="","",INDEX('입고대장'!$M$7:$M$1006,MATCH(A282,'입고대장'!$A$7:$A$1006,0)))</x:f>
      </x:c>
      <x:c r="H282" s="9"/>
      <x:c r="I282" s="2"/>
      <x:c r="J282" s="2"/>
      <x:c r="K282" s="2"/>
      <x:c r="L282" s="2"/>
      <x:c r="M282" s="2"/>
      <x:c r="N282" s="2"/>
    </x:row>
    <x:row r="283" ht="23" customHeight="1">
      <x:c r="A283" s="9"/>
      <x:c r="B283" s="10"/>
      <x:c r="C283" s="14"/>
      <x:c r="D283" s="9"/>
      <x:c r="E283" s="9"/>
      <x:c r="F283" s="9"/>
      <x:c r="G283" s="9" t="str">
        <x:f>IF(A283="","",INDEX('입고대장'!$M$7:$M$1006,MATCH(A283,'입고대장'!$A$7:$A$1006,0)))</x:f>
      </x:c>
      <x:c r="H283" s="9"/>
      <x:c r="I283" s="2"/>
      <x:c r="J283" s="2"/>
      <x:c r="K283" s="2"/>
      <x:c r="L283" s="2"/>
      <x:c r="M283" s="2"/>
      <x:c r="N283" s="2"/>
    </x:row>
    <x:row r="284" ht="23" customHeight="1">
      <x:c r="A284" s="9"/>
      <x:c r="B284" s="10"/>
      <x:c r="C284" s="14"/>
      <x:c r="D284" s="9"/>
      <x:c r="E284" s="9"/>
      <x:c r="F284" s="9"/>
      <x:c r="G284" s="9" t="str">
        <x:f>IF(A284="","",INDEX('입고대장'!$M$7:$M$1006,MATCH(A284,'입고대장'!$A$7:$A$1006,0)))</x:f>
      </x:c>
      <x:c r="H284" s="9"/>
      <x:c r="I284" s="2"/>
      <x:c r="J284" s="2"/>
      <x:c r="K284" s="2"/>
      <x:c r="L284" s="2"/>
      <x:c r="M284" s="2"/>
      <x:c r="N284" s="2"/>
    </x:row>
    <x:row r="285" ht="23" customHeight="1">
      <x:c r="A285" s="9"/>
      <x:c r="B285" s="10"/>
      <x:c r="C285" s="14"/>
      <x:c r="D285" s="9"/>
      <x:c r="E285" s="9"/>
      <x:c r="F285" s="9"/>
      <x:c r="G285" s="9" t="str">
        <x:f>IF(A285="","",INDEX('입고대장'!$M$7:$M$1006,MATCH(A285,'입고대장'!$A$7:$A$1006,0)))</x:f>
      </x:c>
      <x:c r="H285" s="9"/>
      <x:c r="I285" s="2"/>
      <x:c r="J285" s="2"/>
      <x:c r="K285" s="2"/>
      <x:c r="L285" s="2"/>
      <x:c r="M285" s="2"/>
      <x:c r="N285" s="2"/>
    </x:row>
    <x:row r="286" ht="23" customHeight="1">
      <x:c r="A286" s="9"/>
      <x:c r="B286" s="10"/>
      <x:c r="C286" s="14"/>
      <x:c r="D286" s="9"/>
      <x:c r="E286" s="9"/>
      <x:c r="F286" s="9"/>
      <x:c r="G286" s="9" t="str">
        <x:f>IF(A286="","",INDEX('입고대장'!$M$7:$M$1006,MATCH(A286,'입고대장'!$A$7:$A$1006,0)))</x:f>
      </x:c>
      <x:c r="H286" s="9"/>
      <x:c r="I286" s="2"/>
      <x:c r="J286" s="2"/>
      <x:c r="K286" s="2"/>
      <x:c r="L286" s="2"/>
      <x:c r="M286" s="2"/>
      <x:c r="N286" s="2"/>
    </x:row>
    <x:row r="287" ht="23" customHeight="1">
      <x:c r="A287" s="9"/>
      <x:c r="B287" s="10"/>
      <x:c r="C287" s="14"/>
      <x:c r="D287" s="9"/>
      <x:c r="E287" s="9"/>
      <x:c r="F287" s="9"/>
      <x:c r="G287" s="9" t="str">
        <x:f>IF(A287="","",INDEX('입고대장'!$M$7:$M$1006,MATCH(A287,'입고대장'!$A$7:$A$1006,0)))</x:f>
      </x:c>
      <x:c r="H287" s="9"/>
      <x:c r="I287" s="2"/>
      <x:c r="J287" s="2"/>
      <x:c r="K287" s="2"/>
      <x:c r="L287" s="2"/>
      <x:c r="M287" s="2"/>
      <x:c r="N287" s="2"/>
    </x:row>
    <x:row r="288" ht="23" customHeight="1">
      <x:c r="A288" s="9"/>
      <x:c r="B288" s="10"/>
      <x:c r="C288" s="14"/>
      <x:c r="D288" s="9"/>
      <x:c r="E288" s="9"/>
      <x:c r="F288" s="9"/>
      <x:c r="G288" s="9" t="str">
        <x:f>IF(A288="","",INDEX('입고대장'!$M$7:$M$1006,MATCH(A288,'입고대장'!$A$7:$A$1006,0)))</x:f>
      </x:c>
      <x:c r="H288" s="9"/>
      <x:c r="I288" s="2"/>
      <x:c r="J288" s="2"/>
      <x:c r="K288" s="2"/>
      <x:c r="L288" s="2"/>
      <x:c r="M288" s="2"/>
      <x:c r="N288" s="2"/>
    </x:row>
    <x:row r="289" ht="23" customHeight="1">
      <x:c r="A289" s="9"/>
      <x:c r="B289" s="10"/>
      <x:c r="C289" s="14"/>
      <x:c r="D289" s="9"/>
      <x:c r="E289" s="9"/>
      <x:c r="F289" s="9"/>
      <x:c r="G289" s="9" t="str">
        <x:f>IF(A289="","",INDEX('입고대장'!$M$7:$M$1006,MATCH(A289,'입고대장'!$A$7:$A$1006,0)))</x:f>
      </x:c>
      <x:c r="H289" s="9"/>
      <x:c r="I289" s="2"/>
      <x:c r="J289" s="2"/>
      <x:c r="K289" s="2"/>
      <x:c r="L289" s="2"/>
      <x:c r="M289" s="2"/>
      <x:c r="N289" s="2"/>
    </x:row>
    <x:row r="290" ht="23" customHeight="1">
      <x:c r="A290" s="9"/>
      <x:c r="B290" s="10"/>
      <x:c r="C290" s="14"/>
      <x:c r="D290" s="9"/>
      <x:c r="E290" s="9"/>
      <x:c r="F290" s="9"/>
      <x:c r="G290" s="9" t="str">
        <x:f>IF(A290="","",INDEX('입고대장'!$M$7:$M$1006,MATCH(A290,'입고대장'!$A$7:$A$1006,0)))</x:f>
      </x:c>
      <x:c r="H290" s="9"/>
      <x:c r="I290" s="2"/>
      <x:c r="J290" s="2"/>
      <x:c r="K290" s="2"/>
      <x:c r="L290" s="2"/>
      <x:c r="M290" s="2"/>
      <x:c r="N290" s="2"/>
    </x:row>
    <x:row r="291" ht="23" customHeight="1">
      <x:c r="A291" s="9"/>
      <x:c r="B291" s="10"/>
      <x:c r="C291" s="14"/>
      <x:c r="D291" s="9"/>
      <x:c r="E291" s="9"/>
      <x:c r="F291" s="9"/>
      <x:c r="G291" s="9" t="str">
        <x:f>IF(A291="","",INDEX('입고대장'!$M$7:$M$1006,MATCH(A291,'입고대장'!$A$7:$A$1006,0)))</x:f>
      </x:c>
      <x:c r="H291" s="9"/>
      <x:c r="I291" s="2"/>
      <x:c r="J291" s="2"/>
      <x:c r="K291" s="2"/>
      <x:c r="L291" s="2"/>
      <x:c r="M291" s="2"/>
      <x:c r="N291" s="2"/>
    </x:row>
    <x:row r="292" ht="23" customHeight="1">
      <x:c r="A292" s="9"/>
      <x:c r="B292" s="10"/>
      <x:c r="C292" s="14"/>
      <x:c r="D292" s="9"/>
      <x:c r="E292" s="9"/>
      <x:c r="F292" s="9"/>
      <x:c r="G292" s="9" t="str">
        <x:f>IF(A292="","",INDEX('입고대장'!$M$7:$M$1006,MATCH(A292,'입고대장'!$A$7:$A$1006,0)))</x:f>
      </x:c>
      <x:c r="H292" s="9"/>
      <x:c r="I292" s="2"/>
      <x:c r="J292" s="2"/>
      <x:c r="K292" s="2"/>
      <x:c r="L292" s="2"/>
      <x:c r="M292" s="2"/>
      <x:c r="N292" s="2"/>
    </x:row>
    <x:row r="293" ht="23" customHeight="1">
      <x:c r="A293" s="9"/>
      <x:c r="B293" s="10"/>
      <x:c r="C293" s="14"/>
      <x:c r="D293" s="9"/>
      <x:c r="E293" s="9"/>
      <x:c r="F293" s="9"/>
      <x:c r="G293" s="9" t="str">
        <x:f>IF(A293="","",INDEX('입고대장'!$M$7:$M$1006,MATCH(A293,'입고대장'!$A$7:$A$1006,0)))</x:f>
      </x:c>
      <x:c r="H293" s="9"/>
      <x:c r="I293" s="2"/>
      <x:c r="J293" s="2"/>
      <x:c r="K293" s="2"/>
      <x:c r="L293" s="2"/>
      <x:c r="M293" s="2"/>
      <x:c r="N293" s="2"/>
    </x:row>
    <x:row r="294" ht="23" customHeight="1">
      <x:c r="A294" s="9"/>
      <x:c r="B294" s="10"/>
      <x:c r="C294" s="14"/>
      <x:c r="D294" s="9"/>
      <x:c r="E294" s="9"/>
      <x:c r="F294" s="9"/>
      <x:c r="G294" s="9" t="str">
        <x:f>IF(A294="","",INDEX('입고대장'!$M$7:$M$1006,MATCH(A294,'입고대장'!$A$7:$A$1006,0)))</x:f>
      </x:c>
      <x:c r="H294" s="9"/>
      <x:c r="I294" s="2"/>
      <x:c r="J294" s="2"/>
      <x:c r="K294" s="2"/>
      <x:c r="L294" s="2"/>
      <x:c r="M294" s="2"/>
      <x:c r="N294" s="2"/>
    </x:row>
    <x:row r="295" ht="23" customHeight="1">
      <x:c r="A295" s="9"/>
      <x:c r="B295" s="10"/>
      <x:c r="C295" s="14"/>
      <x:c r="D295" s="9"/>
      <x:c r="E295" s="9"/>
      <x:c r="F295" s="9"/>
      <x:c r="G295" s="9" t="str">
        <x:f>IF(A295="","",INDEX('입고대장'!$M$7:$M$1006,MATCH(A295,'입고대장'!$A$7:$A$1006,0)))</x:f>
      </x:c>
      <x:c r="H295" s="9"/>
      <x:c r="I295" s="2"/>
      <x:c r="J295" s="2"/>
      <x:c r="K295" s="2"/>
      <x:c r="L295" s="2"/>
      <x:c r="M295" s="2"/>
      <x:c r="N295" s="2"/>
    </x:row>
    <x:row r="296" ht="23" customHeight="1">
      <x:c r="A296" s="9"/>
      <x:c r="B296" s="10"/>
      <x:c r="C296" s="14"/>
      <x:c r="D296" s="9"/>
      <x:c r="E296" s="9"/>
      <x:c r="F296" s="9"/>
      <x:c r="G296" s="9" t="str">
        <x:f>IF(A296="","",INDEX('입고대장'!$M$7:$M$1006,MATCH(A296,'입고대장'!$A$7:$A$1006,0)))</x:f>
      </x:c>
      <x:c r="H296" s="9"/>
      <x:c r="I296" s="2"/>
      <x:c r="J296" s="2"/>
      <x:c r="K296" s="2"/>
      <x:c r="L296" s="2"/>
      <x:c r="M296" s="2"/>
      <x:c r="N296" s="2"/>
    </x:row>
    <x:row r="297" ht="23" customHeight="1">
      <x:c r="A297" s="9"/>
      <x:c r="B297" s="10"/>
      <x:c r="C297" s="14"/>
      <x:c r="D297" s="9"/>
      <x:c r="E297" s="9"/>
      <x:c r="F297" s="9"/>
      <x:c r="G297" s="9" t="str">
        <x:f>IF(A297="","",INDEX('입고대장'!$M$7:$M$1006,MATCH(A297,'입고대장'!$A$7:$A$1006,0)))</x:f>
      </x:c>
      <x:c r="H297" s="9"/>
      <x:c r="I297" s="2"/>
      <x:c r="J297" s="2"/>
      <x:c r="K297" s="2"/>
      <x:c r="L297" s="2"/>
      <x:c r="M297" s="2"/>
      <x:c r="N297" s="2"/>
    </x:row>
    <x:row r="298" ht="23" customHeight="1">
      <x:c r="A298" s="9"/>
      <x:c r="B298" s="10"/>
      <x:c r="C298" s="14"/>
      <x:c r="D298" s="9"/>
      <x:c r="E298" s="9"/>
      <x:c r="F298" s="9"/>
      <x:c r="G298" s="9" t="str">
        <x:f>IF(A298="","",INDEX('입고대장'!$M$7:$M$1006,MATCH(A298,'입고대장'!$A$7:$A$1006,0)))</x:f>
      </x:c>
      <x:c r="H298" s="9"/>
      <x:c r="I298" s="2"/>
      <x:c r="J298" s="2"/>
      <x:c r="K298" s="2"/>
      <x:c r="L298" s="2"/>
      <x:c r="M298" s="2"/>
      <x:c r="N298" s="2"/>
    </x:row>
    <x:row r="299" ht="23" customHeight="1">
      <x:c r="A299" s="9"/>
      <x:c r="B299" s="10"/>
      <x:c r="C299" s="14"/>
      <x:c r="D299" s="9"/>
      <x:c r="E299" s="9"/>
      <x:c r="F299" s="9"/>
      <x:c r="G299" s="9" t="str">
        <x:f>IF(A299="","",INDEX('입고대장'!$M$7:$M$1006,MATCH(A299,'입고대장'!$A$7:$A$1006,0)))</x:f>
      </x:c>
      <x:c r="H299" s="9"/>
      <x:c r="I299" s="2"/>
      <x:c r="J299" s="2"/>
      <x:c r="K299" s="2"/>
      <x:c r="L299" s="2"/>
      <x:c r="M299" s="2"/>
      <x:c r="N299" s="2"/>
    </x:row>
    <x:row r="300" ht="23" customHeight="1">
      <x:c r="A300" s="9"/>
      <x:c r="B300" s="10"/>
      <x:c r="C300" s="14"/>
      <x:c r="D300" s="9"/>
      <x:c r="E300" s="9"/>
      <x:c r="F300" s="9"/>
      <x:c r="G300" s="9" t="str">
        <x:f>IF(A300="","",INDEX('입고대장'!$M$7:$M$1006,MATCH(A300,'입고대장'!$A$7:$A$1006,0)))</x:f>
      </x:c>
      <x:c r="H300" s="9"/>
      <x:c r="I300" s="2"/>
      <x:c r="J300" s="2"/>
      <x:c r="K300" s="2"/>
      <x:c r="L300" s="2"/>
      <x:c r="M300" s="2"/>
      <x:c r="N300" s="2"/>
    </x:row>
    <x:row r="301" ht="23" customHeight="1">
      <x:c r="A301" s="9"/>
      <x:c r="B301" s="10"/>
      <x:c r="C301" s="14"/>
      <x:c r="D301" s="9"/>
      <x:c r="E301" s="9"/>
      <x:c r="F301" s="9"/>
      <x:c r="G301" s="9" t="str">
        <x:f>IF(A301="","",INDEX('입고대장'!$M$7:$M$1006,MATCH(A301,'입고대장'!$A$7:$A$1006,0)))</x:f>
      </x:c>
      <x:c r="H301" s="9"/>
      <x:c r="I301" s="2"/>
      <x:c r="J301" s="2"/>
      <x:c r="K301" s="2"/>
      <x:c r="L301" s="2"/>
      <x:c r="M301" s="2"/>
      <x:c r="N301" s="2"/>
    </x:row>
    <x:row r="302" ht="23" customHeight="1">
      <x:c r="A302" s="9"/>
      <x:c r="B302" s="10"/>
      <x:c r="C302" s="14"/>
      <x:c r="D302" s="9"/>
      <x:c r="E302" s="9"/>
      <x:c r="F302" s="9"/>
      <x:c r="G302" s="9" t="str">
        <x:f>IF(A302="","",INDEX('입고대장'!$M$7:$M$1006,MATCH(A302,'입고대장'!$A$7:$A$1006,0)))</x:f>
      </x:c>
      <x:c r="H302" s="9"/>
      <x:c r="I302" s="2"/>
      <x:c r="J302" s="2"/>
      <x:c r="K302" s="2"/>
      <x:c r="L302" s="2"/>
      <x:c r="M302" s="2"/>
      <x:c r="N302" s="2"/>
    </x:row>
    <x:row r="303" ht="23" customHeight="1">
      <x:c r="A303" s="9"/>
      <x:c r="B303" s="10"/>
      <x:c r="C303" s="14"/>
      <x:c r="D303" s="9"/>
      <x:c r="E303" s="9"/>
      <x:c r="F303" s="9"/>
      <x:c r="G303" s="9" t="str">
        <x:f>IF(A303="","",INDEX('입고대장'!$M$7:$M$1006,MATCH(A303,'입고대장'!$A$7:$A$1006,0)))</x:f>
      </x:c>
      <x:c r="H303" s="9"/>
      <x:c r="I303" s="2"/>
      <x:c r="J303" s="2"/>
      <x:c r="K303" s="2"/>
      <x:c r="L303" s="2"/>
      <x:c r="M303" s="2"/>
      <x:c r="N303" s="2"/>
    </x:row>
    <x:row r="304" ht="23" customHeight="1">
      <x:c r="A304" s="9"/>
      <x:c r="B304" s="10"/>
      <x:c r="C304" s="14"/>
      <x:c r="D304" s="9"/>
      <x:c r="E304" s="9"/>
      <x:c r="F304" s="9"/>
      <x:c r="G304" s="9" t="str">
        <x:f>IF(A304="","",INDEX('입고대장'!$M$7:$M$1006,MATCH(A304,'입고대장'!$A$7:$A$1006,0)))</x:f>
      </x:c>
      <x:c r="H304" s="9"/>
      <x:c r="I304" s="2"/>
      <x:c r="J304" s="2"/>
      <x:c r="K304" s="2"/>
      <x:c r="L304" s="2"/>
      <x:c r="M304" s="2"/>
      <x:c r="N304" s="2"/>
    </x:row>
    <x:row r="305" ht="23" customHeight="1">
      <x:c r="A305" s="9"/>
      <x:c r="B305" s="10"/>
      <x:c r="C305" s="14"/>
      <x:c r="D305" s="9"/>
      <x:c r="E305" s="9"/>
      <x:c r="F305" s="9"/>
      <x:c r="G305" s="9" t="str">
        <x:f>IF(A305="","",INDEX('입고대장'!$M$7:$M$1006,MATCH(A305,'입고대장'!$A$7:$A$1006,0)))</x:f>
      </x:c>
      <x:c r="H305" s="9"/>
      <x:c r="I305" s="2"/>
      <x:c r="J305" s="2"/>
      <x:c r="K305" s="2"/>
      <x:c r="L305" s="2"/>
      <x:c r="M305" s="2"/>
      <x:c r="N305" s="2"/>
    </x:row>
    <x:row r="306" ht="23" customHeight="1">
      <x:c r="A306" s="9"/>
      <x:c r="B306" s="10"/>
      <x:c r="C306" s="14"/>
      <x:c r="D306" s="9"/>
      <x:c r="E306" s="9"/>
      <x:c r="F306" s="9"/>
      <x:c r="G306" s="9" t="str">
        <x:f>IF(A306="","",INDEX('입고대장'!$M$7:$M$1006,MATCH(A306,'입고대장'!$A$7:$A$1006,0)))</x:f>
      </x:c>
      <x:c r="H306" s="9"/>
      <x:c r="I306" s="2"/>
      <x:c r="J306" s="2"/>
      <x:c r="K306" s="2"/>
      <x:c r="L306" s="2"/>
      <x:c r="M306" s="2"/>
      <x:c r="N306" s="2"/>
    </x:row>
    <x:row r="307" ht="23" customHeight="1">
      <x:c r="A307" s="9"/>
      <x:c r="B307" s="10"/>
      <x:c r="C307" s="14"/>
      <x:c r="D307" s="9"/>
      <x:c r="E307" s="9"/>
      <x:c r="F307" s="9"/>
      <x:c r="G307" s="9" t="str">
        <x:f>IF(A307="","",INDEX('입고대장'!$M$7:$M$1006,MATCH(A307,'입고대장'!$A$7:$A$1006,0)))</x:f>
      </x:c>
      <x:c r="H307" s="9"/>
      <x:c r="I307" s="2"/>
      <x:c r="J307" s="2"/>
      <x:c r="K307" s="2"/>
      <x:c r="L307" s="2"/>
      <x:c r="M307" s="2"/>
      <x:c r="N307" s="2"/>
    </x:row>
    <x:row r="308" ht="23" customHeight="1">
      <x:c r="A308" s="9"/>
      <x:c r="B308" s="10"/>
      <x:c r="C308" s="14"/>
      <x:c r="D308" s="9"/>
      <x:c r="E308" s="9"/>
      <x:c r="F308" s="9"/>
      <x:c r="G308" s="9" t="str">
        <x:f>IF(A308="","",INDEX('입고대장'!$M$7:$M$1006,MATCH(A308,'입고대장'!$A$7:$A$1006,0)))</x:f>
      </x:c>
      <x:c r="H308" s="9"/>
      <x:c r="I308" s="2"/>
      <x:c r="J308" s="2"/>
      <x:c r="K308" s="2"/>
      <x:c r="L308" s="2"/>
      <x:c r="M308" s="2"/>
      <x:c r="N308" s="2"/>
    </x:row>
    <x:row r="309" ht="23" customHeight="1">
      <x:c r="A309" s="9"/>
      <x:c r="B309" s="10"/>
      <x:c r="C309" s="14"/>
      <x:c r="D309" s="9"/>
      <x:c r="E309" s="9"/>
      <x:c r="F309" s="9"/>
      <x:c r="G309" s="9" t="str">
        <x:f>IF(A309="","",INDEX('입고대장'!$M$7:$M$1006,MATCH(A309,'입고대장'!$A$7:$A$1006,0)))</x:f>
      </x:c>
      <x:c r="H309" s="9"/>
      <x:c r="I309" s="2"/>
      <x:c r="J309" s="2"/>
      <x:c r="K309" s="2"/>
      <x:c r="L309" s="2"/>
      <x:c r="M309" s="2"/>
      <x:c r="N309" s="2"/>
    </x:row>
    <x:row r="310" ht="23" customHeight="1">
      <x:c r="A310" s="9"/>
      <x:c r="B310" s="10"/>
      <x:c r="C310" s="14"/>
      <x:c r="D310" s="9"/>
      <x:c r="E310" s="9"/>
      <x:c r="F310" s="9"/>
      <x:c r="G310" s="9" t="str">
        <x:f>IF(A310="","",INDEX('입고대장'!$M$7:$M$1006,MATCH(A310,'입고대장'!$A$7:$A$1006,0)))</x:f>
      </x:c>
      <x:c r="H310" s="9"/>
      <x:c r="I310" s="2"/>
      <x:c r="J310" s="2"/>
      <x:c r="K310" s="2"/>
      <x:c r="L310" s="2"/>
      <x:c r="M310" s="2"/>
      <x:c r="N310" s="2"/>
    </x:row>
    <x:row r="311" ht="23" customHeight="1">
      <x:c r="A311" s="9"/>
      <x:c r="B311" s="10"/>
      <x:c r="C311" s="14"/>
      <x:c r="D311" s="9"/>
      <x:c r="E311" s="9"/>
      <x:c r="F311" s="9"/>
      <x:c r="G311" s="9" t="str">
        <x:f>IF(A311="","",INDEX('입고대장'!$M$7:$M$1006,MATCH(A311,'입고대장'!$A$7:$A$1006,0)))</x:f>
      </x:c>
      <x:c r="H311" s="9"/>
      <x:c r="I311" s="2"/>
      <x:c r="J311" s="2"/>
      <x:c r="K311" s="2"/>
      <x:c r="L311" s="2"/>
      <x:c r="M311" s="2"/>
      <x:c r="N311" s="2"/>
    </x:row>
    <x:row r="312" ht="23" customHeight="1">
      <x:c r="A312" s="9"/>
      <x:c r="B312" s="10"/>
      <x:c r="C312" s="14"/>
      <x:c r="D312" s="9"/>
      <x:c r="E312" s="9"/>
      <x:c r="F312" s="9"/>
      <x:c r="G312" s="9" t="str">
        <x:f>IF(A312="","",INDEX('입고대장'!$M$7:$M$1006,MATCH(A312,'입고대장'!$A$7:$A$1006,0)))</x:f>
      </x:c>
      <x:c r="H312" s="9"/>
      <x:c r="I312" s="2"/>
      <x:c r="J312" s="2"/>
      <x:c r="K312" s="2"/>
      <x:c r="L312" s="2"/>
      <x:c r="M312" s="2"/>
      <x:c r="N312" s="2"/>
    </x:row>
    <x:row r="313" ht="23" customHeight="1">
      <x:c r="A313" s="9"/>
      <x:c r="B313" s="10"/>
      <x:c r="C313" s="14"/>
      <x:c r="D313" s="9"/>
      <x:c r="E313" s="9"/>
      <x:c r="F313" s="9"/>
      <x:c r="G313" s="9" t="str">
        <x:f>IF(A313="","",INDEX('입고대장'!$M$7:$M$1006,MATCH(A313,'입고대장'!$A$7:$A$1006,0)))</x:f>
      </x:c>
      <x:c r="H313" s="9"/>
      <x:c r="I313" s="2"/>
      <x:c r="J313" s="2"/>
      <x:c r="K313" s="2"/>
      <x:c r="L313" s="2"/>
      <x:c r="M313" s="2"/>
      <x:c r="N313" s="2"/>
    </x:row>
    <x:row r="314" ht="23" customHeight="1">
      <x:c r="A314" s="9"/>
      <x:c r="B314" s="10"/>
      <x:c r="C314" s="14"/>
      <x:c r="D314" s="9"/>
      <x:c r="E314" s="9"/>
      <x:c r="F314" s="9"/>
      <x:c r="G314" s="9" t="str">
        <x:f>IF(A314="","",INDEX('입고대장'!$M$7:$M$1006,MATCH(A314,'입고대장'!$A$7:$A$1006,0)))</x:f>
      </x:c>
      <x:c r="H314" s="9"/>
      <x:c r="I314" s="2"/>
      <x:c r="J314" s="2"/>
      <x:c r="K314" s="2"/>
      <x:c r="L314" s="2"/>
      <x:c r="M314" s="2"/>
      <x:c r="N314" s="2"/>
    </x:row>
    <x:row r="315" ht="23" customHeight="1">
      <x:c r="A315" s="9"/>
      <x:c r="B315" s="10"/>
      <x:c r="C315" s="14"/>
      <x:c r="D315" s="9"/>
      <x:c r="E315" s="9"/>
      <x:c r="F315" s="9"/>
      <x:c r="G315" s="9" t="str">
        <x:f>IF(A315="","",INDEX('입고대장'!$M$7:$M$1006,MATCH(A315,'입고대장'!$A$7:$A$1006,0)))</x:f>
      </x:c>
      <x:c r="H315" s="9"/>
      <x:c r="I315" s="2"/>
      <x:c r="J315" s="2"/>
      <x:c r="K315" s="2"/>
      <x:c r="L315" s="2"/>
      <x:c r="M315" s="2"/>
      <x:c r="N315" s="2"/>
    </x:row>
    <x:row r="316" ht="23" customHeight="1">
      <x:c r="A316" s="9"/>
      <x:c r="B316" s="10"/>
      <x:c r="C316" s="14"/>
      <x:c r="D316" s="9"/>
      <x:c r="E316" s="9"/>
      <x:c r="F316" s="9"/>
      <x:c r="G316" s="9" t="str">
        <x:f>IF(A316="","",INDEX('입고대장'!$M$7:$M$1006,MATCH(A316,'입고대장'!$A$7:$A$1006,0)))</x:f>
      </x:c>
      <x:c r="H316" s="9"/>
      <x:c r="I316" s="2"/>
      <x:c r="J316" s="2"/>
      <x:c r="K316" s="2"/>
      <x:c r="L316" s="2"/>
      <x:c r="M316" s="2"/>
      <x:c r="N316" s="2"/>
    </x:row>
    <x:row r="317" ht="23" customHeight="1">
      <x:c r="A317" s="9"/>
      <x:c r="B317" s="10"/>
      <x:c r="C317" s="14"/>
      <x:c r="D317" s="9"/>
      <x:c r="E317" s="9"/>
      <x:c r="F317" s="9"/>
      <x:c r="G317" s="9" t="str">
        <x:f>IF(A317="","",INDEX('입고대장'!$M$7:$M$1006,MATCH(A317,'입고대장'!$A$7:$A$1006,0)))</x:f>
      </x:c>
      <x:c r="H317" s="9"/>
      <x:c r="I317" s="2"/>
      <x:c r="J317" s="2"/>
      <x:c r="K317" s="2"/>
      <x:c r="L317" s="2"/>
      <x:c r="M317" s="2"/>
      <x:c r="N317" s="2"/>
    </x:row>
    <x:row r="318" ht="23" customHeight="1">
      <x:c r="A318" s="9"/>
      <x:c r="B318" s="10"/>
      <x:c r="C318" s="14"/>
      <x:c r="D318" s="9"/>
      <x:c r="E318" s="9"/>
      <x:c r="F318" s="9"/>
      <x:c r="G318" s="9" t="str">
        <x:f>IF(A318="","",INDEX('입고대장'!$M$7:$M$1006,MATCH(A318,'입고대장'!$A$7:$A$1006,0)))</x:f>
      </x:c>
      <x:c r="H318" s="9"/>
      <x:c r="I318" s="2"/>
      <x:c r="J318" s="2"/>
      <x:c r="K318" s="2"/>
      <x:c r="L318" s="2"/>
      <x:c r="M318" s="2"/>
      <x:c r="N318" s="2"/>
    </x:row>
    <x:row r="319" ht="23" customHeight="1">
      <x:c r="A319" s="9"/>
      <x:c r="B319" s="10"/>
      <x:c r="C319" s="14"/>
      <x:c r="D319" s="9"/>
      <x:c r="E319" s="9"/>
      <x:c r="F319" s="9"/>
      <x:c r="G319" s="9" t="str">
        <x:f>IF(A319="","",INDEX('입고대장'!$M$7:$M$1006,MATCH(A319,'입고대장'!$A$7:$A$1006,0)))</x:f>
      </x:c>
      <x:c r="H319" s="9"/>
      <x:c r="I319" s="2"/>
      <x:c r="J319" s="2"/>
      <x:c r="K319" s="2"/>
      <x:c r="L319" s="2"/>
      <x:c r="M319" s="2"/>
      <x:c r="N319" s="2"/>
    </x:row>
    <x:row r="320" ht="23" customHeight="1">
      <x:c r="A320" s="9"/>
      <x:c r="B320" s="10"/>
      <x:c r="C320" s="14"/>
      <x:c r="D320" s="9"/>
      <x:c r="E320" s="9"/>
      <x:c r="F320" s="9"/>
      <x:c r="G320" s="9" t="str">
        <x:f>IF(A320="","",INDEX('입고대장'!$M$7:$M$1006,MATCH(A320,'입고대장'!$A$7:$A$1006,0)))</x:f>
      </x:c>
      <x:c r="H320" s="9"/>
      <x:c r="I320" s="2"/>
      <x:c r="J320" s="2"/>
      <x:c r="K320" s="2"/>
      <x:c r="L320" s="2"/>
      <x:c r="M320" s="2"/>
      <x:c r="N320" s="2"/>
    </x:row>
    <x:row r="321" ht="23" customHeight="1">
      <x:c r="A321" s="9"/>
      <x:c r="B321" s="10"/>
      <x:c r="C321" s="14"/>
      <x:c r="D321" s="9"/>
      <x:c r="E321" s="9"/>
      <x:c r="F321" s="9"/>
      <x:c r="G321" s="9" t="str">
        <x:f>IF(A321="","",INDEX('입고대장'!$M$7:$M$1006,MATCH(A321,'입고대장'!$A$7:$A$1006,0)))</x:f>
      </x:c>
      <x:c r="H321" s="9"/>
      <x:c r="I321" s="2"/>
      <x:c r="J321" s="2"/>
      <x:c r="K321" s="2"/>
      <x:c r="L321" s="2"/>
      <x:c r="M321" s="2"/>
      <x:c r="N321" s="2"/>
    </x:row>
    <x:row r="322" ht="23" customHeight="1">
      <x:c r="A322" s="9"/>
      <x:c r="B322" s="10"/>
      <x:c r="C322" s="14"/>
      <x:c r="D322" s="9"/>
      <x:c r="E322" s="9"/>
      <x:c r="F322" s="9"/>
      <x:c r="G322" s="9" t="str">
        <x:f>IF(A322="","",INDEX('입고대장'!$M$7:$M$1006,MATCH(A322,'입고대장'!$A$7:$A$1006,0)))</x:f>
      </x:c>
      <x:c r="H322" s="9"/>
      <x:c r="I322" s="2"/>
      <x:c r="J322" s="2"/>
      <x:c r="K322" s="2"/>
      <x:c r="L322" s="2"/>
      <x:c r="M322" s="2"/>
      <x:c r="N322" s="2"/>
    </x:row>
    <x:row r="323" ht="23" customHeight="1">
      <x:c r="A323" s="9"/>
      <x:c r="B323" s="10"/>
      <x:c r="C323" s="14"/>
      <x:c r="D323" s="9"/>
      <x:c r="E323" s="9"/>
      <x:c r="F323" s="9"/>
      <x:c r="G323" s="9" t="str">
        <x:f>IF(A323="","",INDEX('입고대장'!$M$7:$M$1006,MATCH(A323,'입고대장'!$A$7:$A$1006,0)))</x:f>
      </x:c>
      <x:c r="H323" s="9"/>
      <x:c r="I323" s="2"/>
      <x:c r="J323" s="2"/>
      <x:c r="K323" s="2"/>
      <x:c r="L323" s="2"/>
      <x:c r="M323" s="2"/>
      <x:c r="N323" s="2"/>
    </x:row>
    <x:row r="324" ht="23" customHeight="1">
      <x:c r="A324" s="9"/>
      <x:c r="B324" s="10"/>
      <x:c r="C324" s="14"/>
      <x:c r="D324" s="9"/>
      <x:c r="E324" s="9"/>
      <x:c r="F324" s="9"/>
      <x:c r="G324" s="9" t="str">
        <x:f>IF(A324="","",INDEX('입고대장'!$M$7:$M$1006,MATCH(A324,'입고대장'!$A$7:$A$1006,0)))</x:f>
      </x:c>
      <x:c r="H324" s="9"/>
      <x:c r="I324" s="2"/>
      <x:c r="J324" s="2"/>
      <x:c r="K324" s="2"/>
      <x:c r="L324" s="2"/>
      <x:c r="M324" s="2"/>
      <x:c r="N324" s="2"/>
    </x:row>
    <x:row r="325" ht="23" customHeight="1">
      <x:c r="A325" s="9"/>
      <x:c r="B325" s="10"/>
      <x:c r="C325" s="14"/>
      <x:c r="D325" s="9"/>
      <x:c r="E325" s="9"/>
      <x:c r="F325" s="9"/>
      <x:c r="G325" s="9" t="str">
        <x:f>IF(A325="","",INDEX('입고대장'!$M$7:$M$1006,MATCH(A325,'입고대장'!$A$7:$A$1006,0)))</x:f>
      </x:c>
      <x:c r="H325" s="9"/>
      <x:c r="I325" s="2"/>
      <x:c r="J325" s="2"/>
      <x:c r="K325" s="2"/>
      <x:c r="L325" s="2"/>
      <x:c r="M325" s="2"/>
      <x:c r="N325" s="2"/>
    </x:row>
    <x:row r="326" ht="23" customHeight="1">
      <x:c r="A326" s="9"/>
      <x:c r="B326" s="10"/>
      <x:c r="C326" s="14"/>
      <x:c r="D326" s="9"/>
      <x:c r="E326" s="9"/>
      <x:c r="F326" s="9"/>
      <x:c r="G326" s="9" t="str">
        <x:f>IF(A326="","",INDEX('입고대장'!$M$7:$M$1006,MATCH(A326,'입고대장'!$A$7:$A$1006,0)))</x:f>
      </x:c>
      <x:c r="H326" s="9"/>
      <x:c r="I326" s="2"/>
      <x:c r="J326" s="2"/>
      <x:c r="K326" s="2"/>
      <x:c r="L326" s="2"/>
      <x:c r="M326" s="2"/>
      <x:c r="N326" s="2"/>
    </x:row>
    <x:row r="327" ht="23" customHeight="1">
      <x:c r="A327" s="9"/>
      <x:c r="B327" s="10"/>
      <x:c r="C327" s="14"/>
      <x:c r="D327" s="9"/>
      <x:c r="E327" s="9"/>
      <x:c r="F327" s="9"/>
      <x:c r="G327" s="9" t="str">
        <x:f>IF(A327="","",INDEX('입고대장'!$M$7:$M$1006,MATCH(A327,'입고대장'!$A$7:$A$1006,0)))</x:f>
      </x:c>
      <x:c r="H327" s="9"/>
      <x:c r="I327" s="2"/>
      <x:c r="J327" s="2"/>
      <x:c r="K327" s="2"/>
      <x:c r="L327" s="2"/>
      <x:c r="M327" s="2"/>
      <x:c r="N327" s="2"/>
    </x:row>
    <x:row r="328" ht="23" customHeight="1">
      <x:c r="A328" s="9"/>
      <x:c r="B328" s="10"/>
      <x:c r="C328" s="14"/>
      <x:c r="D328" s="9"/>
      <x:c r="E328" s="9"/>
      <x:c r="F328" s="9"/>
      <x:c r="G328" s="9" t="str">
        <x:f>IF(A328="","",INDEX('입고대장'!$M$7:$M$1006,MATCH(A328,'입고대장'!$A$7:$A$1006,0)))</x:f>
      </x:c>
      <x:c r="H328" s="9"/>
      <x:c r="I328" s="2"/>
      <x:c r="J328" s="2"/>
      <x:c r="K328" s="2"/>
      <x:c r="L328" s="2"/>
      <x:c r="M328" s="2"/>
      <x:c r="N328" s="2"/>
    </x:row>
    <x:row r="329" ht="23" customHeight="1">
      <x:c r="A329" s="9"/>
      <x:c r="B329" s="10"/>
      <x:c r="C329" s="14"/>
      <x:c r="D329" s="9"/>
      <x:c r="E329" s="9"/>
      <x:c r="F329" s="9"/>
      <x:c r="G329" s="9" t="str">
        <x:f>IF(A329="","",INDEX('입고대장'!$M$7:$M$1006,MATCH(A329,'입고대장'!$A$7:$A$1006,0)))</x:f>
      </x:c>
      <x:c r="H329" s="9"/>
      <x:c r="I329" s="2"/>
      <x:c r="J329" s="2"/>
      <x:c r="K329" s="2"/>
      <x:c r="L329" s="2"/>
      <x:c r="M329" s="2"/>
      <x:c r="N329" s="2"/>
    </x:row>
    <x:row r="330" ht="23" customHeight="1">
      <x:c r="A330" s="9"/>
      <x:c r="B330" s="10"/>
      <x:c r="C330" s="14"/>
      <x:c r="D330" s="9"/>
      <x:c r="E330" s="9"/>
      <x:c r="F330" s="9"/>
      <x:c r="G330" s="9" t="str">
        <x:f>IF(A330="","",INDEX('입고대장'!$M$7:$M$1006,MATCH(A330,'입고대장'!$A$7:$A$1006,0)))</x:f>
      </x:c>
      <x:c r="H330" s="9"/>
      <x:c r="I330" s="2"/>
      <x:c r="J330" s="2"/>
      <x:c r="K330" s="2"/>
      <x:c r="L330" s="2"/>
      <x:c r="M330" s="2"/>
      <x:c r="N330" s="2"/>
    </x:row>
    <x:row r="331" ht="23" customHeight="1">
      <x:c r="A331" s="9"/>
      <x:c r="B331" s="10"/>
      <x:c r="C331" s="14"/>
      <x:c r="D331" s="9"/>
      <x:c r="E331" s="9"/>
      <x:c r="F331" s="9"/>
      <x:c r="G331" s="9" t="str">
        <x:f>IF(A331="","",INDEX('입고대장'!$M$7:$M$1006,MATCH(A331,'입고대장'!$A$7:$A$1006,0)))</x:f>
      </x:c>
      <x:c r="H331" s="9"/>
      <x:c r="I331" s="2"/>
      <x:c r="J331" s="2"/>
      <x:c r="K331" s="2"/>
      <x:c r="L331" s="2"/>
      <x:c r="M331" s="2"/>
      <x:c r="N331" s="2"/>
    </x:row>
    <x:row r="332" ht="23" customHeight="1">
      <x:c r="A332" s="9"/>
      <x:c r="B332" s="10"/>
      <x:c r="C332" s="14"/>
      <x:c r="D332" s="9"/>
      <x:c r="E332" s="9"/>
      <x:c r="F332" s="9"/>
      <x:c r="G332" s="9" t="str">
        <x:f>IF(A332="","",INDEX('입고대장'!$M$7:$M$1006,MATCH(A332,'입고대장'!$A$7:$A$1006,0)))</x:f>
      </x:c>
      <x:c r="H332" s="9"/>
      <x:c r="I332" s="2"/>
      <x:c r="J332" s="2"/>
      <x:c r="K332" s="2"/>
      <x:c r="L332" s="2"/>
      <x:c r="M332" s="2"/>
      <x:c r="N332" s="2"/>
    </x:row>
    <x:row r="333" ht="23" customHeight="1">
      <x:c r="A333" s="9"/>
      <x:c r="B333" s="10"/>
      <x:c r="C333" s="14"/>
      <x:c r="D333" s="9"/>
      <x:c r="E333" s="9"/>
      <x:c r="F333" s="9"/>
      <x:c r="G333" s="9" t="str">
        <x:f>IF(A333="","",INDEX('입고대장'!$M$7:$M$1006,MATCH(A333,'입고대장'!$A$7:$A$1006,0)))</x:f>
      </x:c>
      <x:c r="H333" s="9"/>
      <x:c r="I333" s="2"/>
      <x:c r="J333" s="2"/>
      <x:c r="K333" s="2"/>
      <x:c r="L333" s="2"/>
      <x:c r="M333" s="2"/>
      <x:c r="N333" s="2"/>
    </x:row>
    <x:row r="334" ht="23" customHeight="1">
      <x:c r="A334" s="9"/>
      <x:c r="B334" s="10"/>
      <x:c r="C334" s="14"/>
      <x:c r="D334" s="9"/>
      <x:c r="E334" s="9"/>
      <x:c r="F334" s="9"/>
      <x:c r="G334" s="9" t="str">
        <x:f>IF(A334="","",INDEX('입고대장'!$M$7:$M$1006,MATCH(A334,'입고대장'!$A$7:$A$1006,0)))</x:f>
      </x:c>
      <x:c r="H334" s="9"/>
      <x:c r="I334" s="2"/>
      <x:c r="J334" s="2"/>
      <x:c r="K334" s="2"/>
      <x:c r="L334" s="2"/>
      <x:c r="M334" s="2"/>
      <x:c r="N334" s="2"/>
    </x:row>
    <x:row r="335" ht="23" customHeight="1">
      <x:c r="A335" s="9"/>
      <x:c r="B335" s="10"/>
      <x:c r="C335" s="14"/>
      <x:c r="D335" s="9"/>
      <x:c r="E335" s="9"/>
      <x:c r="F335" s="9"/>
      <x:c r="G335" s="9" t="str">
        <x:f>IF(A335="","",INDEX('입고대장'!$M$7:$M$1006,MATCH(A335,'입고대장'!$A$7:$A$1006,0)))</x:f>
      </x:c>
      <x:c r="H335" s="9"/>
      <x:c r="I335" s="2"/>
      <x:c r="J335" s="2"/>
      <x:c r="K335" s="2"/>
      <x:c r="L335" s="2"/>
      <x:c r="M335" s="2"/>
      <x:c r="N335" s="2"/>
    </x:row>
    <x:row r="336" ht="23" customHeight="1">
      <x:c r="A336" s="9"/>
      <x:c r="B336" s="10"/>
      <x:c r="C336" s="14"/>
      <x:c r="D336" s="9"/>
      <x:c r="E336" s="9"/>
      <x:c r="F336" s="9"/>
      <x:c r="G336" s="9" t="str">
        <x:f>IF(A336="","",INDEX('입고대장'!$M$7:$M$1006,MATCH(A336,'입고대장'!$A$7:$A$1006,0)))</x:f>
      </x:c>
      <x:c r="H336" s="9"/>
      <x:c r="I336" s="2"/>
      <x:c r="J336" s="2"/>
      <x:c r="K336" s="2"/>
      <x:c r="L336" s="2"/>
      <x:c r="M336" s="2"/>
      <x:c r="N336" s="2"/>
    </x:row>
    <x:row r="337" ht="23" customHeight="1">
      <x:c r="A337" s="9"/>
      <x:c r="B337" s="10"/>
      <x:c r="C337" s="14"/>
      <x:c r="D337" s="9"/>
      <x:c r="E337" s="9"/>
      <x:c r="F337" s="9"/>
      <x:c r="G337" s="9" t="str">
        <x:f>IF(A337="","",INDEX('입고대장'!$M$7:$M$1006,MATCH(A337,'입고대장'!$A$7:$A$1006,0)))</x:f>
      </x:c>
      <x:c r="H337" s="9"/>
      <x:c r="I337" s="2"/>
      <x:c r="J337" s="2"/>
      <x:c r="K337" s="2"/>
      <x:c r="L337" s="2"/>
      <x:c r="M337" s="2"/>
      <x:c r="N337" s="2"/>
    </x:row>
    <x:row r="338" ht="23" customHeight="1">
      <x:c r="A338" s="9"/>
      <x:c r="B338" s="10"/>
      <x:c r="C338" s="14"/>
      <x:c r="D338" s="9"/>
      <x:c r="E338" s="9"/>
      <x:c r="F338" s="9"/>
      <x:c r="G338" s="9" t="str">
        <x:f>IF(A338="","",INDEX('입고대장'!$M$7:$M$1006,MATCH(A338,'입고대장'!$A$7:$A$1006,0)))</x:f>
      </x:c>
      <x:c r="H338" s="9"/>
      <x:c r="I338" s="2"/>
      <x:c r="J338" s="2"/>
      <x:c r="K338" s="2"/>
      <x:c r="L338" s="2"/>
      <x:c r="M338" s="2"/>
      <x:c r="N338" s="2"/>
    </x:row>
    <x:row r="339" ht="23" customHeight="1">
      <x:c r="A339" s="9"/>
      <x:c r="B339" s="10"/>
      <x:c r="C339" s="14"/>
      <x:c r="D339" s="9"/>
      <x:c r="E339" s="9"/>
      <x:c r="F339" s="9"/>
      <x:c r="G339" s="9" t="str">
        <x:f>IF(A339="","",INDEX('입고대장'!$M$7:$M$1006,MATCH(A339,'입고대장'!$A$7:$A$1006,0)))</x:f>
      </x:c>
      <x:c r="H339" s="9"/>
      <x:c r="I339" s="2"/>
      <x:c r="J339" s="2"/>
      <x:c r="K339" s="2"/>
      <x:c r="L339" s="2"/>
      <x:c r="M339" s="2"/>
      <x:c r="N339" s="2"/>
    </x:row>
    <x:row r="340" ht="23" customHeight="1">
      <x:c r="A340" s="9"/>
      <x:c r="B340" s="10"/>
      <x:c r="C340" s="14"/>
      <x:c r="D340" s="9"/>
      <x:c r="E340" s="9"/>
      <x:c r="F340" s="9"/>
      <x:c r="G340" s="9" t="str">
        <x:f>IF(A340="","",INDEX('입고대장'!$M$7:$M$1006,MATCH(A340,'입고대장'!$A$7:$A$1006,0)))</x:f>
      </x:c>
      <x:c r="H340" s="9"/>
      <x:c r="I340" s="2"/>
      <x:c r="J340" s="2"/>
      <x:c r="K340" s="2"/>
      <x:c r="L340" s="2"/>
      <x:c r="M340" s="2"/>
      <x:c r="N340" s="2"/>
    </x:row>
    <x:row r="341" ht="23" customHeight="1">
      <x:c r="A341" s="9"/>
      <x:c r="B341" s="10"/>
      <x:c r="C341" s="14"/>
      <x:c r="D341" s="9"/>
      <x:c r="E341" s="9"/>
      <x:c r="F341" s="9"/>
      <x:c r="G341" s="9" t="str">
        <x:f>IF(A341="","",INDEX('입고대장'!$M$7:$M$1006,MATCH(A341,'입고대장'!$A$7:$A$1006,0)))</x:f>
      </x:c>
      <x:c r="H341" s="9"/>
      <x:c r="I341" s="2"/>
      <x:c r="J341" s="2"/>
      <x:c r="K341" s="2"/>
      <x:c r="L341" s="2"/>
      <x:c r="M341" s="2"/>
      <x:c r="N341" s="2"/>
    </x:row>
    <x:row r="342" ht="23" customHeight="1">
      <x:c r="A342" s="9"/>
      <x:c r="B342" s="10"/>
      <x:c r="C342" s="14"/>
      <x:c r="D342" s="9"/>
      <x:c r="E342" s="9"/>
      <x:c r="F342" s="9"/>
      <x:c r="G342" s="9" t="str">
        <x:f>IF(A342="","",INDEX('입고대장'!$M$7:$M$1006,MATCH(A342,'입고대장'!$A$7:$A$1006,0)))</x:f>
      </x:c>
      <x:c r="H342" s="9"/>
      <x:c r="I342" s="2"/>
      <x:c r="J342" s="2"/>
      <x:c r="K342" s="2"/>
      <x:c r="L342" s="2"/>
      <x:c r="M342" s="2"/>
      <x:c r="N342" s="2"/>
    </x:row>
    <x:row r="343" ht="23" customHeight="1">
      <x:c r="A343" s="9"/>
      <x:c r="B343" s="10"/>
      <x:c r="C343" s="14"/>
      <x:c r="D343" s="9"/>
      <x:c r="E343" s="9"/>
      <x:c r="F343" s="9"/>
      <x:c r="G343" s="9" t="str">
        <x:f>IF(A343="","",INDEX('입고대장'!$M$7:$M$1006,MATCH(A343,'입고대장'!$A$7:$A$1006,0)))</x:f>
      </x:c>
      <x:c r="H343" s="9"/>
      <x:c r="I343" s="2"/>
      <x:c r="J343" s="2"/>
      <x:c r="K343" s="2"/>
      <x:c r="L343" s="2"/>
      <x:c r="M343" s="2"/>
      <x:c r="N343" s="2"/>
    </x:row>
    <x:row r="344" ht="23" customHeight="1">
      <x:c r="A344" s="9"/>
      <x:c r="B344" s="10"/>
      <x:c r="C344" s="14"/>
      <x:c r="D344" s="9"/>
      <x:c r="E344" s="9"/>
      <x:c r="F344" s="9"/>
      <x:c r="G344" s="9" t="str">
        <x:f>IF(A344="","",INDEX('입고대장'!$M$7:$M$1006,MATCH(A344,'입고대장'!$A$7:$A$1006,0)))</x:f>
      </x:c>
      <x:c r="H344" s="9"/>
      <x:c r="I344" s="2"/>
      <x:c r="J344" s="2"/>
      <x:c r="K344" s="2"/>
      <x:c r="L344" s="2"/>
      <x:c r="M344" s="2"/>
      <x:c r="N344" s="2"/>
    </x:row>
    <x:row r="345" ht="23" customHeight="1">
      <x:c r="A345" s="9"/>
      <x:c r="B345" s="10"/>
      <x:c r="C345" s="14"/>
      <x:c r="D345" s="9"/>
      <x:c r="E345" s="9"/>
      <x:c r="F345" s="9"/>
      <x:c r="G345" s="9" t="str">
        <x:f>IF(A345="","",INDEX('입고대장'!$M$7:$M$1006,MATCH(A345,'입고대장'!$A$7:$A$1006,0)))</x:f>
      </x:c>
      <x:c r="H345" s="9"/>
      <x:c r="I345" s="2"/>
      <x:c r="J345" s="2"/>
      <x:c r="K345" s="2"/>
      <x:c r="L345" s="2"/>
      <x:c r="M345" s="2"/>
      <x:c r="N345" s="2"/>
    </x:row>
    <x:row r="346" ht="23" customHeight="1">
      <x:c r="A346" s="9"/>
      <x:c r="B346" s="10"/>
      <x:c r="C346" s="14"/>
      <x:c r="D346" s="9"/>
      <x:c r="E346" s="9"/>
      <x:c r="F346" s="9"/>
      <x:c r="G346" s="9" t="str">
        <x:f>IF(A346="","",INDEX('입고대장'!$M$7:$M$1006,MATCH(A346,'입고대장'!$A$7:$A$1006,0)))</x:f>
      </x:c>
      <x:c r="H346" s="9"/>
      <x:c r="I346" s="2"/>
      <x:c r="J346" s="2"/>
      <x:c r="K346" s="2"/>
      <x:c r="L346" s="2"/>
      <x:c r="M346" s="2"/>
      <x:c r="N346" s="2"/>
    </x:row>
    <x:row r="347" ht="23" customHeight="1">
      <x:c r="A347" s="9"/>
      <x:c r="B347" s="10"/>
      <x:c r="C347" s="14"/>
      <x:c r="D347" s="9"/>
      <x:c r="E347" s="9"/>
      <x:c r="F347" s="9"/>
      <x:c r="G347" s="9" t="str">
        <x:f>IF(A347="","",INDEX('입고대장'!$M$7:$M$1006,MATCH(A347,'입고대장'!$A$7:$A$1006,0)))</x:f>
      </x:c>
      <x:c r="H347" s="9"/>
      <x:c r="I347" s="2"/>
      <x:c r="J347" s="2"/>
      <x:c r="K347" s="2"/>
      <x:c r="L347" s="2"/>
      <x:c r="M347" s="2"/>
      <x:c r="N347" s="2"/>
    </x:row>
    <x:row r="348" ht="23" customHeight="1">
      <x:c r="A348" s="9"/>
      <x:c r="B348" s="10"/>
      <x:c r="C348" s="14"/>
      <x:c r="D348" s="9"/>
      <x:c r="E348" s="9"/>
      <x:c r="F348" s="9"/>
      <x:c r="G348" s="9" t="str">
        <x:f>IF(A348="","",INDEX('입고대장'!$M$7:$M$1006,MATCH(A348,'입고대장'!$A$7:$A$1006,0)))</x:f>
      </x:c>
      <x:c r="H348" s="9"/>
      <x:c r="I348" s="2"/>
      <x:c r="J348" s="2"/>
      <x:c r="K348" s="2"/>
      <x:c r="L348" s="2"/>
      <x:c r="M348" s="2"/>
      <x:c r="N348" s="2"/>
    </x:row>
    <x:row r="349" ht="23" customHeight="1">
      <x:c r="A349" s="9"/>
      <x:c r="B349" s="10"/>
      <x:c r="C349" s="14"/>
      <x:c r="D349" s="9"/>
      <x:c r="E349" s="9"/>
      <x:c r="F349" s="9"/>
      <x:c r="G349" s="9" t="str">
        <x:f>IF(A349="","",INDEX('입고대장'!$M$7:$M$1006,MATCH(A349,'입고대장'!$A$7:$A$1006,0)))</x:f>
      </x:c>
      <x:c r="H349" s="9"/>
      <x:c r="I349" s="2"/>
      <x:c r="J349" s="2"/>
      <x:c r="K349" s="2"/>
      <x:c r="L349" s="2"/>
      <x:c r="M349" s="2"/>
      <x:c r="N349" s="2"/>
    </x:row>
    <x:row r="350" ht="23" customHeight="1">
      <x:c r="A350" s="9"/>
      <x:c r="B350" s="10"/>
      <x:c r="C350" s="14"/>
      <x:c r="D350" s="9"/>
      <x:c r="E350" s="9"/>
      <x:c r="F350" s="9"/>
      <x:c r="G350" s="9" t="str">
        <x:f>IF(A350="","",INDEX('입고대장'!$M$7:$M$1006,MATCH(A350,'입고대장'!$A$7:$A$1006,0)))</x:f>
      </x:c>
      <x:c r="H350" s="9"/>
      <x:c r="I350" s="2"/>
      <x:c r="J350" s="2"/>
      <x:c r="K350" s="2"/>
      <x:c r="L350" s="2"/>
      <x:c r="M350" s="2"/>
      <x:c r="N350" s="2"/>
    </x:row>
    <x:row r="351" ht="23" customHeight="1">
      <x:c r="A351" s="9"/>
      <x:c r="B351" s="10"/>
      <x:c r="C351" s="14"/>
      <x:c r="D351" s="9"/>
      <x:c r="E351" s="9"/>
      <x:c r="F351" s="9"/>
      <x:c r="G351" s="9" t="str">
        <x:f>IF(A351="","",INDEX('입고대장'!$M$7:$M$1006,MATCH(A351,'입고대장'!$A$7:$A$1006,0)))</x:f>
      </x:c>
      <x:c r="H351" s="9"/>
      <x:c r="I351" s="2"/>
      <x:c r="J351" s="2"/>
      <x:c r="K351" s="2"/>
      <x:c r="L351" s="2"/>
      <x:c r="M351" s="2"/>
      <x:c r="N351" s="2"/>
    </x:row>
    <x:row r="352" ht="23" customHeight="1">
      <x:c r="A352" s="9"/>
      <x:c r="B352" s="10"/>
      <x:c r="C352" s="14"/>
      <x:c r="D352" s="9"/>
      <x:c r="E352" s="9"/>
      <x:c r="F352" s="9"/>
      <x:c r="G352" s="9" t="str">
        <x:f>IF(A352="","",INDEX('입고대장'!$M$7:$M$1006,MATCH(A352,'입고대장'!$A$7:$A$1006,0)))</x:f>
      </x:c>
      <x:c r="H352" s="9"/>
      <x:c r="I352" s="2"/>
      <x:c r="J352" s="2"/>
      <x:c r="K352" s="2"/>
      <x:c r="L352" s="2"/>
      <x:c r="M352" s="2"/>
      <x:c r="N352" s="2"/>
    </x:row>
    <x:row r="353" ht="23" customHeight="1">
      <x:c r="A353" s="9"/>
      <x:c r="B353" s="10"/>
      <x:c r="C353" s="14"/>
      <x:c r="D353" s="9"/>
      <x:c r="E353" s="9"/>
      <x:c r="F353" s="9"/>
      <x:c r="G353" s="9" t="str">
        <x:f>IF(A353="","",INDEX('입고대장'!$M$7:$M$1006,MATCH(A353,'입고대장'!$A$7:$A$1006,0)))</x:f>
      </x:c>
      <x:c r="H353" s="9"/>
      <x:c r="I353" s="2"/>
      <x:c r="J353" s="2"/>
      <x:c r="K353" s="2"/>
      <x:c r="L353" s="2"/>
      <x:c r="M353" s="2"/>
      <x:c r="N353" s="2"/>
    </x:row>
    <x:row r="354" ht="23" customHeight="1">
      <x:c r="A354" s="9"/>
      <x:c r="B354" s="10"/>
      <x:c r="C354" s="14"/>
      <x:c r="D354" s="9"/>
      <x:c r="E354" s="9"/>
      <x:c r="F354" s="9"/>
      <x:c r="G354" s="9" t="str">
        <x:f>IF(A354="","",INDEX('입고대장'!$M$7:$M$1006,MATCH(A354,'입고대장'!$A$7:$A$1006,0)))</x:f>
      </x:c>
      <x:c r="H354" s="9"/>
      <x:c r="I354" s="2"/>
      <x:c r="J354" s="2"/>
      <x:c r="K354" s="2"/>
      <x:c r="L354" s="2"/>
      <x:c r="M354" s="2"/>
      <x:c r="N354" s="2"/>
    </x:row>
    <x:row r="355" ht="23" customHeight="1">
      <x:c r="A355" s="9"/>
      <x:c r="B355" s="10"/>
      <x:c r="C355" s="14"/>
      <x:c r="D355" s="9"/>
      <x:c r="E355" s="9"/>
      <x:c r="F355" s="9"/>
      <x:c r="G355" s="9" t="str">
        <x:f>IF(A355="","",INDEX('입고대장'!$M$7:$M$1006,MATCH(A355,'입고대장'!$A$7:$A$1006,0)))</x:f>
      </x:c>
      <x:c r="H355" s="9"/>
      <x:c r="I355" s="2"/>
      <x:c r="J355" s="2"/>
      <x:c r="K355" s="2"/>
      <x:c r="L355" s="2"/>
      <x:c r="M355" s="2"/>
      <x:c r="N355" s="2"/>
    </x:row>
    <x:row r="356" ht="23" customHeight="1">
      <x:c r="A356" s="9"/>
      <x:c r="B356" s="10"/>
      <x:c r="C356" s="14"/>
      <x:c r="D356" s="9"/>
      <x:c r="E356" s="9"/>
      <x:c r="F356" s="9"/>
      <x:c r="G356" s="9" t="str">
        <x:f>IF(A356="","",INDEX('입고대장'!$M$7:$M$1006,MATCH(A356,'입고대장'!$A$7:$A$1006,0)))</x:f>
      </x:c>
      <x:c r="H356" s="9"/>
      <x:c r="I356" s="2"/>
      <x:c r="J356" s="2"/>
      <x:c r="K356" s="2"/>
      <x:c r="L356" s="2"/>
      <x:c r="M356" s="2"/>
      <x:c r="N356" s="2"/>
    </x:row>
    <x:row r="357" ht="23" customHeight="1">
      <x:c r="A357" s="9"/>
      <x:c r="B357" s="10"/>
      <x:c r="C357" s="14"/>
      <x:c r="D357" s="9"/>
      <x:c r="E357" s="9"/>
      <x:c r="F357" s="9"/>
      <x:c r="G357" s="9" t="str">
        <x:f>IF(A357="","",INDEX('입고대장'!$M$7:$M$1006,MATCH(A357,'입고대장'!$A$7:$A$1006,0)))</x:f>
      </x:c>
      <x:c r="H357" s="9"/>
      <x:c r="I357" s="2"/>
      <x:c r="J357" s="2"/>
      <x:c r="K357" s="2"/>
      <x:c r="L357" s="2"/>
      <x:c r="M357" s="2"/>
      <x:c r="N357" s="2"/>
    </x:row>
    <x:row r="358" ht="23" customHeight="1">
      <x:c r="A358" s="9"/>
      <x:c r="B358" s="10"/>
      <x:c r="C358" s="14"/>
      <x:c r="D358" s="9"/>
      <x:c r="E358" s="9"/>
      <x:c r="F358" s="9"/>
      <x:c r="G358" s="9" t="str">
        <x:f>IF(A358="","",INDEX('입고대장'!$M$7:$M$1006,MATCH(A358,'입고대장'!$A$7:$A$1006,0)))</x:f>
      </x:c>
      <x:c r="H358" s="9"/>
      <x:c r="I358" s="2"/>
      <x:c r="J358" s="2"/>
      <x:c r="K358" s="2"/>
      <x:c r="L358" s="2"/>
      <x:c r="M358" s="2"/>
      <x:c r="N358" s="2"/>
    </x:row>
    <x:row r="359" ht="23" customHeight="1">
      <x:c r="A359" s="9"/>
      <x:c r="B359" s="10"/>
      <x:c r="C359" s="14"/>
      <x:c r="D359" s="9"/>
      <x:c r="E359" s="9"/>
      <x:c r="F359" s="9"/>
      <x:c r="G359" s="9" t="str">
        <x:f>IF(A359="","",INDEX('입고대장'!$M$7:$M$1006,MATCH(A359,'입고대장'!$A$7:$A$1006,0)))</x:f>
      </x:c>
      <x:c r="H359" s="9"/>
      <x:c r="I359" s="2"/>
      <x:c r="J359" s="2"/>
      <x:c r="K359" s="2"/>
      <x:c r="L359" s="2"/>
      <x:c r="M359" s="2"/>
      <x:c r="N359" s="2"/>
    </x:row>
    <x:row r="360" ht="23" customHeight="1">
      <x:c r="A360" s="9"/>
      <x:c r="B360" s="10"/>
      <x:c r="C360" s="14"/>
      <x:c r="D360" s="9"/>
      <x:c r="E360" s="9"/>
      <x:c r="F360" s="9"/>
      <x:c r="G360" s="9" t="str">
        <x:f>IF(A360="","",INDEX('입고대장'!$M$7:$M$1006,MATCH(A360,'입고대장'!$A$7:$A$1006,0)))</x:f>
      </x:c>
      <x:c r="H360" s="9"/>
      <x:c r="I360" s="2"/>
      <x:c r="J360" s="2"/>
      <x:c r="K360" s="2"/>
      <x:c r="L360" s="2"/>
      <x:c r="M360" s="2"/>
      <x:c r="N360" s="2"/>
    </x:row>
    <x:row r="361" ht="23" customHeight="1">
      <x:c r="A361" s="9"/>
      <x:c r="B361" s="10"/>
      <x:c r="C361" s="14"/>
      <x:c r="D361" s="9"/>
      <x:c r="E361" s="9"/>
      <x:c r="F361" s="9"/>
      <x:c r="G361" s="9" t="str">
        <x:f>IF(A361="","",INDEX('입고대장'!$M$7:$M$1006,MATCH(A361,'입고대장'!$A$7:$A$1006,0)))</x:f>
      </x:c>
      <x:c r="H361" s="9"/>
      <x:c r="I361" s="2"/>
      <x:c r="J361" s="2"/>
      <x:c r="K361" s="2"/>
      <x:c r="L361" s="2"/>
      <x:c r="M361" s="2"/>
      <x:c r="N361" s="2"/>
    </x:row>
    <x:row r="362" ht="23" customHeight="1">
      <x:c r="A362" s="9"/>
      <x:c r="B362" s="10"/>
      <x:c r="C362" s="14"/>
      <x:c r="D362" s="9"/>
      <x:c r="E362" s="9"/>
      <x:c r="F362" s="9"/>
      <x:c r="G362" s="9" t="str">
        <x:f>IF(A362="","",INDEX('입고대장'!$M$7:$M$1006,MATCH(A362,'입고대장'!$A$7:$A$1006,0)))</x:f>
      </x:c>
      <x:c r="H362" s="9"/>
      <x:c r="I362" s="2"/>
      <x:c r="J362" s="2"/>
      <x:c r="K362" s="2"/>
      <x:c r="L362" s="2"/>
      <x:c r="M362" s="2"/>
      <x:c r="N362" s="2"/>
    </x:row>
    <x:row r="363" ht="23" customHeight="1">
      <x:c r="A363" s="9"/>
      <x:c r="B363" s="10"/>
      <x:c r="C363" s="14"/>
      <x:c r="D363" s="9"/>
      <x:c r="E363" s="9"/>
      <x:c r="F363" s="9"/>
      <x:c r="G363" s="9" t="str">
        <x:f>IF(A363="","",INDEX('입고대장'!$M$7:$M$1006,MATCH(A363,'입고대장'!$A$7:$A$1006,0)))</x:f>
      </x:c>
      <x:c r="H363" s="9"/>
      <x:c r="I363" s="2"/>
      <x:c r="J363" s="2"/>
      <x:c r="K363" s="2"/>
      <x:c r="L363" s="2"/>
      <x:c r="M363" s="2"/>
      <x:c r="N363" s="2"/>
    </x:row>
    <x:row r="364" ht="23" customHeight="1">
      <x:c r="A364" s="9"/>
      <x:c r="B364" s="10"/>
      <x:c r="C364" s="14"/>
      <x:c r="D364" s="9"/>
      <x:c r="E364" s="9"/>
      <x:c r="F364" s="9"/>
      <x:c r="G364" s="9" t="str">
        <x:f>IF(A364="","",INDEX('입고대장'!$M$7:$M$1006,MATCH(A364,'입고대장'!$A$7:$A$1006,0)))</x:f>
      </x:c>
      <x:c r="H364" s="9"/>
      <x:c r="I364" s="2"/>
      <x:c r="J364" s="2"/>
      <x:c r="K364" s="2"/>
      <x:c r="L364" s="2"/>
      <x:c r="M364" s="2"/>
      <x:c r="N364" s="2"/>
    </x:row>
    <x:row r="365" ht="23" customHeight="1">
      <x:c r="A365" s="9"/>
      <x:c r="B365" s="10"/>
      <x:c r="C365" s="14"/>
      <x:c r="D365" s="9"/>
      <x:c r="E365" s="9"/>
      <x:c r="F365" s="9"/>
      <x:c r="G365" s="9" t="str">
        <x:f>IF(A365="","",INDEX('입고대장'!$M$7:$M$1006,MATCH(A365,'입고대장'!$A$7:$A$1006,0)))</x:f>
      </x:c>
      <x:c r="H365" s="9"/>
      <x:c r="I365" s="2"/>
      <x:c r="J365" s="2"/>
      <x:c r="K365" s="2"/>
      <x:c r="L365" s="2"/>
      <x:c r="M365" s="2"/>
      <x:c r="N365" s="2"/>
    </x:row>
    <x:row r="366" ht="23" customHeight="1">
      <x:c r="A366" s="9"/>
      <x:c r="B366" s="10"/>
      <x:c r="C366" s="14"/>
      <x:c r="D366" s="9"/>
      <x:c r="E366" s="9"/>
      <x:c r="F366" s="9"/>
      <x:c r="G366" s="9" t="str">
        <x:f>IF(A366="","",INDEX('입고대장'!$M$7:$M$1006,MATCH(A366,'입고대장'!$A$7:$A$1006,0)))</x:f>
      </x:c>
      <x:c r="H366" s="9"/>
      <x:c r="I366" s="2"/>
      <x:c r="J366" s="2"/>
      <x:c r="K366" s="2"/>
      <x:c r="L366" s="2"/>
      <x:c r="M366" s="2"/>
      <x:c r="N366" s="2"/>
    </x:row>
    <x:row r="367" ht="23" customHeight="1">
      <x:c r="A367" s="9"/>
      <x:c r="B367" s="10"/>
      <x:c r="C367" s="14"/>
      <x:c r="D367" s="9"/>
      <x:c r="E367" s="9"/>
      <x:c r="F367" s="9"/>
      <x:c r="G367" s="9" t="str">
        <x:f>IF(A367="","",INDEX('입고대장'!$M$7:$M$1006,MATCH(A367,'입고대장'!$A$7:$A$1006,0)))</x:f>
      </x:c>
      <x:c r="H367" s="9"/>
      <x:c r="I367" s="2"/>
      <x:c r="J367" s="2"/>
      <x:c r="K367" s="2"/>
      <x:c r="L367" s="2"/>
      <x:c r="M367" s="2"/>
      <x:c r="N367" s="2"/>
    </x:row>
    <x:row r="368" ht="23" customHeight="1">
      <x:c r="A368" s="9"/>
      <x:c r="B368" s="10"/>
      <x:c r="C368" s="14"/>
      <x:c r="D368" s="9"/>
      <x:c r="E368" s="9"/>
      <x:c r="F368" s="9"/>
      <x:c r="G368" s="9" t="str">
        <x:f>IF(A368="","",INDEX('입고대장'!$M$7:$M$1006,MATCH(A368,'입고대장'!$A$7:$A$1006,0)))</x:f>
      </x:c>
      <x:c r="H368" s="9"/>
      <x:c r="I368" s="2"/>
      <x:c r="J368" s="2"/>
      <x:c r="K368" s="2"/>
      <x:c r="L368" s="2"/>
      <x:c r="M368" s="2"/>
      <x:c r="N368" s="2"/>
    </x:row>
    <x:row r="369" ht="23" customHeight="1">
      <x:c r="A369" s="9"/>
      <x:c r="B369" s="10"/>
      <x:c r="C369" s="14"/>
      <x:c r="D369" s="9"/>
      <x:c r="E369" s="9"/>
      <x:c r="F369" s="9"/>
      <x:c r="G369" s="9" t="str">
        <x:f>IF(A369="","",INDEX('입고대장'!$M$7:$M$1006,MATCH(A369,'입고대장'!$A$7:$A$1006,0)))</x:f>
      </x:c>
      <x:c r="H369" s="9"/>
      <x:c r="I369" s="2"/>
      <x:c r="J369" s="2"/>
      <x:c r="K369" s="2"/>
      <x:c r="L369" s="2"/>
      <x:c r="M369" s="2"/>
      <x:c r="N369" s="2"/>
    </x:row>
    <x:row r="370" ht="23" customHeight="1">
      <x:c r="A370" s="9"/>
      <x:c r="B370" s="10"/>
      <x:c r="C370" s="14"/>
      <x:c r="D370" s="9"/>
      <x:c r="E370" s="9"/>
      <x:c r="F370" s="9"/>
      <x:c r="G370" s="9" t="str">
        <x:f>IF(A370="","",INDEX('입고대장'!$M$7:$M$1006,MATCH(A370,'입고대장'!$A$7:$A$1006,0)))</x:f>
      </x:c>
      <x:c r="H370" s="9"/>
      <x:c r="I370" s="2"/>
      <x:c r="J370" s="2"/>
      <x:c r="K370" s="2"/>
      <x:c r="L370" s="2"/>
      <x:c r="M370" s="2"/>
      <x:c r="N370" s="2"/>
    </x:row>
    <x:row r="371" ht="23" customHeight="1">
      <x:c r="A371" s="9"/>
      <x:c r="B371" s="10"/>
      <x:c r="C371" s="14"/>
      <x:c r="D371" s="9"/>
      <x:c r="E371" s="9"/>
      <x:c r="F371" s="9"/>
      <x:c r="G371" s="9" t="str">
        <x:f>IF(A371="","",INDEX('입고대장'!$M$7:$M$1006,MATCH(A371,'입고대장'!$A$7:$A$1006,0)))</x:f>
      </x:c>
      <x:c r="H371" s="9"/>
      <x:c r="I371" s="2"/>
      <x:c r="J371" s="2"/>
      <x:c r="K371" s="2"/>
      <x:c r="L371" s="2"/>
      <x:c r="M371" s="2"/>
      <x:c r="N371" s="2"/>
    </x:row>
    <x:row r="372" ht="23" customHeight="1">
      <x:c r="A372" s="9"/>
      <x:c r="B372" s="10"/>
      <x:c r="C372" s="14"/>
      <x:c r="D372" s="9"/>
      <x:c r="E372" s="9"/>
      <x:c r="F372" s="9"/>
      <x:c r="G372" s="9" t="str">
        <x:f>IF(A372="","",INDEX('입고대장'!$M$7:$M$1006,MATCH(A372,'입고대장'!$A$7:$A$1006,0)))</x:f>
      </x:c>
      <x:c r="H372" s="9"/>
      <x:c r="I372" s="2"/>
      <x:c r="J372" s="2"/>
      <x:c r="K372" s="2"/>
      <x:c r="L372" s="2"/>
      <x:c r="M372" s="2"/>
      <x:c r="N372" s="2"/>
    </x:row>
    <x:row r="373" ht="23" customHeight="1">
      <x:c r="A373" s="9"/>
      <x:c r="B373" s="10"/>
      <x:c r="C373" s="14"/>
      <x:c r="D373" s="9"/>
      <x:c r="E373" s="9"/>
      <x:c r="F373" s="9"/>
      <x:c r="G373" s="9" t="str">
        <x:f>IF(A373="","",INDEX('입고대장'!$M$7:$M$1006,MATCH(A373,'입고대장'!$A$7:$A$1006,0)))</x:f>
      </x:c>
      <x:c r="H373" s="9"/>
      <x:c r="I373" s="2"/>
      <x:c r="J373" s="2"/>
      <x:c r="K373" s="2"/>
      <x:c r="L373" s="2"/>
      <x:c r="M373" s="2"/>
      <x:c r="N373" s="2"/>
    </x:row>
    <x:row r="374" ht="23" customHeight="1">
      <x:c r="A374" s="9"/>
      <x:c r="B374" s="10"/>
      <x:c r="C374" s="14"/>
      <x:c r="D374" s="9"/>
      <x:c r="E374" s="9"/>
      <x:c r="F374" s="9"/>
      <x:c r="G374" s="9" t="str">
        <x:f>IF(A374="","",INDEX('입고대장'!$M$7:$M$1006,MATCH(A374,'입고대장'!$A$7:$A$1006,0)))</x:f>
      </x:c>
      <x:c r="H374" s="9"/>
      <x:c r="I374" s="2"/>
      <x:c r="J374" s="2"/>
      <x:c r="K374" s="2"/>
      <x:c r="L374" s="2"/>
      <x:c r="M374" s="2"/>
      <x:c r="N374" s="2"/>
    </x:row>
    <x:row r="375" ht="23" customHeight="1">
      <x:c r="A375" s="9"/>
      <x:c r="B375" s="10"/>
      <x:c r="C375" s="14"/>
      <x:c r="D375" s="9"/>
      <x:c r="E375" s="9"/>
      <x:c r="F375" s="9"/>
      <x:c r="G375" s="9" t="str">
        <x:f>IF(A375="","",INDEX('입고대장'!$M$7:$M$1006,MATCH(A375,'입고대장'!$A$7:$A$1006,0)))</x:f>
      </x:c>
      <x:c r="H375" s="9"/>
      <x:c r="I375" s="2"/>
      <x:c r="J375" s="2"/>
      <x:c r="K375" s="2"/>
      <x:c r="L375" s="2"/>
      <x:c r="M375" s="2"/>
      <x:c r="N375" s="2"/>
    </x:row>
    <x:row r="376" ht="23" customHeight="1">
      <x:c r="A376" s="9"/>
      <x:c r="B376" s="10"/>
      <x:c r="C376" s="14"/>
      <x:c r="D376" s="9"/>
      <x:c r="E376" s="9"/>
      <x:c r="F376" s="9"/>
      <x:c r="G376" s="9" t="str">
        <x:f>IF(A376="","",INDEX('입고대장'!$M$7:$M$1006,MATCH(A376,'입고대장'!$A$7:$A$1006,0)))</x:f>
      </x:c>
      <x:c r="H376" s="9"/>
      <x:c r="I376" s="2"/>
      <x:c r="J376" s="2"/>
      <x:c r="K376" s="2"/>
      <x:c r="L376" s="2"/>
      <x:c r="M376" s="2"/>
      <x:c r="N376" s="2"/>
    </x:row>
    <x:row r="377" ht="23" customHeight="1">
      <x:c r="A377" s="9"/>
      <x:c r="B377" s="10"/>
      <x:c r="C377" s="14"/>
      <x:c r="D377" s="9"/>
      <x:c r="E377" s="9"/>
      <x:c r="F377" s="9"/>
      <x:c r="G377" s="9" t="str">
        <x:f>IF(A377="","",INDEX('입고대장'!$M$7:$M$1006,MATCH(A377,'입고대장'!$A$7:$A$1006,0)))</x:f>
      </x:c>
      <x:c r="H377" s="9"/>
      <x:c r="I377" s="2"/>
      <x:c r="J377" s="2"/>
      <x:c r="K377" s="2"/>
      <x:c r="L377" s="2"/>
      <x:c r="M377" s="2"/>
      <x:c r="N377" s="2"/>
    </x:row>
    <x:row r="378" ht="23" customHeight="1">
      <x:c r="A378" s="9"/>
      <x:c r="B378" s="10"/>
      <x:c r="C378" s="14"/>
      <x:c r="D378" s="9"/>
      <x:c r="E378" s="9"/>
      <x:c r="F378" s="9"/>
      <x:c r="G378" s="9" t="str">
        <x:f>IF(A378="","",INDEX('입고대장'!$M$7:$M$1006,MATCH(A378,'입고대장'!$A$7:$A$1006,0)))</x:f>
      </x:c>
      <x:c r="H378" s="9"/>
      <x:c r="I378" s="2"/>
      <x:c r="J378" s="2"/>
      <x:c r="K378" s="2"/>
      <x:c r="L378" s="2"/>
      <x:c r="M378" s="2"/>
      <x:c r="N378" s="2"/>
    </x:row>
    <x:row r="379" ht="23" customHeight="1">
      <x:c r="A379" s="9"/>
      <x:c r="B379" s="10"/>
      <x:c r="C379" s="14"/>
      <x:c r="D379" s="9"/>
      <x:c r="E379" s="9"/>
      <x:c r="F379" s="9"/>
      <x:c r="G379" s="9" t="str">
        <x:f>IF(A379="","",INDEX('입고대장'!$M$7:$M$1006,MATCH(A379,'입고대장'!$A$7:$A$1006,0)))</x:f>
      </x:c>
      <x:c r="H379" s="9"/>
      <x:c r="I379" s="2"/>
      <x:c r="J379" s="2"/>
      <x:c r="K379" s="2"/>
      <x:c r="L379" s="2"/>
      <x:c r="M379" s="2"/>
      <x:c r="N379" s="2"/>
    </x:row>
    <x:row r="380" ht="23" customHeight="1">
      <x:c r="A380" s="9"/>
      <x:c r="B380" s="10"/>
      <x:c r="C380" s="14"/>
      <x:c r="D380" s="9"/>
      <x:c r="E380" s="9"/>
      <x:c r="F380" s="9"/>
      <x:c r="G380" s="9" t="str">
        <x:f>IF(A380="","",INDEX('입고대장'!$M$7:$M$1006,MATCH(A380,'입고대장'!$A$7:$A$1006,0)))</x:f>
      </x:c>
      <x:c r="H380" s="9"/>
      <x:c r="I380" s="2"/>
      <x:c r="J380" s="2"/>
      <x:c r="K380" s="2"/>
      <x:c r="L380" s="2"/>
      <x:c r="M380" s="2"/>
      <x:c r="N380" s="2"/>
    </x:row>
    <x:row r="381" ht="23" customHeight="1">
      <x:c r="A381" s="9"/>
      <x:c r="B381" s="10"/>
      <x:c r="C381" s="14"/>
      <x:c r="D381" s="9"/>
      <x:c r="E381" s="9"/>
      <x:c r="F381" s="9"/>
      <x:c r="G381" s="9" t="str">
        <x:f>IF(A381="","",INDEX('입고대장'!$M$7:$M$1006,MATCH(A381,'입고대장'!$A$7:$A$1006,0)))</x:f>
      </x:c>
      <x:c r="H381" s="9"/>
      <x:c r="I381" s="2"/>
      <x:c r="J381" s="2"/>
      <x:c r="K381" s="2"/>
      <x:c r="L381" s="2"/>
      <x:c r="M381" s="2"/>
      <x:c r="N381" s="2"/>
    </x:row>
    <x:row r="382" ht="23" customHeight="1">
      <x:c r="A382" s="9"/>
      <x:c r="B382" s="10"/>
      <x:c r="C382" s="14"/>
      <x:c r="D382" s="9"/>
      <x:c r="E382" s="9"/>
      <x:c r="F382" s="9"/>
      <x:c r="G382" s="9" t="str">
        <x:f>IF(A382="","",INDEX('입고대장'!$M$7:$M$1006,MATCH(A382,'입고대장'!$A$7:$A$1006,0)))</x:f>
      </x:c>
      <x:c r="H382" s="9"/>
      <x:c r="I382" s="2"/>
      <x:c r="J382" s="2"/>
      <x:c r="K382" s="2"/>
      <x:c r="L382" s="2"/>
      <x:c r="M382" s="2"/>
      <x:c r="N382" s="2"/>
    </x:row>
    <x:row r="383" ht="23" customHeight="1">
      <x:c r="A383" s="9"/>
      <x:c r="B383" s="10"/>
      <x:c r="C383" s="14"/>
      <x:c r="D383" s="9"/>
      <x:c r="E383" s="9"/>
      <x:c r="F383" s="9"/>
      <x:c r="G383" s="9" t="str">
        <x:f>IF(A383="","",INDEX('입고대장'!$M$7:$M$1006,MATCH(A383,'입고대장'!$A$7:$A$1006,0)))</x:f>
      </x:c>
      <x:c r="H383" s="9"/>
      <x:c r="I383" s="2"/>
      <x:c r="J383" s="2"/>
      <x:c r="K383" s="2"/>
      <x:c r="L383" s="2"/>
      <x:c r="M383" s="2"/>
      <x:c r="N383" s="2"/>
    </x:row>
    <x:row r="384" ht="23" customHeight="1">
      <x:c r="A384" s="9"/>
      <x:c r="B384" s="10"/>
      <x:c r="C384" s="14"/>
      <x:c r="D384" s="9"/>
      <x:c r="E384" s="9"/>
      <x:c r="F384" s="9"/>
      <x:c r="G384" s="9" t="str">
        <x:f>IF(A384="","",INDEX('입고대장'!$M$7:$M$1006,MATCH(A384,'입고대장'!$A$7:$A$1006,0)))</x:f>
      </x:c>
      <x:c r="H384" s="9"/>
      <x:c r="I384" s="2"/>
      <x:c r="J384" s="2"/>
      <x:c r="K384" s="2"/>
      <x:c r="L384" s="2"/>
      <x:c r="M384" s="2"/>
      <x:c r="N384" s="2"/>
    </x:row>
    <x:row r="385" ht="23" customHeight="1">
      <x:c r="A385" s="9"/>
      <x:c r="B385" s="10"/>
      <x:c r="C385" s="14"/>
      <x:c r="D385" s="9"/>
      <x:c r="E385" s="9"/>
      <x:c r="F385" s="9"/>
      <x:c r="G385" s="9" t="str">
        <x:f>IF(A385="","",INDEX('입고대장'!$M$7:$M$1006,MATCH(A385,'입고대장'!$A$7:$A$1006,0)))</x:f>
      </x:c>
      <x:c r="H385" s="9"/>
      <x:c r="I385" s="2"/>
      <x:c r="J385" s="2"/>
      <x:c r="K385" s="2"/>
      <x:c r="L385" s="2"/>
      <x:c r="M385" s="2"/>
      <x:c r="N385" s="2"/>
    </x:row>
    <x:row r="386" ht="23" customHeight="1">
      <x:c r="A386" s="9"/>
      <x:c r="B386" s="10"/>
      <x:c r="C386" s="14"/>
      <x:c r="D386" s="9"/>
      <x:c r="E386" s="9"/>
      <x:c r="F386" s="9"/>
      <x:c r="G386" s="9" t="str">
        <x:f>IF(A386="","",INDEX('입고대장'!$M$7:$M$1006,MATCH(A386,'입고대장'!$A$7:$A$1006,0)))</x:f>
      </x:c>
      <x:c r="H386" s="9"/>
      <x:c r="I386" s="2"/>
      <x:c r="J386" s="2"/>
      <x:c r="K386" s="2"/>
      <x:c r="L386" s="2"/>
      <x:c r="M386" s="2"/>
      <x:c r="N386" s="2"/>
    </x:row>
    <x:row r="387" ht="23" customHeight="1">
      <x:c r="A387" s="9"/>
      <x:c r="B387" s="10"/>
      <x:c r="C387" s="14"/>
      <x:c r="D387" s="9"/>
      <x:c r="E387" s="9"/>
      <x:c r="F387" s="9"/>
      <x:c r="G387" s="9" t="str">
        <x:f>IF(A387="","",INDEX('입고대장'!$M$7:$M$1006,MATCH(A387,'입고대장'!$A$7:$A$1006,0)))</x:f>
      </x:c>
      <x:c r="H387" s="9"/>
      <x:c r="I387" s="2"/>
      <x:c r="J387" s="2"/>
      <x:c r="K387" s="2"/>
      <x:c r="L387" s="2"/>
      <x:c r="M387" s="2"/>
      <x:c r="N387" s="2"/>
    </x:row>
    <x:row r="388" ht="23" customHeight="1">
      <x:c r="A388" s="9"/>
      <x:c r="B388" s="10"/>
      <x:c r="C388" s="14"/>
      <x:c r="D388" s="9"/>
      <x:c r="E388" s="9"/>
      <x:c r="F388" s="9"/>
      <x:c r="G388" s="9" t="str">
        <x:f>IF(A388="","",INDEX('입고대장'!$M$7:$M$1006,MATCH(A388,'입고대장'!$A$7:$A$1006,0)))</x:f>
      </x:c>
      <x:c r="H388" s="9"/>
      <x:c r="I388" s="2"/>
      <x:c r="J388" s="2"/>
      <x:c r="K388" s="2"/>
      <x:c r="L388" s="2"/>
      <x:c r="M388" s="2"/>
      <x:c r="N388" s="2"/>
    </x:row>
    <x:row r="389" ht="23" customHeight="1">
      <x:c r="A389" s="9"/>
      <x:c r="B389" s="10"/>
      <x:c r="C389" s="14"/>
      <x:c r="D389" s="9"/>
      <x:c r="E389" s="9"/>
      <x:c r="F389" s="9"/>
      <x:c r="G389" s="9" t="str">
        <x:f>IF(A389="","",INDEX('입고대장'!$M$7:$M$1006,MATCH(A389,'입고대장'!$A$7:$A$1006,0)))</x:f>
      </x:c>
      <x:c r="H389" s="9"/>
      <x:c r="I389" s="2"/>
      <x:c r="J389" s="2"/>
      <x:c r="K389" s="2"/>
      <x:c r="L389" s="2"/>
      <x:c r="M389" s="2"/>
      <x:c r="N389" s="2"/>
    </x:row>
    <x:row r="390" ht="23" customHeight="1">
      <x:c r="A390" s="9"/>
      <x:c r="B390" s="10"/>
      <x:c r="C390" s="14"/>
      <x:c r="D390" s="9"/>
      <x:c r="E390" s="9"/>
      <x:c r="F390" s="9"/>
      <x:c r="G390" s="9" t="str">
        <x:f>IF(A390="","",INDEX('입고대장'!$M$7:$M$1006,MATCH(A390,'입고대장'!$A$7:$A$1006,0)))</x:f>
      </x:c>
      <x:c r="H390" s="9"/>
      <x:c r="I390" s="2"/>
      <x:c r="J390" s="2"/>
      <x:c r="K390" s="2"/>
      <x:c r="L390" s="2"/>
      <x:c r="M390" s="2"/>
      <x:c r="N390" s="2"/>
    </x:row>
    <x:row r="391" ht="23" customHeight="1">
      <x:c r="A391" s="9"/>
      <x:c r="B391" s="10"/>
      <x:c r="C391" s="14"/>
      <x:c r="D391" s="9"/>
      <x:c r="E391" s="9"/>
      <x:c r="F391" s="9"/>
      <x:c r="G391" s="9" t="str">
        <x:f>IF(A391="","",INDEX('입고대장'!$M$7:$M$1006,MATCH(A391,'입고대장'!$A$7:$A$1006,0)))</x:f>
      </x:c>
      <x:c r="H391" s="9"/>
      <x:c r="I391" s="2"/>
      <x:c r="J391" s="2"/>
      <x:c r="K391" s="2"/>
      <x:c r="L391" s="2"/>
      <x:c r="M391" s="2"/>
      <x:c r="N391" s="2"/>
    </x:row>
    <x:row r="392" ht="23" customHeight="1">
      <x:c r="A392" s="9"/>
      <x:c r="B392" s="10"/>
      <x:c r="C392" s="14"/>
      <x:c r="D392" s="9"/>
      <x:c r="E392" s="9"/>
      <x:c r="F392" s="9"/>
      <x:c r="G392" s="9" t="str">
        <x:f>IF(A392="","",INDEX('입고대장'!$M$7:$M$1006,MATCH(A392,'입고대장'!$A$7:$A$1006,0)))</x:f>
      </x:c>
      <x:c r="H392" s="9"/>
      <x:c r="I392" s="2"/>
      <x:c r="J392" s="2"/>
      <x:c r="K392" s="2"/>
      <x:c r="L392" s="2"/>
      <x:c r="M392" s="2"/>
      <x:c r="N392" s="2"/>
    </x:row>
    <x:row r="393" ht="23" customHeight="1">
      <x:c r="A393" s="9"/>
      <x:c r="B393" s="10"/>
      <x:c r="C393" s="14"/>
      <x:c r="D393" s="9"/>
      <x:c r="E393" s="9"/>
      <x:c r="F393" s="9"/>
      <x:c r="G393" s="9" t="str">
        <x:f>IF(A393="","",INDEX('입고대장'!$M$7:$M$1006,MATCH(A393,'입고대장'!$A$7:$A$1006,0)))</x:f>
      </x:c>
      <x:c r="H393" s="9"/>
      <x:c r="I393" s="2"/>
      <x:c r="J393" s="2"/>
      <x:c r="K393" s="2"/>
      <x:c r="L393" s="2"/>
      <x:c r="M393" s="2"/>
      <x:c r="N393" s="2"/>
    </x:row>
    <x:row r="394" ht="23" customHeight="1">
      <x:c r="A394" s="9"/>
      <x:c r="B394" s="10"/>
      <x:c r="C394" s="14"/>
      <x:c r="D394" s="9"/>
      <x:c r="E394" s="9"/>
      <x:c r="F394" s="9"/>
      <x:c r="G394" s="9" t="str">
        <x:f>IF(A394="","",INDEX('입고대장'!$M$7:$M$1006,MATCH(A394,'입고대장'!$A$7:$A$1006,0)))</x:f>
      </x:c>
      <x:c r="H394" s="9"/>
      <x:c r="I394" s="2"/>
      <x:c r="J394" s="2"/>
      <x:c r="K394" s="2"/>
      <x:c r="L394" s="2"/>
      <x:c r="M394" s="2"/>
      <x:c r="N394" s="2"/>
    </x:row>
    <x:row r="395" ht="23" customHeight="1">
      <x:c r="A395" s="9"/>
      <x:c r="B395" s="10"/>
      <x:c r="C395" s="14"/>
      <x:c r="D395" s="9"/>
      <x:c r="E395" s="9"/>
      <x:c r="F395" s="9"/>
      <x:c r="G395" s="9" t="str">
        <x:f>IF(A395="","",INDEX('입고대장'!$M$7:$M$1006,MATCH(A395,'입고대장'!$A$7:$A$1006,0)))</x:f>
      </x:c>
      <x:c r="H395" s="9"/>
      <x:c r="I395" s="2"/>
      <x:c r="J395" s="2"/>
      <x:c r="K395" s="2"/>
      <x:c r="L395" s="2"/>
      <x:c r="M395" s="2"/>
      <x:c r="N395" s="2"/>
    </x:row>
    <x:row r="396" ht="23" customHeight="1">
      <x:c r="A396" s="9"/>
      <x:c r="B396" s="10"/>
      <x:c r="C396" s="14"/>
      <x:c r="D396" s="9"/>
      <x:c r="E396" s="9"/>
      <x:c r="F396" s="9"/>
      <x:c r="G396" s="9" t="str">
        <x:f>IF(A396="","",INDEX('입고대장'!$M$7:$M$1006,MATCH(A396,'입고대장'!$A$7:$A$1006,0)))</x:f>
      </x:c>
      <x:c r="H396" s="9"/>
      <x:c r="I396" s="2"/>
      <x:c r="J396" s="2"/>
      <x:c r="K396" s="2"/>
      <x:c r="L396" s="2"/>
      <x:c r="M396" s="2"/>
      <x:c r="N396" s="2"/>
    </x:row>
    <x:row r="397" ht="23" customHeight="1">
      <x:c r="A397" s="9"/>
      <x:c r="B397" s="10"/>
      <x:c r="C397" s="14"/>
      <x:c r="D397" s="9"/>
      <x:c r="E397" s="9"/>
      <x:c r="F397" s="9"/>
      <x:c r="G397" s="9" t="str">
        <x:f>IF(A397="","",INDEX('입고대장'!$M$7:$M$1006,MATCH(A397,'입고대장'!$A$7:$A$1006,0)))</x:f>
      </x:c>
      <x:c r="H397" s="9"/>
      <x:c r="I397" s="2"/>
      <x:c r="J397" s="2"/>
      <x:c r="K397" s="2"/>
      <x:c r="L397" s="2"/>
      <x:c r="M397" s="2"/>
      <x:c r="N397" s="2"/>
    </x:row>
    <x:row r="398" ht="23" customHeight="1">
      <x:c r="A398" s="9"/>
      <x:c r="B398" s="10"/>
      <x:c r="C398" s="14"/>
      <x:c r="D398" s="9"/>
      <x:c r="E398" s="9"/>
      <x:c r="F398" s="9"/>
      <x:c r="G398" s="9" t="str">
        <x:f>IF(A398="","",INDEX('입고대장'!$M$7:$M$1006,MATCH(A398,'입고대장'!$A$7:$A$1006,0)))</x:f>
      </x:c>
      <x:c r="H398" s="9"/>
      <x:c r="I398" s="2"/>
      <x:c r="J398" s="2"/>
      <x:c r="K398" s="2"/>
      <x:c r="L398" s="2"/>
      <x:c r="M398" s="2"/>
      <x:c r="N398" s="2"/>
    </x:row>
    <x:row r="399" ht="23" customHeight="1">
      <x:c r="A399" s="9"/>
      <x:c r="B399" s="10"/>
      <x:c r="C399" s="14"/>
      <x:c r="D399" s="9"/>
      <x:c r="E399" s="9"/>
      <x:c r="F399" s="9"/>
      <x:c r="G399" s="9" t="str">
        <x:f>IF(A399="","",INDEX('입고대장'!$M$7:$M$1006,MATCH(A399,'입고대장'!$A$7:$A$1006,0)))</x:f>
      </x:c>
      <x:c r="H399" s="9"/>
      <x:c r="I399" s="2"/>
      <x:c r="J399" s="2"/>
      <x:c r="K399" s="2"/>
      <x:c r="L399" s="2"/>
      <x:c r="M399" s="2"/>
      <x:c r="N399" s="2"/>
    </x:row>
    <x:row r="400" ht="23" customHeight="1">
      <x:c r="A400" s="9"/>
      <x:c r="B400" s="10"/>
      <x:c r="C400" s="14"/>
      <x:c r="D400" s="9"/>
      <x:c r="E400" s="9"/>
      <x:c r="F400" s="9"/>
      <x:c r="G400" s="9" t="str">
        <x:f>IF(A400="","",INDEX('입고대장'!$M$7:$M$1006,MATCH(A400,'입고대장'!$A$7:$A$1006,0)))</x:f>
      </x:c>
      <x:c r="H400" s="9"/>
      <x:c r="I400" s="2"/>
      <x:c r="J400" s="2"/>
      <x:c r="K400" s="2"/>
      <x:c r="L400" s="2"/>
      <x:c r="M400" s="2"/>
      <x:c r="N400" s="2"/>
    </x:row>
    <x:row r="401" ht="23" customHeight="1">
      <x:c r="A401" s="9"/>
      <x:c r="B401" s="10"/>
      <x:c r="C401" s="14"/>
      <x:c r="D401" s="9"/>
      <x:c r="E401" s="9"/>
      <x:c r="F401" s="9"/>
      <x:c r="G401" s="9" t="str">
        <x:f>IF(A401="","",INDEX('입고대장'!$M$7:$M$1006,MATCH(A401,'입고대장'!$A$7:$A$1006,0)))</x:f>
      </x:c>
      <x:c r="H401" s="9"/>
      <x:c r="I401" s="2"/>
      <x:c r="J401" s="2"/>
      <x:c r="K401" s="2"/>
      <x:c r="L401" s="2"/>
      <x:c r="M401" s="2"/>
      <x:c r="N401" s="2"/>
    </x:row>
    <x:row r="402" ht="23" customHeight="1">
      <x:c r="A402" s="9"/>
      <x:c r="B402" s="10"/>
      <x:c r="C402" s="14"/>
      <x:c r="D402" s="9"/>
      <x:c r="E402" s="9"/>
      <x:c r="F402" s="9"/>
      <x:c r="G402" s="9" t="str">
        <x:f>IF(A402="","",INDEX('입고대장'!$M$7:$M$1006,MATCH(A402,'입고대장'!$A$7:$A$1006,0)))</x:f>
      </x:c>
      <x:c r="H402" s="9"/>
      <x:c r="I402" s="2"/>
      <x:c r="J402" s="2"/>
      <x:c r="K402" s="2"/>
      <x:c r="L402" s="2"/>
      <x:c r="M402" s="2"/>
      <x:c r="N402" s="2"/>
    </x:row>
    <x:row r="403" ht="23" customHeight="1">
      <x:c r="A403" s="9"/>
      <x:c r="B403" s="10"/>
      <x:c r="C403" s="14"/>
      <x:c r="D403" s="9"/>
      <x:c r="E403" s="9"/>
      <x:c r="F403" s="9"/>
      <x:c r="G403" s="9" t="str">
        <x:f>IF(A403="","",INDEX('입고대장'!$M$7:$M$1006,MATCH(A403,'입고대장'!$A$7:$A$1006,0)))</x:f>
      </x:c>
      <x:c r="H403" s="9"/>
      <x:c r="I403" s="2"/>
      <x:c r="J403" s="2"/>
      <x:c r="K403" s="2"/>
      <x:c r="L403" s="2"/>
      <x:c r="M403" s="2"/>
      <x:c r="N403" s="2"/>
    </x:row>
    <x:row r="404" ht="23" customHeight="1">
      <x:c r="A404" s="9"/>
      <x:c r="B404" s="10"/>
      <x:c r="C404" s="14"/>
      <x:c r="D404" s="9"/>
      <x:c r="E404" s="9"/>
      <x:c r="F404" s="9"/>
      <x:c r="G404" s="9" t="str">
        <x:f>IF(A404="","",INDEX('입고대장'!$M$7:$M$1006,MATCH(A404,'입고대장'!$A$7:$A$1006,0)))</x:f>
      </x:c>
      <x:c r="H404" s="9"/>
      <x:c r="I404" s="2"/>
      <x:c r="J404" s="2"/>
      <x:c r="K404" s="2"/>
      <x:c r="L404" s="2"/>
      <x:c r="M404" s="2"/>
      <x:c r="N404" s="2"/>
    </x:row>
    <x:row r="405" ht="23" customHeight="1">
      <x:c r="A405" s="9"/>
      <x:c r="B405" s="10"/>
      <x:c r="C405" s="14"/>
      <x:c r="D405" s="9"/>
      <x:c r="E405" s="9"/>
      <x:c r="F405" s="9"/>
      <x:c r="G405" s="9" t="str">
        <x:f>IF(A405="","",INDEX('입고대장'!$M$7:$M$1006,MATCH(A405,'입고대장'!$A$7:$A$1006,0)))</x:f>
      </x:c>
      <x:c r="H405" s="9"/>
      <x:c r="I405" s="2"/>
      <x:c r="J405" s="2"/>
      <x:c r="K405" s="2"/>
      <x:c r="L405" s="2"/>
      <x:c r="M405" s="2"/>
      <x:c r="N405" s="2"/>
    </x:row>
    <x:row r="406" ht="23" customHeight="1">
      <x:c r="A406" s="9"/>
      <x:c r="B406" s="10"/>
      <x:c r="C406" s="14"/>
      <x:c r="D406" s="9"/>
      <x:c r="E406" s="9"/>
      <x:c r="F406" s="9"/>
      <x:c r="G406" s="9" t="str">
        <x:f>IF(A406="","",INDEX('입고대장'!$M$7:$M$1006,MATCH(A406,'입고대장'!$A$7:$A$1006,0)))</x:f>
      </x:c>
      <x:c r="H406" s="9"/>
      <x:c r="I406" s="2"/>
      <x:c r="J406" s="2"/>
      <x:c r="K406" s="2"/>
      <x:c r="L406" s="2"/>
      <x:c r="M406" s="2"/>
      <x:c r="N406" s="2"/>
    </x:row>
    <x:row r="407" ht="23" customHeight="1">
      <x:c r="A407" s="9"/>
      <x:c r="B407" s="10"/>
      <x:c r="C407" s="14"/>
      <x:c r="D407" s="9"/>
      <x:c r="E407" s="9"/>
      <x:c r="F407" s="9"/>
      <x:c r="G407" s="9" t="str">
        <x:f>IF(A407="","",INDEX('입고대장'!$M$7:$M$1006,MATCH(A407,'입고대장'!$A$7:$A$1006,0)))</x:f>
      </x:c>
      <x:c r="H407" s="9"/>
      <x:c r="I407" s="2"/>
      <x:c r="J407" s="2"/>
      <x:c r="K407" s="2"/>
      <x:c r="L407" s="2"/>
      <x:c r="M407" s="2"/>
      <x:c r="N407" s="2"/>
    </x:row>
    <x:row r="408" ht="23" customHeight="1">
      <x:c r="A408" s="9"/>
      <x:c r="B408" s="10"/>
      <x:c r="C408" s="14"/>
      <x:c r="D408" s="9"/>
      <x:c r="E408" s="9"/>
      <x:c r="F408" s="9"/>
      <x:c r="G408" s="9" t="str">
        <x:f>IF(A408="","",INDEX('입고대장'!$M$7:$M$1006,MATCH(A408,'입고대장'!$A$7:$A$1006,0)))</x:f>
      </x:c>
      <x:c r="H408" s="9"/>
      <x:c r="I408" s="2"/>
      <x:c r="J408" s="2"/>
      <x:c r="K408" s="2"/>
      <x:c r="L408" s="2"/>
      <x:c r="M408" s="2"/>
      <x:c r="N408" s="2"/>
    </x:row>
    <x:row r="409" ht="23" customHeight="1">
      <x:c r="A409" s="9"/>
      <x:c r="B409" s="10"/>
      <x:c r="C409" s="14"/>
      <x:c r="D409" s="9"/>
      <x:c r="E409" s="9"/>
      <x:c r="F409" s="9"/>
      <x:c r="G409" s="9" t="str">
        <x:f>IF(A409="","",INDEX('입고대장'!$M$7:$M$1006,MATCH(A409,'입고대장'!$A$7:$A$1006,0)))</x:f>
      </x:c>
      <x:c r="H409" s="9"/>
      <x:c r="I409" s="2"/>
      <x:c r="J409" s="2"/>
      <x:c r="K409" s="2"/>
      <x:c r="L409" s="2"/>
      <x:c r="M409" s="2"/>
      <x:c r="N409" s="2"/>
    </x:row>
    <x:row r="410" ht="23" customHeight="1">
      <x:c r="A410" s="9"/>
      <x:c r="B410" s="10"/>
      <x:c r="C410" s="14"/>
      <x:c r="D410" s="9"/>
      <x:c r="E410" s="9"/>
      <x:c r="F410" s="9"/>
      <x:c r="G410" s="9" t="str">
        <x:f>IF(A410="","",INDEX('입고대장'!$M$7:$M$1006,MATCH(A410,'입고대장'!$A$7:$A$1006,0)))</x:f>
      </x:c>
      <x:c r="H410" s="9"/>
      <x:c r="I410" s="2"/>
      <x:c r="J410" s="2"/>
      <x:c r="K410" s="2"/>
      <x:c r="L410" s="2"/>
      <x:c r="M410" s="2"/>
      <x:c r="N410" s="2"/>
    </x:row>
    <x:row r="411" ht="23" customHeight="1">
      <x:c r="A411" s="9"/>
      <x:c r="B411" s="10"/>
      <x:c r="C411" s="14"/>
      <x:c r="D411" s="9"/>
      <x:c r="E411" s="9"/>
      <x:c r="F411" s="9"/>
      <x:c r="G411" s="9" t="str">
        <x:f>IF(A411="","",INDEX('입고대장'!$M$7:$M$1006,MATCH(A411,'입고대장'!$A$7:$A$1006,0)))</x:f>
      </x:c>
      <x:c r="H411" s="9"/>
      <x:c r="I411" s="2"/>
      <x:c r="J411" s="2"/>
      <x:c r="K411" s="2"/>
      <x:c r="L411" s="2"/>
      <x:c r="M411" s="2"/>
      <x:c r="N411" s="2"/>
    </x:row>
    <x:row r="412" ht="23" customHeight="1">
      <x:c r="A412" s="9"/>
      <x:c r="B412" s="10"/>
      <x:c r="C412" s="14"/>
      <x:c r="D412" s="9"/>
      <x:c r="E412" s="9"/>
      <x:c r="F412" s="9"/>
      <x:c r="G412" s="9" t="str">
        <x:f>IF(A412="","",INDEX('입고대장'!$M$7:$M$1006,MATCH(A412,'입고대장'!$A$7:$A$1006,0)))</x:f>
      </x:c>
      <x:c r="H412" s="9"/>
      <x:c r="I412" s="2"/>
      <x:c r="J412" s="2"/>
      <x:c r="K412" s="2"/>
      <x:c r="L412" s="2"/>
      <x:c r="M412" s="2"/>
      <x:c r="N412" s="2"/>
    </x:row>
    <x:row r="413" ht="23" customHeight="1">
      <x:c r="A413" s="9"/>
      <x:c r="B413" s="10"/>
      <x:c r="C413" s="14"/>
      <x:c r="D413" s="9"/>
      <x:c r="E413" s="9"/>
      <x:c r="F413" s="9"/>
      <x:c r="G413" s="9" t="str">
        <x:f>IF(A413="","",INDEX('입고대장'!$M$7:$M$1006,MATCH(A413,'입고대장'!$A$7:$A$1006,0)))</x:f>
      </x:c>
      <x:c r="H413" s="9"/>
      <x:c r="I413" s="2"/>
      <x:c r="J413" s="2"/>
      <x:c r="K413" s="2"/>
      <x:c r="L413" s="2"/>
      <x:c r="M413" s="2"/>
      <x:c r="N413" s="2"/>
    </x:row>
    <x:row r="414" ht="23" customHeight="1">
      <x:c r="A414" s="9"/>
      <x:c r="B414" s="10"/>
      <x:c r="C414" s="14"/>
      <x:c r="D414" s="9"/>
      <x:c r="E414" s="9"/>
      <x:c r="F414" s="9"/>
      <x:c r="G414" s="9" t="str">
        <x:f>IF(A414="","",INDEX('입고대장'!$M$7:$M$1006,MATCH(A414,'입고대장'!$A$7:$A$1006,0)))</x:f>
      </x:c>
      <x:c r="H414" s="9"/>
      <x:c r="I414" s="2"/>
      <x:c r="J414" s="2"/>
      <x:c r="K414" s="2"/>
      <x:c r="L414" s="2"/>
      <x:c r="M414" s="2"/>
      <x:c r="N414" s="2"/>
    </x:row>
    <x:row r="415" ht="23" customHeight="1">
      <x:c r="A415" s="9"/>
      <x:c r="B415" s="10"/>
      <x:c r="C415" s="14"/>
      <x:c r="D415" s="9"/>
      <x:c r="E415" s="9"/>
      <x:c r="F415" s="9"/>
      <x:c r="G415" s="9" t="str">
        <x:f>IF(A415="","",INDEX('입고대장'!$M$7:$M$1006,MATCH(A415,'입고대장'!$A$7:$A$1006,0)))</x:f>
      </x:c>
      <x:c r="H415" s="9"/>
      <x:c r="I415" s="2"/>
      <x:c r="J415" s="2"/>
      <x:c r="K415" s="2"/>
      <x:c r="L415" s="2"/>
      <x:c r="M415" s="2"/>
      <x:c r="N415" s="2"/>
    </x:row>
    <x:row r="416" ht="23" customHeight="1">
      <x:c r="A416" s="9"/>
      <x:c r="B416" s="10"/>
      <x:c r="C416" s="14"/>
      <x:c r="D416" s="9"/>
      <x:c r="E416" s="9"/>
      <x:c r="F416" s="9"/>
      <x:c r="G416" s="9" t="str">
        <x:f>IF(A416="","",INDEX('입고대장'!$M$7:$M$1006,MATCH(A416,'입고대장'!$A$7:$A$1006,0)))</x:f>
      </x:c>
      <x:c r="H416" s="9"/>
      <x:c r="I416" s="2"/>
      <x:c r="J416" s="2"/>
      <x:c r="K416" s="2"/>
      <x:c r="L416" s="2"/>
      <x:c r="M416" s="2"/>
      <x:c r="N416" s="2"/>
    </x:row>
    <x:row r="417" ht="23" customHeight="1">
      <x:c r="A417" s="9"/>
      <x:c r="B417" s="10"/>
      <x:c r="C417" s="14"/>
      <x:c r="D417" s="9"/>
      <x:c r="E417" s="9"/>
      <x:c r="F417" s="9"/>
      <x:c r="G417" s="9" t="str">
        <x:f>IF(A417="","",INDEX('입고대장'!$M$7:$M$1006,MATCH(A417,'입고대장'!$A$7:$A$1006,0)))</x:f>
      </x:c>
      <x:c r="H417" s="9"/>
      <x:c r="I417" s="2"/>
      <x:c r="J417" s="2"/>
      <x:c r="K417" s="2"/>
      <x:c r="L417" s="2"/>
      <x:c r="M417" s="2"/>
      <x:c r="N417" s="2"/>
    </x:row>
    <x:row r="418" ht="23" customHeight="1">
      <x:c r="A418" s="9"/>
      <x:c r="B418" s="10"/>
      <x:c r="C418" s="14"/>
      <x:c r="D418" s="9"/>
      <x:c r="E418" s="9"/>
      <x:c r="F418" s="9"/>
      <x:c r="G418" s="9" t="str">
        <x:f>IF(A418="","",INDEX('입고대장'!$M$7:$M$1006,MATCH(A418,'입고대장'!$A$7:$A$1006,0)))</x:f>
      </x:c>
      <x:c r="H418" s="9"/>
      <x:c r="I418" s="2"/>
      <x:c r="J418" s="2"/>
      <x:c r="K418" s="2"/>
      <x:c r="L418" s="2"/>
      <x:c r="M418" s="2"/>
      <x:c r="N418" s="2"/>
    </x:row>
    <x:row r="419" ht="23" customHeight="1">
      <x:c r="A419" s="9"/>
      <x:c r="B419" s="10"/>
      <x:c r="C419" s="14"/>
      <x:c r="D419" s="9"/>
      <x:c r="E419" s="9"/>
      <x:c r="F419" s="9"/>
      <x:c r="G419" s="9" t="str">
        <x:f>IF(A419="","",INDEX('입고대장'!$M$7:$M$1006,MATCH(A419,'입고대장'!$A$7:$A$1006,0)))</x:f>
      </x:c>
      <x:c r="H419" s="9"/>
      <x:c r="I419" s="2"/>
      <x:c r="J419" s="2"/>
      <x:c r="K419" s="2"/>
      <x:c r="L419" s="2"/>
      <x:c r="M419" s="2"/>
      <x:c r="N419" s="2"/>
    </x:row>
    <x:row r="420" ht="23" customHeight="1">
      <x:c r="A420" s="9"/>
      <x:c r="B420" s="10"/>
      <x:c r="C420" s="14"/>
      <x:c r="D420" s="9"/>
      <x:c r="E420" s="9"/>
      <x:c r="F420" s="9"/>
      <x:c r="G420" s="9" t="str">
        <x:f>IF(A420="","",INDEX('입고대장'!$M$7:$M$1006,MATCH(A420,'입고대장'!$A$7:$A$1006,0)))</x:f>
      </x:c>
      <x:c r="H420" s="9"/>
      <x:c r="I420" s="2"/>
      <x:c r="J420" s="2"/>
      <x:c r="K420" s="2"/>
      <x:c r="L420" s="2"/>
      <x:c r="M420" s="2"/>
      <x:c r="N420" s="2"/>
    </x:row>
    <x:row r="421" ht="23" customHeight="1">
      <x:c r="A421" s="9"/>
      <x:c r="B421" s="10"/>
      <x:c r="C421" s="14"/>
      <x:c r="D421" s="9"/>
      <x:c r="E421" s="9"/>
      <x:c r="F421" s="9"/>
      <x:c r="G421" s="9" t="str">
        <x:f>IF(A421="","",INDEX('입고대장'!$M$7:$M$1006,MATCH(A421,'입고대장'!$A$7:$A$1006,0)))</x:f>
      </x:c>
      <x:c r="H421" s="9"/>
      <x:c r="I421" s="2"/>
      <x:c r="J421" s="2"/>
      <x:c r="K421" s="2"/>
      <x:c r="L421" s="2"/>
      <x:c r="M421" s="2"/>
      <x:c r="N421" s="2"/>
    </x:row>
    <x:row r="422" ht="23" customHeight="1">
      <x:c r="A422" s="9"/>
      <x:c r="B422" s="10"/>
      <x:c r="C422" s="14"/>
      <x:c r="D422" s="9"/>
      <x:c r="E422" s="9"/>
      <x:c r="F422" s="9"/>
      <x:c r="G422" s="9" t="str">
        <x:f>IF(A422="","",INDEX('입고대장'!$M$7:$M$1006,MATCH(A422,'입고대장'!$A$7:$A$1006,0)))</x:f>
      </x:c>
      <x:c r="H422" s="9"/>
      <x:c r="I422" s="2"/>
      <x:c r="J422" s="2"/>
      <x:c r="K422" s="2"/>
      <x:c r="L422" s="2"/>
      <x:c r="M422" s="2"/>
      <x:c r="N422" s="2"/>
    </x:row>
    <x:row r="423" ht="23" customHeight="1">
      <x:c r="A423" s="9"/>
      <x:c r="B423" s="10"/>
      <x:c r="C423" s="14"/>
      <x:c r="D423" s="9"/>
      <x:c r="E423" s="9"/>
      <x:c r="F423" s="9"/>
      <x:c r="G423" s="9" t="str">
        <x:f>IF(A423="","",INDEX('입고대장'!$M$7:$M$1006,MATCH(A423,'입고대장'!$A$7:$A$1006,0)))</x:f>
      </x:c>
      <x:c r="H423" s="9"/>
      <x:c r="I423" s="2"/>
      <x:c r="J423" s="2"/>
      <x:c r="K423" s="2"/>
      <x:c r="L423" s="2"/>
      <x:c r="M423" s="2"/>
      <x:c r="N423" s="2"/>
    </x:row>
    <x:row r="424" ht="23" customHeight="1">
      <x:c r="A424" s="9"/>
      <x:c r="B424" s="10"/>
      <x:c r="C424" s="14"/>
      <x:c r="D424" s="9"/>
      <x:c r="E424" s="9"/>
      <x:c r="F424" s="9"/>
      <x:c r="G424" s="9" t="str">
        <x:f>IF(A424="","",INDEX('입고대장'!$M$7:$M$1006,MATCH(A424,'입고대장'!$A$7:$A$1006,0)))</x:f>
      </x:c>
      <x:c r="H424" s="9"/>
      <x:c r="I424" s="2"/>
      <x:c r="J424" s="2"/>
      <x:c r="K424" s="2"/>
      <x:c r="L424" s="2"/>
      <x:c r="M424" s="2"/>
      <x:c r="N424" s="2"/>
    </x:row>
    <x:row r="425" ht="23" customHeight="1">
      <x:c r="A425" s="9"/>
      <x:c r="B425" s="10"/>
      <x:c r="C425" s="14"/>
      <x:c r="D425" s="9"/>
      <x:c r="E425" s="9"/>
      <x:c r="F425" s="9"/>
      <x:c r="G425" s="9" t="str">
        <x:f>IF(A425="","",INDEX('입고대장'!$M$7:$M$1006,MATCH(A425,'입고대장'!$A$7:$A$1006,0)))</x:f>
      </x:c>
      <x:c r="H425" s="9"/>
      <x:c r="I425" s="2"/>
      <x:c r="J425" s="2"/>
      <x:c r="K425" s="2"/>
      <x:c r="L425" s="2"/>
      <x:c r="M425" s="2"/>
      <x:c r="N425" s="2"/>
    </x:row>
    <x:row r="426" ht="23" customHeight="1">
      <x:c r="A426" s="9"/>
      <x:c r="B426" s="10"/>
      <x:c r="C426" s="14"/>
      <x:c r="D426" s="9"/>
      <x:c r="E426" s="9"/>
      <x:c r="F426" s="9"/>
      <x:c r="G426" s="9" t="str">
        <x:f>IF(A426="","",INDEX('입고대장'!$M$7:$M$1006,MATCH(A426,'입고대장'!$A$7:$A$1006,0)))</x:f>
      </x:c>
      <x:c r="H426" s="9"/>
      <x:c r="I426" s="2"/>
      <x:c r="J426" s="2"/>
      <x:c r="K426" s="2"/>
      <x:c r="L426" s="2"/>
      <x:c r="M426" s="2"/>
      <x:c r="N426" s="2"/>
    </x:row>
    <x:row r="427" ht="23" customHeight="1">
      <x:c r="A427" s="9"/>
      <x:c r="B427" s="10"/>
      <x:c r="C427" s="14"/>
      <x:c r="D427" s="9"/>
      <x:c r="E427" s="9"/>
      <x:c r="F427" s="9"/>
      <x:c r="G427" s="9" t="str">
        <x:f>IF(A427="","",INDEX('입고대장'!$M$7:$M$1006,MATCH(A427,'입고대장'!$A$7:$A$1006,0)))</x:f>
      </x:c>
      <x:c r="H427" s="9"/>
      <x:c r="I427" s="2"/>
      <x:c r="J427" s="2"/>
      <x:c r="K427" s="2"/>
      <x:c r="L427" s="2"/>
      <x:c r="M427" s="2"/>
      <x:c r="N427" s="2"/>
    </x:row>
    <x:row r="428" ht="23" customHeight="1">
      <x:c r="A428" s="9"/>
      <x:c r="B428" s="10"/>
      <x:c r="C428" s="14"/>
      <x:c r="D428" s="9"/>
      <x:c r="E428" s="9"/>
      <x:c r="F428" s="9"/>
      <x:c r="G428" s="9" t="str">
        <x:f>IF(A428="","",INDEX('입고대장'!$M$7:$M$1006,MATCH(A428,'입고대장'!$A$7:$A$1006,0)))</x:f>
      </x:c>
      <x:c r="H428" s="9"/>
      <x:c r="I428" s="2"/>
      <x:c r="J428" s="2"/>
      <x:c r="K428" s="2"/>
      <x:c r="L428" s="2"/>
      <x:c r="M428" s="2"/>
      <x:c r="N428" s="2"/>
    </x:row>
    <x:row r="429" ht="23" customHeight="1">
      <x:c r="A429" s="9"/>
      <x:c r="B429" s="10"/>
      <x:c r="C429" s="14"/>
      <x:c r="D429" s="9"/>
      <x:c r="E429" s="9"/>
      <x:c r="F429" s="9"/>
      <x:c r="G429" s="9" t="str">
        <x:f>IF(A429="","",INDEX('입고대장'!$M$7:$M$1006,MATCH(A429,'입고대장'!$A$7:$A$1006,0)))</x:f>
      </x:c>
      <x:c r="H429" s="9"/>
      <x:c r="I429" s="2"/>
      <x:c r="J429" s="2"/>
      <x:c r="K429" s="2"/>
      <x:c r="L429" s="2"/>
      <x:c r="M429" s="2"/>
      <x:c r="N429" s="2"/>
    </x:row>
    <x:row r="430" ht="23" customHeight="1">
      <x:c r="A430" s="9"/>
      <x:c r="B430" s="10"/>
      <x:c r="C430" s="14"/>
      <x:c r="D430" s="9"/>
      <x:c r="E430" s="9"/>
      <x:c r="F430" s="9"/>
      <x:c r="G430" s="9" t="str">
        <x:f>IF(A430="","",INDEX('입고대장'!$M$7:$M$1006,MATCH(A430,'입고대장'!$A$7:$A$1006,0)))</x:f>
      </x:c>
      <x:c r="H430" s="9"/>
      <x:c r="I430" s="2"/>
      <x:c r="J430" s="2"/>
      <x:c r="K430" s="2"/>
      <x:c r="L430" s="2"/>
      <x:c r="M430" s="2"/>
      <x:c r="N430" s="2"/>
    </x:row>
    <x:row r="431" ht="23" customHeight="1">
      <x:c r="A431" s="9"/>
      <x:c r="B431" s="10"/>
      <x:c r="C431" s="14"/>
      <x:c r="D431" s="9"/>
      <x:c r="E431" s="9"/>
      <x:c r="F431" s="9"/>
      <x:c r="G431" s="9" t="str">
        <x:f>IF(A431="","",INDEX('입고대장'!$M$7:$M$1006,MATCH(A431,'입고대장'!$A$7:$A$1006,0)))</x:f>
      </x:c>
      <x:c r="H431" s="9"/>
      <x:c r="I431" s="2"/>
      <x:c r="J431" s="2"/>
      <x:c r="K431" s="2"/>
      <x:c r="L431" s="2"/>
      <x:c r="M431" s="2"/>
      <x:c r="N431" s="2"/>
    </x:row>
    <x:row r="432" ht="23" customHeight="1">
      <x:c r="A432" s="9"/>
      <x:c r="B432" s="10"/>
      <x:c r="C432" s="14"/>
      <x:c r="D432" s="9"/>
      <x:c r="E432" s="9"/>
      <x:c r="F432" s="9"/>
      <x:c r="G432" s="9" t="str">
        <x:f>IF(A432="","",INDEX('입고대장'!$M$7:$M$1006,MATCH(A432,'입고대장'!$A$7:$A$1006,0)))</x:f>
      </x:c>
      <x:c r="H432" s="9"/>
      <x:c r="I432" s="2"/>
      <x:c r="J432" s="2"/>
      <x:c r="K432" s="2"/>
      <x:c r="L432" s="2"/>
      <x:c r="M432" s="2"/>
      <x:c r="N432" s="2"/>
    </x:row>
    <x:row r="433" ht="23" customHeight="1">
      <x:c r="A433" s="9"/>
      <x:c r="B433" s="10"/>
      <x:c r="C433" s="14"/>
      <x:c r="D433" s="9"/>
      <x:c r="E433" s="9"/>
      <x:c r="F433" s="9"/>
      <x:c r="G433" s="9" t="str">
        <x:f>IF(A433="","",INDEX('입고대장'!$M$7:$M$1006,MATCH(A433,'입고대장'!$A$7:$A$1006,0)))</x:f>
      </x:c>
      <x:c r="H433" s="9"/>
      <x:c r="I433" s="2"/>
      <x:c r="J433" s="2"/>
      <x:c r="K433" s="2"/>
      <x:c r="L433" s="2"/>
      <x:c r="M433" s="2"/>
      <x:c r="N433" s="2"/>
    </x:row>
    <x:row r="434" ht="23" customHeight="1">
      <x:c r="A434" s="9"/>
      <x:c r="B434" s="10"/>
      <x:c r="C434" s="14"/>
      <x:c r="D434" s="9"/>
      <x:c r="E434" s="9"/>
      <x:c r="F434" s="9"/>
      <x:c r="G434" s="9" t="str">
        <x:f>IF(A434="","",INDEX('입고대장'!$M$7:$M$1006,MATCH(A434,'입고대장'!$A$7:$A$1006,0)))</x:f>
      </x:c>
      <x:c r="H434" s="9"/>
      <x:c r="I434" s="2"/>
      <x:c r="J434" s="2"/>
      <x:c r="K434" s="2"/>
      <x:c r="L434" s="2"/>
      <x:c r="M434" s="2"/>
      <x:c r="N434" s="2"/>
    </x:row>
    <x:row r="435" ht="23" customHeight="1">
      <x:c r="A435" s="9"/>
      <x:c r="B435" s="10"/>
      <x:c r="C435" s="14"/>
      <x:c r="D435" s="9"/>
      <x:c r="E435" s="9"/>
      <x:c r="F435" s="9"/>
      <x:c r="G435" s="9" t="str">
        <x:f>IF(A435="","",INDEX('입고대장'!$M$7:$M$1006,MATCH(A435,'입고대장'!$A$7:$A$1006,0)))</x:f>
      </x:c>
      <x:c r="H435" s="9"/>
      <x:c r="I435" s="2"/>
      <x:c r="J435" s="2"/>
      <x:c r="K435" s="2"/>
      <x:c r="L435" s="2"/>
      <x:c r="M435" s="2"/>
      <x:c r="N435" s="2"/>
    </x:row>
    <x:row r="436" ht="23" customHeight="1">
      <x:c r="A436" s="9"/>
      <x:c r="B436" s="10"/>
      <x:c r="C436" s="14"/>
      <x:c r="D436" s="9"/>
      <x:c r="E436" s="9"/>
      <x:c r="F436" s="9"/>
      <x:c r="G436" s="9" t="str">
        <x:f>IF(A436="","",INDEX('입고대장'!$M$7:$M$1006,MATCH(A436,'입고대장'!$A$7:$A$1006,0)))</x:f>
      </x:c>
      <x:c r="H436" s="9"/>
      <x:c r="I436" s="2"/>
      <x:c r="J436" s="2"/>
      <x:c r="K436" s="2"/>
      <x:c r="L436" s="2"/>
      <x:c r="M436" s="2"/>
      <x:c r="N436" s="2"/>
    </x:row>
    <x:row r="437" ht="23" customHeight="1">
      <x:c r="A437" s="9"/>
      <x:c r="B437" s="10"/>
      <x:c r="C437" s="14"/>
      <x:c r="D437" s="9"/>
      <x:c r="E437" s="9"/>
      <x:c r="F437" s="9"/>
      <x:c r="G437" s="9" t="str">
        <x:f>IF(A437="","",INDEX('입고대장'!$M$7:$M$1006,MATCH(A437,'입고대장'!$A$7:$A$1006,0)))</x:f>
      </x:c>
      <x:c r="H437" s="9"/>
      <x:c r="I437" s="2"/>
      <x:c r="J437" s="2"/>
      <x:c r="K437" s="2"/>
      <x:c r="L437" s="2"/>
      <x:c r="M437" s="2"/>
      <x:c r="N437" s="2"/>
    </x:row>
    <x:row r="438" ht="23" customHeight="1">
      <x:c r="A438" s="9"/>
      <x:c r="B438" s="10"/>
      <x:c r="C438" s="14"/>
      <x:c r="D438" s="9"/>
      <x:c r="E438" s="9"/>
      <x:c r="F438" s="9"/>
      <x:c r="G438" s="9" t="str">
        <x:f>IF(A438="","",INDEX('입고대장'!$M$7:$M$1006,MATCH(A438,'입고대장'!$A$7:$A$1006,0)))</x:f>
      </x:c>
      <x:c r="H438" s="9"/>
      <x:c r="I438" s="2"/>
      <x:c r="J438" s="2"/>
      <x:c r="K438" s="2"/>
      <x:c r="L438" s="2"/>
      <x:c r="M438" s="2"/>
      <x:c r="N438" s="2"/>
    </x:row>
    <x:row r="439" ht="23" customHeight="1">
      <x:c r="A439" s="9"/>
      <x:c r="B439" s="10"/>
      <x:c r="C439" s="14"/>
      <x:c r="D439" s="9"/>
      <x:c r="E439" s="9"/>
      <x:c r="F439" s="9"/>
      <x:c r="G439" s="9" t="str">
        <x:f>IF(A439="","",INDEX('입고대장'!$M$7:$M$1006,MATCH(A439,'입고대장'!$A$7:$A$1006,0)))</x:f>
      </x:c>
      <x:c r="H439" s="9"/>
      <x:c r="I439" s="2"/>
      <x:c r="J439" s="2"/>
      <x:c r="K439" s="2"/>
      <x:c r="L439" s="2"/>
      <x:c r="M439" s="2"/>
      <x:c r="N439" s="2"/>
    </x:row>
    <x:row r="440" ht="23" customHeight="1">
      <x:c r="A440" s="9"/>
      <x:c r="B440" s="10"/>
      <x:c r="C440" s="14"/>
      <x:c r="D440" s="9"/>
      <x:c r="E440" s="9"/>
      <x:c r="F440" s="9"/>
      <x:c r="G440" s="9" t="str">
        <x:f>IF(A440="","",INDEX('입고대장'!$M$7:$M$1006,MATCH(A440,'입고대장'!$A$7:$A$1006,0)))</x:f>
      </x:c>
      <x:c r="H440" s="9"/>
      <x:c r="I440" s="2"/>
      <x:c r="J440" s="2"/>
      <x:c r="K440" s="2"/>
      <x:c r="L440" s="2"/>
      <x:c r="M440" s="2"/>
      <x:c r="N440" s="2"/>
    </x:row>
    <x:row r="441" ht="23" customHeight="1">
      <x:c r="A441" s="9"/>
      <x:c r="B441" s="10"/>
      <x:c r="C441" s="14"/>
      <x:c r="D441" s="9"/>
      <x:c r="E441" s="9"/>
      <x:c r="F441" s="9"/>
      <x:c r="G441" s="9" t="str">
        <x:f>IF(A441="","",INDEX('입고대장'!$M$7:$M$1006,MATCH(A441,'입고대장'!$A$7:$A$1006,0)))</x:f>
      </x:c>
      <x:c r="H441" s="9"/>
      <x:c r="I441" s="2"/>
      <x:c r="J441" s="2"/>
      <x:c r="K441" s="2"/>
      <x:c r="L441" s="2"/>
      <x:c r="M441" s="2"/>
      <x:c r="N441" s="2"/>
    </x:row>
    <x:row r="442" ht="23" customHeight="1">
      <x:c r="A442" s="9"/>
      <x:c r="B442" s="10"/>
      <x:c r="C442" s="14"/>
      <x:c r="D442" s="9"/>
      <x:c r="E442" s="9"/>
      <x:c r="F442" s="9"/>
      <x:c r="G442" s="9" t="str">
        <x:f>IF(A442="","",INDEX('입고대장'!$M$7:$M$1006,MATCH(A442,'입고대장'!$A$7:$A$1006,0)))</x:f>
      </x:c>
      <x:c r="H442" s="9"/>
      <x:c r="I442" s="2"/>
      <x:c r="J442" s="2"/>
      <x:c r="K442" s="2"/>
      <x:c r="L442" s="2"/>
      <x:c r="M442" s="2"/>
      <x:c r="N442" s="2"/>
    </x:row>
    <x:row r="443" ht="23" customHeight="1">
      <x:c r="A443" s="9"/>
      <x:c r="B443" s="10"/>
      <x:c r="C443" s="14"/>
      <x:c r="D443" s="9"/>
      <x:c r="E443" s="9"/>
      <x:c r="F443" s="9"/>
      <x:c r="G443" s="9" t="str">
        <x:f>IF(A443="","",INDEX('입고대장'!$M$7:$M$1006,MATCH(A443,'입고대장'!$A$7:$A$1006,0)))</x:f>
      </x:c>
      <x:c r="H443" s="9"/>
      <x:c r="I443" s="2"/>
      <x:c r="J443" s="2"/>
      <x:c r="K443" s="2"/>
      <x:c r="L443" s="2"/>
      <x:c r="M443" s="2"/>
      <x:c r="N443" s="2"/>
    </x:row>
    <x:row r="444" ht="23" customHeight="1">
      <x:c r="A444" s="9"/>
      <x:c r="B444" s="10"/>
      <x:c r="C444" s="14"/>
      <x:c r="D444" s="9"/>
      <x:c r="E444" s="9"/>
      <x:c r="F444" s="9"/>
      <x:c r="G444" s="9" t="str">
        <x:f>IF(A444="","",INDEX('입고대장'!$M$7:$M$1006,MATCH(A444,'입고대장'!$A$7:$A$1006,0)))</x:f>
      </x:c>
      <x:c r="H444" s="9"/>
      <x:c r="I444" s="2"/>
      <x:c r="J444" s="2"/>
      <x:c r="K444" s="2"/>
      <x:c r="L444" s="2"/>
      <x:c r="M444" s="2"/>
      <x:c r="N444" s="2"/>
    </x:row>
    <x:row r="445" ht="23" customHeight="1">
      <x:c r="A445" s="9"/>
      <x:c r="B445" s="10"/>
      <x:c r="C445" s="14"/>
      <x:c r="D445" s="9"/>
      <x:c r="E445" s="9"/>
      <x:c r="F445" s="9"/>
      <x:c r="G445" s="9" t="str">
        <x:f>IF(A445="","",INDEX('입고대장'!$M$7:$M$1006,MATCH(A445,'입고대장'!$A$7:$A$1006,0)))</x:f>
      </x:c>
      <x:c r="H445" s="9"/>
      <x:c r="I445" s="2"/>
      <x:c r="J445" s="2"/>
      <x:c r="K445" s="2"/>
      <x:c r="L445" s="2"/>
      <x:c r="M445" s="2"/>
      <x:c r="N445" s="2"/>
    </x:row>
    <x:row r="446" ht="23" customHeight="1">
      <x:c r="A446" s="9"/>
      <x:c r="B446" s="10"/>
      <x:c r="C446" s="14"/>
      <x:c r="D446" s="9"/>
      <x:c r="E446" s="9"/>
      <x:c r="F446" s="9"/>
      <x:c r="G446" s="9" t="str">
        <x:f>IF(A446="","",INDEX('입고대장'!$M$7:$M$1006,MATCH(A446,'입고대장'!$A$7:$A$1006,0)))</x:f>
      </x:c>
      <x:c r="H446" s="9"/>
      <x:c r="I446" s="2"/>
      <x:c r="J446" s="2"/>
      <x:c r="K446" s="2"/>
      <x:c r="L446" s="2"/>
      <x:c r="M446" s="2"/>
      <x:c r="N446" s="2"/>
    </x:row>
    <x:row r="447" ht="23" customHeight="1">
      <x:c r="A447" s="9"/>
      <x:c r="B447" s="10"/>
      <x:c r="C447" s="14"/>
      <x:c r="D447" s="9"/>
      <x:c r="E447" s="9"/>
      <x:c r="F447" s="9"/>
      <x:c r="G447" s="9" t="str">
        <x:f>IF(A447="","",INDEX('입고대장'!$M$7:$M$1006,MATCH(A447,'입고대장'!$A$7:$A$1006,0)))</x:f>
      </x:c>
      <x:c r="H447" s="9"/>
      <x:c r="I447" s="2"/>
      <x:c r="J447" s="2"/>
      <x:c r="K447" s="2"/>
      <x:c r="L447" s="2"/>
      <x:c r="M447" s="2"/>
      <x:c r="N447" s="2"/>
    </x:row>
    <x:row r="448" ht="23" customHeight="1">
      <x:c r="A448" s="9"/>
      <x:c r="B448" s="10"/>
      <x:c r="C448" s="14"/>
      <x:c r="D448" s="9"/>
      <x:c r="E448" s="9"/>
      <x:c r="F448" s="9"/>
      <x:c r="G448" s="9" t="str">
        <x:f>IF(A448="","",INDEX('입고대장'!$M$7:$M$1006,MATCH(A448,'입고대장'!$A$7:$A$1006,0)))</x:f>
      </x:c>
      <x:c r="H448" s="9"/>
      <x:c r="I448" s="2"/>
      <x:c r="J448" s="2"/>
      <x:c r="K448" s="2"/>
      <x:c r="L448" s="2"/>
      <x:c r="M448" s="2"/>
      <x:c r="N448" s="2"/>
    </x:row>
    <x:row r="449" ht="23" customHeight="1">
      <x:c r="A449" s="9"/>
      <x:c r="B449" s="10"/>
      <x:c r="C449" s="14"/>
      <x:c r="D449" s="9"/>
      <x:c r="E449" s="9"/>
      <x:c r="F449" s="9"/>
      <x:c r="G449" s="9" t="str">
        <x:f>IF(A449="","",INDEX('입고대장'!$M$7:$M$1006,MATCH(A449,'입고대장'!$A$7:$A$1006,0)))</x:f>
      </x:c>
      <x:c r="H449" s="9"/>
      <x:c r="I449" s="2"/>
      <x:c r="J449" s="2"/>
      <x:c r="K449" s="2"/>
      <x:c r="L449" s="2"/>
      <x:c r="M449" s="2"/>
      <x:c r="N449" s="2"/>
    </x:row>
    <x:row r="450" ht="23" customHeight="1">
      <x:c r="A450" s="9"/>
      <x:c r="B450" s="10"/>
      <x:c r="C450" s="14"/>
      <x:c r="D450" s="9"/>
      <x:c r="E450" s="9"/>
      <x:c r="F450" s="9"/>
      <x:c r="G450" s="9" t="str">
        <x:f>IF(A450="","",INDEX('입고대장'!$M$7:$M$1006,MATCH(A450,'입고대장'!$A$7:$A$1006,0)))</x:f>
      </x:c>
      <x:c r="H450" s="9"/>
      <x:c r="I450" s="2"/>
      <x:c r="J450" s="2"/>
      <x:c r="K450" s="2"/>
      <x:c r="L450" s="2"/>
      <x:c r="M450" s="2"/>
      <x:c r="N450" s="2"/>
    </x:row>
    <x:row r="451" ht="23" customHeight="1">
      <x:c r="A451" s="9"/>
      <x:c r="B451" s="10"/>
      <x:c r="C451" s="14"/>
      <x:c r="D451" s="9"/>
      <x:c r="E451" s="9"/>
      <x:c r="F451" s="9"/>
      <x:c r="G451" s="9" t="str">
        <x:f>IF(A451="","",INDEX('입고대장'!$M$7:$M$1006,MATCH(A451,'입고대장'!$A$7:$A$1006,0)))</x:f>
      </x:c>
      <x:c r="H451" s="9"/>
      <x:c r="I451" s="2"/>
      <x:c r="J451" s="2"/>
      <x:c r="K451" s="2"/>
      <x:c r="L451" s="2"/>
      <x:c r="M451" s="2"/>
      <x:c r="N451" s="2"/>
    </x:row>
    <x:row r="452" ht="23" customHeight="1">
      <x:c r="A452" s="9"/>
      <x:c r="B452" s="10"/>
      <x:c r="C452" s="14"/>
      <x:c r="D452" s="9"/>
      <x:c r="E452" s="9"/>
      <x:c r="F452" s="9"/>
      <x:c r="G452" s="9" t="str">
        <x:f>IF(A452="","",INDEX('입고대장'!$M$7:$M$1006,MATCH(A452,'입고대장'!$A$7:$A$1006,0)))</x:f>
      </x:c>
      <x:c r="H452" s="9"/>
      <x:c r="I452" s="2"/>
      <x:c r="J452" s="2"/>
      <x:c r="K452" s="2"/>
      <x:c r="L452" s="2"/>
      <x:c r="M452" s="2"/>
      <x:c r="N452" s="2"/>
    </x:row>
    <x:row r="453" ht="23" customHeight="1">
      <x:c r="A453" s="9"/>
      <x:c r="B453" s="10"/>
      <x:c r="C453" s="14"/>
      <x:c r="D453" s="9"/>
      <x:c r="E453" s="9"/>
      <x:c r="F453" s="9"/>
      <x:c r="G453" s="9" t="str">
        <x:f>IF(A453="","",INDEX('입고대장'!$M$7:$M$1006,MATCH(A453,'입고대장'!$A$7:$A$1006,0)))</x:f>
      </x:c>
      <x:c r="H453" s="9"/>
      <x:c r="I453" s="2"/>
      <x:c r="J453" s="2"/>
      <x:c r="K453" s="2"/>
      <x:c r="L453" s="2"/>
      <x:c r="M453" s="2"/>
      <x:c r="N453" s="2"/>
    </x:row>
    <x:row r="454" ht="23" customHeight="1">
      <x:c r="A454" s="9"/>
      <x:c r="B454" s="10"/>
      <x:c r="C454" s="14"/>
      <x:c r="D454" s="9"/>
      <x:c r="E454" s="9"/>
      <x:c r="F454" s="9"/>
      <x:c r="G454" s="9" t="str">
        <x:f>IF(A454="","",INDEX('입고대장'!$M$7:$M$1006,MATCH(A454,'입고대장'!$A$7:$A$1006,0)))</x:f>
      </x:c>
      <x:c r="H454" s="9"/>
      <x:c r="I454" s="2"/>
      <x:c r="J454" s="2"/>
      <x:c r="K454" s="2"/>
      <x:c r="L454" s="2"/>
      <x:c r="M454" s="2"/>
      <x:c r="N454" s="2"/>
    </x:row>
    <x:row r="455" ht="23" customHeight="1">
      <x:c r="A455" s="9"/>
      <x:c r="B455" s="10"/>
      <x:c r="C455" s="14"/>
      <x:c r="D455" s="9"/>
      <x:c r="E455" s="9"/>
      <x:c r="F455" s="9"/>
      <x:c r="G455" s="9" t="str">
        <x:f>IF(A455="","",INDEX('입고대장'!$M$7:$M$1006,MATCH(A455,'입고대장'!$A$7:$A$1006,0)))</x:f>
      </x:c>
      <x:c r="H455" s="9"/>
      <x:c r="I455" s="2"/>
      <x:c r="J455" s="2"/>
      <x:c r="K455" s="2"/>
      <x:c r="L455" s="2"/>
      <x:c r="M455" s="2"/>
      <x:c r="N455" s="2"/>
    </x:row>
    <x:row r="456" ht="23" customHeight="1">
      <x:c r="A456" s="9"/>
      <x:c r="B456" s="10"/>
      <x:c r="C456" s="14"/>
      <x:c r="D456" s="9"/>
      <x:c r="E456" s="9"/>
      <x:c r="F456" s="9"/>
      <x:c r="G456" s="9" t="str">
        <x:f>IF(A456="","",INDEX('입고대장'!$M$7:$M$1006,MATCH(A456,'입고대장'!$A$7:$A$1006,0)))</x:f>
      </x:c>
      <x:c r="H456" s="9"/>
      <x:c r="I456" s="2"/>
      <x:c r="J456" s="2"/>
      <x:c r="K456" s="2"/>
      <x:c r="L456" s="2"/>
      <x:c r="M456" s="2"/>
      <x:c r="N456" s="2"/>
    </x:row>
    <x:row r="457" ht="23" customHeight="1">
      <x:c r="A457" s="9"/>
      <x:c r="B457" s="10"/>
      <x:c r="C457" s="14"/>
      <x:c r="D457" s="9"/>
      <x:c r="E457" s="9"/>
      <x:c r="F457" s="9"/>
      <x:c r="G457" s="9" t="str">
        <x:f>IF(A457="","",INDEX('입고대장'!$M$7:$M$1006,MATCH(A457,'입고대장'!$A$7:$A$1006,0)))</x:f>
      </x:c>
      <x:c r="H457" s="9"/>
      <x:c r="I457" s="2"/>
      <x:c r="J457" s="2"/>
      <x:c r="K457" s="2"/>
      <x:c r="L457" s="2"/>
      <x:c r="M457" s="2"/>
      <x:c r="N457" s="2"/>
    </x:row>
    <x:row r="458" ht="23" customHeight="1">
      <x:c r="A458" s="9"/>
      <x:c r="B458" s="10"/>
      <x:c r="C458" s="14"/>
      <x:c r="D458" s="9"/>
      <x:c r="E458" s="9"/>
      <x:c r="F458" s="9"/>
      <x:c r="G458" s="9" t="str">
        <x:f>IF(A458="","",INDEX('입고대장'!$M$7:$M$1006,MATCH(A458,'입고대장'!$A$7:$A$1006,0)))</x:f>
      </x:c>
      <x:c r="H458" s="9"/>
      <x:c r="I458" s="2"/>
      <x:c r="J458" s="2"/>
      <x:c r="K458" s="2"/>
      <x:c r="L458" s="2"/>
      <x:c r="M458" s="2"/>
      <x:c r="N458" s="2"/>
    </x:row>
    <x:row r="459" ht="23" customHeight="1">
      <x:c r="A459" s="9"/>
      <x:c r="B459" s="10"/>
      <x:c r="C459" s="14"/>
      <x:c r="D459" s="9"/>
      <x:c r="E459" s="9"/>
      <x:c r="F459" s="9"/>
      <x:c r="G459" s="9" t="str">
        <x:f>IF(A459="","",INDEX('입고대장'!$M$7:$M$1006,MATCH(A459,'입고대장'!$A$7:$A$1006,0)))</x:f>
      </x:c>
      <x:c r="H459" s="9"/>
      <x:c r="I459" s="2"/>
      <x:c r="J459" s="2"/>
      <x:c r="K459" s="2"/>
      <x:c r="L459" s="2"/>
      <x:c r="M459" s="2"/>
      <x:c r="N459" s="2"/>
    </x:row>
    <x:row r="460" ht="23" customHeight="1">
      <x:c r="A460" s="9"/>
      <x:c r="B460" s="10"/>
      <x:c r="C460" s="14"/>
      <x:c r="D460" s="9"/>
      <x:c r="E460" s="9"/>
      <x:c r="F460" s="9"/>
      <x:c r="G460" s="9" t="str">
        <x:f>IF(A460="","",INDEX('입고대장'!$M$7:$M$1006,MATCH(A460,'입고대장'!$A$7:$A$1006,0)))</x:f>
      </x:c>
      <x:c r="H460" s="9"/>
      <x:c r="I460" s="2"/>
      <x:c r="J460" s="2"/>
      <x:c r="K460" s="2"/>
      <x:c r="L460" s="2"/>
      <x:c r="M460" s="2"/>
      <x:c r="N460" s="2"/>
    </x:row>
    <x:row r="461" ht="23" customHeight="1">
      <x:c r="A461" s="9"/>
      <x:c r="B461" s="10"/>
      <x:c r="C461" s="14"/>
      <x:c r="D461" s="9"/>
      <x:c r="E461" s="9"/>
      <x:c r="F461" s="9"/>
      <x:c r="G461" s="9" t="str">
        <x:f>IF(A461="","",INDEX('입고대장'!$M$7:$M$1006,MATCH(A461,'입고대장'!$A$7:$A$1006,0)))</x:f>
      </x:c>
      <x:c r="H461" s="9"/>
      <x:c r="I461" s="2"/>
      <x:c r="J461" s="2"/>
      <x:c r="K461" s="2"/>
      <x:c r="L461" s="2"/>
      <x:c r="M461" s="2"/>
      <x:c r="N461" s="2"/>
    </x:row>
    <x:row r="462" ht="23" customHeight="1">
      <x:c r="A462" s="9"/>
      <x:c r="B462" s="10"/>
      <x:c r="C462" s="14"/>
      <x:c r="D462" s="9"/>
      <x:c r="E462" s="9"/>
      <x:c r="F462" s="9"/>
      <x:c r="G462" s="9" t="str">
        <x:f>IF(A462="","",INDEX('입고대장'!$M$7:$M$1006,MATCH(A462,'입고대장'!$A$7:$A$1006,0)))</x:f>
      </x:c>
      <x:c r="H462" s="9"/>
      <x:c r="I462" s="2"/>
      <x:c r="J462" s="2"/>
      <x:c r="K462" s="2"/>
      <x:c r="L462" s="2"/>
      <x:c r="M462" s="2"/>
      <x:c r="N462" s="2"/>
    </x:row>
    <x:row r="463" ht="23" customHeight="1">
      <x:c r="A463" s="9"/>
      <x:c r="B463" s="10"/>
      <x:c r="C463" s="14"/>
      <x:c r="D463" s="9"/>
      <x:c r="E463" s="9"/>
      <x:c r="F463" s="9"/>
      <x:c r="G463" s="9" t="str">
        <x:f>IF(A463="","",INDEX('입고대장'!$M$7:$M$1006,MATCH(A463,'입고대장'!$A$7:$A$1006,0)))</x:f>
      </x:c>
      <x:c r="H463" s="9"/>
      <x:c r="I463" s="2"/>
      <x:c r="J463" s="2"/>
      <x:c r="K463" s="2"/>
      <x:c r="L463" s="2"/>
      <x:c r="M463" s="2"/>
      <x:c r="N463" s="2"/>
    </x:row>
    <x:row r="464" ht="23" customHeight="1">
      <x:c r="A464" s="9"/>
      <x:c r="B464" s="10"/>
      <x:c r="C464" s="14"/>
      <x:c r="D464" s="9"/>
      <x:c r="E464" s="9"/>
      <x:c r="F464" s="9"/>
      <x:c r="G464" s="9" t="str">
        <x:f>IF(A464="","",INDEX('입고대장'!$M$7:$M$1006,MATCH(A464,'입고대장'!$A$7:$A$1006,0)))</x:f>
      </x:c>
      <x:c r="H464" s="9"/>
      <x:c r="I464" s="2"/>
      <x:c r="J464" s="2"/>
      <x:c r="K464" s="2"/>
      <x:c r="L464" s="2"/>
      <x:c r="M464" s="2"/>
      <x:c r="N464" s="2"/>
    </x:row>
    <x:row r="465" ht="23" customHeight="1">
      <x:c r="A465" s="9"/>
      <x:c r="B465" s="10"/>
      <x:c r="C465" s="14"/>
      <x:c r="D465" s="9"/>
      <x:c r="E465" s="9"/>
      <x:c r="F465" s="9"/>
      <x:c r="G465" s="9" t="str">
        <x:f>IF(A465="","",INDEX('입고대장'!$M$7:$M$1006,MATCH(A465,'입고대장'!$A$7:$A$1006,0)))</x:f>
      </x:c>
      <x:c r="H465" s="9"/>
      <x:c r="I465" s="2"/>
      <x:c r="J465" s="2"/>
      <x:c r="K465" s="2"/>
      <x:c r="L465" s="2"/>
      <x:c r="M465" s="2"/>
      <x:c r="N465" s="2"/>
    </x:row>
    <x:row r="466" ht="23" customHeight="1">
      <x:c r="A466" s="9"/>
      <x:c r="B466" s="10"/>
      <x:c r="C466" s="14"/>
      <x:c r="D466" s="9"/>
      <x:c r="E466" s="9"/>
      <x:c r="F466" s="9"/>
      <x:c r="G466" s="9" t="str">
        <x:f>IF(A466="","",INDEX('입고대장'!$M$7:$M$1006,MATCH(A466,'입고대장'!$A$7:$A$1006,0)))</x:f>
      </x:c>
      <x:c r="H466" s="9"/>
      <x:c r="I466" s="2"/>
      <x:c r="J466" s="2"/>
      <x:c r="K466" s="2"/>
      <x:c r="L466" s="2"/>
      <x:c r="M466" s="2"/>
      <x:c r="N466" s="2"/>
    </x:row>
    <x:row r="467" ht="23" customHeight="1">
      <x:c r="A467" s="9"/>
      <x:c r="B467" s="10"/>
      <x:c r="C467" s="14"/>
      <x:c r="D467" s="9"/>
      <x:c r="E467" s="9"/>
      <x:c r="F467" s="9"/>
      <x:c r="G467" s="9" t="str">
        <x:f>IF(A467="","",INDEX('입고대장'!$M$7:$M$1006,MATCH(A467,'입고대장'!$A$7:$A$1006,0)))</x:f>
      </x:c>
      <x:c r="H467" s="9"/>
      <x:c r="I467" s="2"/>
      <x:c r="J467" s="2"/>
      <x:c r="K467" s="2"/>
      <x:c r="L467" s="2"/>
      <x:c r="M467" s="2"/>
      <x:c r="N467" s="2"/>
    </x:row>
    <x:row r="468" ht="23" customHeight="1">
      <x:c r="A468" s="9"/>
      <x:c r="B468" s="10"/>
      <x:c r="C468" s="14"/>
      <x:c r="D468" s="9"/>
      <x:c r="E468" s="9"/>
      <x:c r="F468" s="9"/>
      <x:c r="G468" s="9" t="str">
        <x:f>IF(A468="","",INDEX('입고대장'!$M$7:$M$1006,MATCH(A468,'입고대장'!$A$7:$A$1006,0)))</x:f>
      </x:c>
      <x:c r="H468" s="9"/>
      <x:c r="I468" s="2"/>
      <x:c r="J468" s="2"/>
      <x:c r="K468" s="2"/>
      <x:c r="L468" s="2"/>
      <x:c r="M468" s="2"/>
      <x:c r="N468" s="2"/>
    </x:row>
    <x:row r="469" ht="23" customHeight="1">
      <x:c r="A469" s="9"/>
      <x:c r="B469" s="10"/>
      <x:c r="C469" s="14"/>
      <x:c r="D469" s="9"/>
      <x:c r="E469" s="9"/>
      <x:c r="F469" s="9"/>
      <x:c r="G469" s="9" t="str">
        <x:f>IF(A469="","",INDEX('입고대장'!$M$7:$M$1006,MATCH(A469,'입고대장'!$A$7:$A$1006,0)))</x:f>
      </x:c>
      <x:c r="H469" s="9"/>
      <x:c r="I469" s="2"/>
      <x:c r="J469" s="2"/>
      <x:c r="K469" s="2"/>
      <x:c r="L469" s="2"/>
      <x:c r="M469" s="2"/>
      <x:c r="N469" s="2"/>
    </x:row>
    <x:row r="470" ht="23" customHeight="1">
      <x:c r="A470" s="9"/>
      <x:c r="B470" s="10"/>
      <x:c r="C470" s="14"/>
      <x:c r="D470" s="9"/>
      <x:c r="E470" s="9"/>
      <x:c r="F470" s="9"/>
      <x:c r="G470" s="9" t="str">
        <x:f>IF(A470="","",INDEX('입고대장'!$M$7:$M$1006,MATCH(A470,'입고대장'!$A$7:$A$1006,0)))</x:f>
      </x:c>
      <x:c r="H470" s="9"/>
      <x:c r="I470" s="2"/>
      <x:c r="J470" s="2"/>
      <x:c r="K470" s="2"/>
      <x:c r="L470" s="2"/>
      <x:c r="M470" s="2"/>
      <x:c r="N470" s="2"/>
    </x:row>
    <x:row r="471" ht="23" customHeight="1">
      <x:c r="A471" s="9"/>
      <x:c r="B471" s="10"/>
      <x:c r="C471" s="14"/>
      <x:c r="D471" s="9"/>
      <x:c r="E471" s="9"/>
      <x:c r="F471" s="9"/>
      <x:c r="G471" s="9" t="str">
        <x:f>IF(A471="","",INDEX('입고대장'!$M$7:$M$1006,MATCH(A471,'입고대장'!$A$7:$A$1006,0)))</x:f>
      </x:c>
      <x:c r="H471" s="9"/>
      <x:c r="I471" s="2"/>
      <x:c r="J471" s="2"/>
      <x:c r="K471" s="2"/>
      <x:c r="L471" s="2"/>
      <x:c r="M471" s="2"/>
      <x:c r="N471" s="2"/>
    </x:row>
    <x:row r="472" ht="23" customHeight="1">
      <x:c r="A472" s="9"/>
      <x:c r="B472" s="10"/>
      <x:c r="C472" s="14"/>
      <x:c r="D472" s="9"/>
      <x:c r="E472" s="9"/>
      <x:c r="F472" s="9"/>
      <x:c r="G472" s="9" t="str">
        <x:f>IF(A472="","",INDEX('입고대장'!$M$7:$M$1006,MATCH(A472,'입고대장'!$A$7:$A$1006,0)))</x:f>
      </x:c>
      <x:c r="H472" s="9"/>
      <x:c r="I472" s="2"/>
      <x:c r="J472" s="2"/>
      <x:c r="K472" s="2"/>
      <x:c r="L472" s="2"/>
      <x:c r="M472" s="2"/>
      <x:c r="N472" s="2"/>
    </x:row>
    <x:row r="473" ht="23" customHeight="1">
      <x:c r="A473" s="9"/>
      <x:c r="B473" s="10"/>
      <x:c r="C473" s="14"/>
      <x:c r="D473" s="9"/>
      <x:c r="E473" s="9"/>
      <x:c r="F473" s="9"/>
      <x:c r="G473" s="9" t="str">
        <x:f>IF(A473="","",INDEX('입고대장'!$M$7:$M$1006,MATCH(A473,'입고대장'!$A$7:$A$1006,0)))</x:f>
      </x:c>
      <x:c r="H473" s="9"/>
      <x:c r="I473" s="2"/>
      <x:c r="J473" s="2"/>
      <x:c r="K473" s="2"/>
      <x:c r="L473" s="2"/>
      <x:c r="M473" s="2"/>
      <x:c r="N473" s="2"/>
    </x:row>
    <x:row r="474" ht="23" customHeight="1">
      <x:c r="A474" s="9"/>
      <x:c r="B474" s="10"/>
      <x:c r="C474" s="14"/>
      <x:c r="D474" s="9"/>
      <x:c r="E474" s="9"/>
      <x:c r="F474" s="9"/>
      <x:c r="G474" s="9" t="str">
        <x:f>IF(A474="","",INDEX('입고대장'!$M$7:$M$1006,MATCH(A474,'입고대장'!$A$7:$A$1006,0)))</x:f>
      </x:c>
      <x:c r="H474" s="9"/>
      <x:c r="I474" s="2"/>
      <x:c r="J474" s="2"/>
      <x:c r="K474" s="2"/>
      <x:c r="L474" s="2"/>
      <x:c r="M474" s="2"/>
      <x:c r="N474" s="2"/>
    </x:row>
    <x:row r="475" ht="23" customHeight="1">
      <x:c r="A475" s="9"/>
      <x:c r="B475" s="10"/>
      <x:c r="C475" s="14"/>
      <x:c r="D475" s="9"/>
      <x:c r="E475" s="9"/>
      <x:c r="F475" s="9"/>
      <x:c r="G475" s="9" t="str">
        <x:f>IF(A475="","",INDEX('입고대장'!$M$7:$M$1006,MATCH(A475,'입고대장'!$A$7:$A$1006,0)))</x:f>
      </x:c>
      <x:c r="H475" s="9"/>
      <x:c r="I475" s="2"/>
      <x:c r="J475" s="2"/>
      <x:c r="K475" s="2"/>
      <x:c r="L475" s="2"/>
      <x:c r="M475" s="2"/>
      <x:c r="N475" s="2"/>
    </x:row>
    <x:row r="476" ht="23" customHeight="1">
      <x:c r="A476" s="9"/>
      <x:c r="B476" s="10"/>
      <x:c r="C476" s="14"/>
      <x:c r="D476" s="9"/>
      <x:c r="E476" s="9"/>
      <x:c r="F476" s="9"/>
      <x:c r="G476" s="9" t="str">
        <x:f>IF(A476="","",INDEX('입고대장'!$M$7:$M$1006,MATCH(A476,'입고대장'!$A$7:$A$1006,0)))</x:f>
      </x:c>
      <x:c r="H476" s="9"/>
      <x:c r="I476" s="2"/>
      <x:c r="J476" s="2"/>
      <x:c r="K476" s="2"/>
      <x:c r="L476" s="2"/>
      <x:c r="M476" s="2"/>
      <x:c r="N476" s="2"/>
    </x:row>
    <x:row r="477" ht="23" customHeight="1">
      <x:c r="A477" s="9"/>
      <x:c r="B477" s="10"/>
      <x:c r="C477" s="14"/>
      <x:c r="D477" s="9"/>
      <x:c r="E477" s="9"/>
      <x:c r="F477" s="9"/>
      <x:c r="G477" s="9" t="str">
        <x:f>IF(A477="","",INDEX('입고대장'!$M$7:$M$1006,MATCH(A477,'입고대장'!$A$7:$A$1006,0)))</x:f>
      </x:c>
      <x:c r="H477" s="9"/>
      <x:c r="I477" s="2"/>
      <x:c r="J477" s="2"/>
      <x:c r="K477" s="2"/>
      <x:c r="L477" s="2"/>
      <x:c r="M477" s="2"/>
      <x:c r="N477" s="2"/>
    </x:row>
    <x:row r="478" ht="23" customHeight="1">
      <x:c r="A478" s="9"/>
      <x:c r="B478" s="10"/>
      <x:c r="C478" s="14"/>
      <x:c r="D478" s="9"/>
      <x:c r="E478" s="9"/>
      <x:c r="F478" s="9"/>
      <x:c r="G478" s="9" t="str">
        <x:f>IF(A478="","",INDEX('입고대장'!$M$7:$M$1006,MATCH(A478,'입고대장'!$A$7:$A$1006,0)))</x:f>
      </x:c>
      <x:c r="H478" s="9"/>
      <x:c r="I478" s="2"/>
      <x:c r="J478" s="2"/>
      <x:c r="K478" s="2"/>
      <x:c r="L478" s="2"/>
      <x:c r="M478" s="2"/>
      <x:c r="N478" s="2"/>
    </x:row>
    <x:row r="479" ht="23" customHeight="1">
      <x:c r="A479" s="9"/>
      <x:c r="B479" s="10"/>
      <x:c r="C479" s="14"/>
      <x:c r="D479" s="9"/>
      <x:c r="E479" s="9"/>
      <x:c r="F479" s="9"/>
      <x:c r="G479" s="9" t="str">
        <x:f>IF(A479="","",INDEX('입고대장'!$M$7:$M$1006,MATCH(A479,'입고대장'!$A$7:$A$1006,0)))</x:f>
      </x:c>
      <x:c r="H479" s="9"/>
      <x:c r="I479" s="2"/>
      <x:c r="J479" s="2"/>
      <x:c r="K479" s="2"/>
      <x:c r="L479" s="2"/>
      <x:c r="M479" s="2"/>
      <x:c r="N479" s="2"/>
    </x:row>
    <x:row r="480" ht="23" customHeight="1">
      <x:c r="A480" s="9"/>
      <x:c r="B480" s="10"/>
      <x:c r="C480" s="14"/>
      <x:c r="D480" s="9"/>
      <x:c r="E480" s="9"/>
      <x:c r="F480" s="9"/>
      <x:c r="G480" s="9" t="str">
        <x:f>IF(A480="","",INDEX('입고대장'!$M$7:$M$1006,MATCH(A480,'입고대장'!$A$7:$A$1006,0)))</x:f>
      </x:c>
      <x:c r="H480" s="9"/>
      <x:c r="I480" s="2"/>
      <x:c r="J480" s="2"/>
      <x:c r="K480" s="2"/>
      <x:c r="L480" s="2"/>
      <x:c r="M480" s="2"/>
      <x:c r="N480" s="2"/>
    </x:row>
    <x:row r="481" ht="23" customHeight="1">
      <x:c r="A481" s="9"/>
      <x:c r="B481" s="10"/>
      <x:c r="C481" s="14"/>
      <x:c r="D481" s="9"/>
      <x:c r="E481" s="9"/>
      <x:c r="F481" s="9"/>
      <x:c r="G481" s="9" t="str">
        <x:f>IF(A481="","",INDEX('입고대장'!$M$7:$M$1006,MATCH(A481,'입고대장'!$A$7:$A$1006,0)))</x:f>
      </x:c>
      <x:c r="H481" s="9"/>
      <x:c r="I481" s="2"/>
      <x:c r="J481" s="2"/>
      <x:c r="K481" s="2"/>
      <x:c r="L481" s="2"/>
      <x:c r="M481" s="2"/>
      <x:c r="N481" s="2"/>
    </x:row>
    <x:row r="482" ht="23" customHeight="1">
      <x:c r="A482" s="9"/>
      <x:c r="B482" s="10"/>
      <x:c r="C482" s="14"/>
      <x:c r="D482" s="9"/>
      <x:c r="E482" s="9"/>
      <x:c r="F482" s="9"/>
      <x:c r="G482" s="9" t="str">
        <x:f>IF(A482="","",INDEX('입고대장'!$M$7:$M$1006,MATCH(A482,'입고대장'!$A$7:$A$1006,0)))</x:f>
      </x:c>
      <x:c r="H482" s="9"/>
      <x:c r="I482" s="2"/>
      <x:c r="J482" s="2"/>
      <x:c r="K482" s="2"/>
      <x:c r="L482" s="2"/>
      <x:c r="M482" s="2"/>
      <x:c r="N482" s="2"/>
    </x:row>
    <x:row r="483" ht="23" customHeight="1">
      <x:c r="A483" s="9"/>
      <x:c r="B483" s="10"/>
      <x:c r="C483" s="14"/>
      <x:c r="D483" s="9"/>
      <x:c r="E483" s="9"/>
      <x:c r="F483" s="9"/>
      <x:c r="G483" s="9" t="str">
        <x:f>IF(A483="","",INDEX('입고대장'!$M$7:$M$1006,MATCH(A483,'입고대장'!$A$7:$A$1006,0)))</x:f>
      </x:c>
      <x:c r="H483" s="9"/>
      <x:c r="I483" s="2"/>
      <x:c r="J483" s="2"/>
      <x:c r="K483" s="2"/>
      <x:c r="L483" s="2"/>
      <x:c r="M483" s="2"/>
      <x:c r="N483" s="2"/>
    </x:row>
    <x:row r="484" ht="23" customHeight="1">
      <x:c r="A484" s="9"/>
      <x:c r="B484" s="10"/>
      <x:c r="C484" s="14"/>
      <x:c r="D484" s="9"/>
      <x:c r="E484" s="9"/>
      <x:c r="F484" s="9"/>
      <x:c r="G484" s="9" t="str">
        <x:f>IF(A484="","",INDEX('입고대장'!$M$7:$M$1006,MATCH(A484,'입고대장'!$A$7:$A$1006,0)))</x:f>
      </x:c>
      <x:c r="H484" s="9"/>
      <x:c r="I484" s="2"/>
      <x:c r="J484" s="2"/>
      <x:c r="K484" s="2"/>
      <x:c r="L484" s="2"/>
      <x:c r="M484" s="2"/>
      <x:c r="N484" s="2"/>
    </x:row>
    <x:row r="485" ht="23" customHeight="1">
      <x:c r="A485" s="9"/>
      <x:c r="B485" s="10"/>
      <x:c r="C485" s="14"/>
      <x:c r="D485" s="9"/>
      <x:c r="E485" s="9"/>
      <x:c r="F485" s="9"/>
      <x:c r="G485" s="9" t="str">
        <x:f>IF(A485="","",INDEX('입고대장'!$M$7:$M$1006,MATCH(A485,'입고대장'!$A$7:$A$1006,0)))</x:f>
      </x:c>
      <x:c r="H485" s="9"/>
      <x:c r="I485" s="2"/>
      <x:c r="J485" s="2"/>
      <x:c r="K485" s="2"/>
      <x:c r="L485" s="2"/>
      <x:c r="M485" s="2"/>
      <x:c r="N485" s="2"/>
    </x:row>
    <x:row r="486" ht="23" customHeight="1">
      <x:c r="A486" s="9"/>
      <x:c r="B486" s="10"/>
      <x:c r="C486" s="14"/>
      <x:c r="D486" s="9"/>
      <x:c r="E486" s="9"/>
      <x:c r="F486" s="9"/>
      <x:c r="G486" s="9" t="str">
        <x:f>IF(A486="","",INDEX('입고대장'!$M$7:$M$1006,MATCH(A486,'입고대장'!$A$7:$A$1006,0)))</x:f>
      </x:c>
      <x:c r="H486" s="9"/>
      <x:c r="I486" s="2"/>
      <x:c r="J486" s="2"/>
      <x:c r="K486" s="2"/>
      <x:c r="L486" s="2"/>
      <x:c r="M486" s="2"/>
      <x:c r="N486" s="2"/>
    </x:row>
    <x:row r="487" ht="23" customHeight="1">
      <x:c r="A487" s="9"/>
      <x:c r="B487" s="10"/>
      <x:c r="C487" s="14"/>
      <x:c r="D487" s="9"/>
      <x:c r="E487" s="9"/>
      <x:c r="F487" s="9"/>
      <x:c r="G487" s="9" t="str">
        <x:f>IF(A487="","",INDEX('입고대장'!$M$7:$M$1006,MATCH(A487,'입고대장'!$A$7:$A$1006,0)))</x:f>
      </x:c>
      <x:c r="H487" s="9"/>
      <x:c r="I487" s="2"/>
      <x:c r="J487" s="2"/>
      <x:c r="K487" s="2"/>
      <x:c r="L487" s="2"/>
      <x:c r="M487" s="2"/>
      <x:c r="N487" s="2"/>
    </x:row>
    <x:row r="488" ht="23" customHeight="1">
      <x:c r="A488" s="9"/>
      <x:c r="B488" s="10"/>
      <x:c r="C488" s="14"/>
      <x:c r="D488" s="9"/>
      <x:c r="E488" s="9"/>
      <x:c r="F488" s="9"/>
      <x:c r="G488" s="9" t="str">
        <x:f>IF(A488="","",INDEX('입고대장'!$M$7:$M$1006,MATCH(A488,'입고대장'!$A$7:$A$1006,0)))</x:f>
      </x:c>
      <x:c r="H488" s="9"/>
      <x:c r="I488" s="2"/>
      <x:c r="J488" s="2"/>
      <x:c r="K488" s="2"/>
      <x:c r="L488" s="2"/>
      <x:c r="M488" s="2"/>
      <x:c r="N488" s="2"/>
    </x:row>
    <x:row r="489" ht="23" customHeight="1">
      <x:c r="A489" s="9"/>
      <x:c r="B489" s="10"/>
      <x:c r="C489" s="14"/>
      <x:c r="D489" s="9"/>
      <x:c r="E489" s="9"/>
      <x:c r="F489" s="9"/>
      <x:c r="G489" s="9" t="str">
        <x:f>IF(A489="","",INDEX('입고대장'!$M$7:$M$1006,MATCH(A489,'입고대장'!$A$7:$A$1006,0)))</x:f>
      </x:c>
      <x:c r="H489" s="9"/>
      <x:c r="I489" s="2"/>
      <x:c r="J489" s="2"/>
      <x:c r="K489" s="2"/>
      <x:c r="L489" s="2"/>
      <x:c r="M489" s="2"/>
      <x:c r="N489" s="2"/>
    </x:row>
    <x:row r="490" ht="23" customHeight="1">
      <x:c r="A490" s="9"/>
      <x:c r="B490" s="10"/>
      <x:c r="C490" s="14"/>
      <x:c r="D490" s="9"/>
      <x:c r="E490" s="9"/>
      <x:c r="F490" s="9"/>
      <x:c r="G490" s="9" t="str">
        <x:f>IF(A490="","",INDEX('입고대장'!$M$7:$M$1006,MATCH(A490,'입고대장'!$A$7:$A$1006,0)))</x:f>
      </x:c>
      <x:c r="H490" s="9"/>
      <x:c r="I490" s="2"/>
      <x:c r="J490" s="2"/>
      <x:c r="K490" s="2"/>
      <x:c r="L490" s="2"/>
      <x:c r="M490" s="2"/>
      <x:c r="N490" s="2"/>
    </x:row>
    <x:row r="491" ht="23" customHeight="1">
      <x:c r="A491" s="9"/>
      <x:c r="B491" s="10"/>
      <x:c r="C491" s="14"/>
      <x:c r="D491" s="9"/>
      <x:c r="E491" s="9"/>
      <x:c r="F491" s="9"/>
      <x:c r="G491" s="9" t="str">
        <x:f>IF(A491="","",INDEX('입고대장'!$M$7:$M$1006,MATCH(A491,'입고대장'!$A$7:$A$1006,0)))</x:f>
      </x:c>
      <x:c r="H491" s="9"/>
      <x:c r="I491" s="2"/>
      <x:c r="J491" s="2"/>
      <x:c r="K491" s="2"/>
      <x:c r="L491" s="2"/>
      <x:c r="M491" s="2"/>
      <x:c r="N491" s="2"/>
    </x:row>
    <x:row r="492" ht="23" customHeight="1">
      <x:c r="A492" s="9"/>
      <x:c r="B492" s="10"/>
      <x:c r="C492" s="14"/>
      <x:c r="D492" s="9"/>
      <x:c r="E492" s="9"/>
      <x:c r="F492" s="9"/>
      <x:c r="G492" s="9" t="str">
        <x:f>IF(A492="","",INDEX('입고대장'!$M$7:$M$1006,MATCH(A492,'입고대장'!$A$7:$A$1006,0)))</x:f>
      </x:c>
      <x:c r="H492" s="9"/>
      <x:c r="I492" s="2"/>
      <x:c r="J492" s="2"/>
      <x:c r="K492" s="2"/>
      <x:c r="L492" s="2"/>
      <x:c r="M492" s="2"/>
      <x:c r="N492" s="2"/>
    </x:row>
    <x:row r="493" ht="23" customHeight="1">
      <x:c r="A493" s="9"/>
      <x:c r="B493" s="10"/>
      <x:c r="C493" s="14"/>
      <x:c r="D493" s="9"/>
      <x:c r="E493" s="9"/>
      <x:c r="F493" s="9"/>
      <x:c r="G493" s="9" t="str">
        <x:f>IF(A493="","",INDEX('입고대장'!$M$7:$M$1006,MATCH(A493,'입고대장'!$A$7:$A$1006,0)))</x:f>
      </x:c>
      <x:c r="H493" s="9"/>
      <x:c r="I493" s="2"/>
      <x:c r="J493" s="2"/>
      <x:c r="K493" s="2"/>
      <x:c r="L493" s="2"/>
      <x:c r="M493" s="2"/>
      <x:c r="N493" s="2"/>
    </x:row>
    <x:row r="494" ht="23" customHeight="1">
      <x:c r="A494" s="9"/>
      <x:c r="B494" s="10"/>
      <x:c r="C494" s="14"/>
      <x:c r="D494" s="9"/>
      <x:c r="E494" s="9"/>
      <x:c r="F494" s="9"/>
      <x:c r="G494" s="9" t="str">
        <x:f>IF(A494="","",INDEX('입고대장'!$M$7:$M$1006,MATCH(A494,'입고대장'!$A$7:$A$1006,0)))</x:f>
      </x:c>
      <x:c r="H494" s="9"/>
      <x:c r="I494" s="2"/>
      <x:c r="J494" s="2"/>
      <x:c r="K494" s="2"/>
      <x:c r="L494" s="2"/>
      <x:c r="M494" s="2"/>
      <x:c r="N494" s="2"/>
    </x:row>
    <x:row r="495" ht="23" customHeight="1">
      <x:c r="A495" s="9"/>
      <x:c r="B495" s="10"/>
      <x:c r="C495" s="14"/>
      <x:c r="D495" s="9"/>
      <x:c r="E495" s="9"/>
      <x:c r="F495" s="9"/>
      <x:c r="G495" s="9" t="str">
        <x:f>IF(A495="","",INDEX('입고대장'!$M$7:$M$1006,MATCH(A495,'입고대장'!$A$7:$A$1006,0)))</x:f>
      </x:c>
      <x:c r="H495" s="9"/>
      <x:c r="I495" s="2"/>
      <x:c r="J495" s="2"/>
      <x:c r="K495" s="2"/>
      <x:c r="L495" s="2"/>
      <x:c r="M495" s="2"/>
      <x:c r="N495" s="2"/>
    </x:row>
    <x:row r="496" ht="23" customHeight="1">
      <x:c r="A496" s="9"/>
      <x:c r="B496" s="10"/>
      <x:c r="C496" s="14"/>
      <x:c r="D496" s="9"/>
      <x:c r="E496" s="9"/>
      <x:c r="F496" s="9"/>
      <x:c r="G496" s="9" t="str">
        <x:f>IF(A496="","",INDEX('입고대장'!$M$7:$M$1006,MATCH(A496,'입고대장'!$A$7:$A$1006,0)))</x:f>
      </x:c>
      <x:c r="H496" s="9"/>
      <x:c r="I496" s="2"/>
      <x:c r="J496" s="2"/>
      <x:c r="K496" s="2"/>
      <x:c r="L496" s="2"/>
      <x:c r="M496" s="2"/>
      <x:c r="N496" s="2"/>
    </x:row>
    <x:row r="497" ht="23" customHeight="1">
      <x:c r="A497" s="9"/>
      <x:c r="B497" s="10"/>
      <x:c r="C497" s="14"/>
      <x:c r="D497" s="9"/>
      <x:c r="E497" s="9"/>
      <x:c r="F497" s="9"/>
      <x:c r="G497" s="9" t="str">
        <x:f>IF(A497="","",INDEX('입고대장'!$M$7:$M$1006,MATCH(A497,'입고대장'!$A$7:$A$1006,0)))</x:f>
      </x:c>
      <x:c r="H497" s="9"/>
      <x:c r="I497" s="2"/>
      <x:c r="J497" s="2"/>
      <x:c r="K497" s="2"/>
      <x:c r="L497" s="2"/>
      <x:c r="M497" s="2"/>
      <x:c r="N497" s="2"/>
    </x:row>
    <x:row r="498" ht="23" customHeight="1">
      <x:c r="A498" s="9"/>
      <x:c r="B498" s="10"/>
      <x:c r="C498" s="14"/>
      <x:c r="D498" s="9"/>
      <x:c r="E498" s="9"/>
      <x:c r="F498" s="9"/>
      <x:c r="G498" s="9" t="str">
        <x:f>IF(A498="","",INDEX('입고대장'!$M$7:$M$1006,MATCH(A498,'입고대장'!$A$7:$A$1006,0)))</x:f>
      </x:c>
      <x:c r="H498" s="9"/>
      <x:c r="I498" s="2"/>
      <x:c r="J498" s="2"/>
      <x:c r="K498" s="2"/>
      <x:c r="L498" s="2"/>
      <x:c r="M498" s="2"/>
      <x:c r="N498" s="2"/>
    </x:row>
    <x:row r="499" ht="23" customHeight="1">
      <x:c r="A499" s="9"/>
      <x:c r="B499" s="10"/>
      <x:c r="C499" s="14"/>
      <x:c r="D499" s="9"/>
      <x:c r="E499" s="9"/>
      <x:c r="F499" s="9"/>
      <x:c r="G499" s="9" t="str">
        <x:f>IF(A499="","",INDEX('입고대장'!$M$7:$M$1006,MATCH(A499,'입고대장'!$A$7:$A$1006,0)))</x:f>
      </x:c>
      <x:c r="H499" s="9"/>
      <x:c r="I499" s="2"/>
      <x:c r="J499" s="2"/>
      <x:c r="K499" s="2"/>
      <x:c r="L499" s="2"/>
      <x:c r="M499" s="2"/>
      <x:c r="N499" s="2"/>
    </x:row>
    <x:row r="500" ht="23" customHeight="1">
      <x:c r="A500" s="9"/>
      <x:c r="B500" s="10"/>
      <x:c r="C500" s="14"/>
      <x:c r="D500" s="9"/>
      <x:c r="E500" s="9"/>
      <x:c r="F500" s="9"/>
      <x:c r="G500" s="9" t="str">
        <x:f>IF(A500="","",INDEX('입고대장'!$M$7:$M$1006,MATCH(A500,'입고대장'!$A$7:$A$1006,0)))</x:f>
      </x:c>
      <x:c r="H500" s="9"/>
      <x:c r="I500" s="2"/>
      <x:c r="J500" s="2"/>
      <x:c r="K500" s="2"/>
      <x:c r="L500" s="2"/>
      <x:c r="M500" s="2"/>
      <x:c r="N500" s="2"/>
    </x:row>
    <x:row r="501" ht="23" customHeight="1">
      <x:c r="A501" s="9"/>
      <x:c r="B501" s="10"/>
      <x:c r="C501" s="14"/>
      <x:c r="D501" s="9"/>
      <x:c r="E501" s="9"/>
      <x:c r="F501" s="9"/>
      <x:c r="G501" s="9" t="str">
        <x:f>IF(A501="","",INDEX('입고대장'!$M$7:$M$1006,MATCH(A501,'입고대장'!$A$7:$A$1006,0)))</x:f>
      </x:c>
      <x:c r="H501" s="9"/>
      <x:c r="I501" s="2"/>
      <x:c r="J501" s="2"/>
      <x:c r="K501" s="2"/>
      <x:c r="L501" s="2"/>
      <x:c r="M501" s="2"/>
      <x:c r="N501" s="2"/>
    </x:row>
    <x:row r="502" ht="23" customHeight="1">
      <x:c r="A502" s="9"/>
      <x:c r="B502" s="10"/>
      <x:c r="C502" s="14"/>
      <x:c r="D502" s="9"/>
      <x:c r="E502" s="9"/>
      <x:c r="F502" s="9"/>
      <x:c r="G502" s="9" t="str">
        <x:f>IF(A502="","",INDEX('입고대장'!$M$7:$M$1006,MATCH(A502,'입고대장'!$A$7:$A$1006,0)))</x:f>
      </x:c>
      <x:c r="H502" s="9"/>
      <x:c r="I502" s="2"/>
      <x:c r="J502" s="2"/>
      <x:c r="K502" s="2"/>
      <x:c r="L502" s="2"/>
      <x:c r="M502" s="2"/>
      <x:c r="N502" s="2"/>
    </x:row>
    <x:row r="503" ht="23" customHeight="1">
      <x:c r="A503" s="9"/>
      <x:c r="B503" s="10"/>
      <x:c r="C503" s="14"/>
      <x:c r="D503" s="9"/>
      <x:c r="E503" s="9"/>
      <x:c r="F503" s="9"/>
      <x:c r="G503" s="9" t="str">
        <x:f>IF(A503="","",INDEX('입고대장'!$M$7:$M$1006,MATCH(A503,'입고대장'!$A$7:$A$1006,0)))</x:f>
      </x:c>
      <x:c r="H503" s="9"/>
      <x:c r="I503" s="2"/>
      <x:c r="J503" s="2"/>
      <x:c r="K503" s="2"/>
      <x:c r="L503" s="2"/>
      <x:c r="M503" s="2"/>
      <x:c r="N503" s="2"/>
    </x:row>
    <x:row r="504" ht="23" customHeight="1">
      <x:c r="A504" s="9"/>
      <x:c r="B504" s="10"/>
      <x:c r="C504" s="14"/>
      <x:c r="D504" s="9"/>
      <x:c r="E504" s="9"/>
      <x:c r="F504" s="9"/>
      <x:c r="G504" s="9" t="str">
        <x:f>IF(A504="","",INDEX('입고대장'!$M$7:$M$1006,MATCH(A504,'입고대장'!$A$7:$A$1006,0)))</x:f>
      </x:c>
      <x:c r="H504" s="9"/>
      <x:c r="I504" s="2"/>
      <x:c r="J504" s="2"/>
      <x:c r="K504" s="2"/>
      <x:c r="L504" s="2"/>
      <x:c r="M504" s="2"/>
      <x:c r="N504" s="2"/>
    </x:row>
    <x:row r="505" ht="23" customHeight="1">
      <x:c r="A505" s="9"/>
      <x:c r="B505" s="10"/>
      <x:c r="C505" s="14"/>
      <x:c r="D505" s="9"/>
      <x:c r="E505" s="9"/>
      <x:c r="F505" s="9"/>
      <x:c r="G505" s="9" t="str">
        <x:f>IF(A505="","",INDEX('입고대장'!$M$7:$M$1006,MATCH(A505,'입고대장'!$A$7:$A$1006,0)))</x:f>
      </x:c>
      <x:c r="H505" s="9"/>
      <x:c r="I505" s="2"/>
      <x:c r="J505" s="2"/>
      <x:c r="K505" s="2"/>
      <x:c r="L505" s="2"/>
      <x:c r="M505" s="2"/>
      <x:c r="N505" s="2"/>
    </x:row>
    <x:row r="506" ht="23" customHeight="1">
      <x:c r="A506" s="9"/>
      <x:c r="B506" s="10"/>
      <x:c r="C506" s="14"/>
      <x:c r="D506" s="9"/>
      <x:c r="E506" s="9"/>
      <x:c r="F506" s="9"/>
      <x:c r="G506" s="9" t="str">
        <x:f>IF(A506="","",INDEX('입고대장'!$M$7:$M$1006,MATCH(A506,'입고대장'!$A$7:$A$1006,0)))</x:f>
      </x:c>
      <x:c r="H506" s="9"/>
      <x:c r="I506" s="2"/>
      <x:c r="J506" s="2"/>
      <x:c r="K506" s="2"/>
      <x:c r="L506" s="2"/>
      <x:c r="M506" s="2"/>
      <x:c r="N506" s="2"/>
    </x:row>
    <x:row r="507" ht="23" customHeight="1">
      <x:c r="A507" s="9"/>
      <x:c r="B507" s="10"/>
      <x:c r="C507" s="14"/>
      <x:c r="D507" s="9"/>
      <x:c r="E507" s="9"/>
      <x:c r="F507" s="9"/>
      <x:c r="G507" s="9" t="str">
        <x:f>IF(A507="","",INDEX('입고대장'!$M$7:$M$1006,MATCH(A507,'입고대장'!$A$7:$A$1006,0)))</x:f>
      </x:c>
      <x:c r="H507" s="9"/>
      <x:c r="I507" s="2"/>
      <x:c r="J507" s="2"/>
      <x:c r="K507" s="2"/>
      <x:c r="L507" s="2"/>
      <x:c r="M507" s="2"/>
      <x:c r="N507" s="2"/>
    </x:row>
    <x:row r="508" ht="23" customHeight="1">
      <x:c r="A508" s="9"/>
      <x:c r="B508" s="10"/>
      <x:c r="C508" s="14"/>
      <x:c r="D508" s="9"/>
      <x:c r="E508" s="9"/>
      <x:c r="F508" s="9"/>
      <x:c r="G508" s="9" t="str">
        <x:f>IF(A508="","",INDEX('입고대장'!$M$7:$M$1006,MATCH(A508,'입고대장'!$A$7:$A$1006,0)))</x:f>
      </x:c>
      <x:c r="H508" s="9"/>
      <x:c r="I508" s="2"/>
      <x:c r="J508" s="2"/>
      <x:c r="K508" s="2"/>
      <x:c r="L508" s="2"/>
      <x:c r="M508" s="2"/>
      <x:c r="N508" s="2"/>
    </x:row>
    <x:row r="509" ht="23" customHeight="1">
      <x:c r="A509" s="9"/>
      <x:c r="B509" s="10"/>
      <x:c r="C509" s="14"/>
      <x:c r="D509" s="9"/>
      <x:c r="E509" s="9"/>
      <x:c r="F509" s="9"/>
      <x:c r="G509" s="9" t="str">
        <x:f>IF(A509="","",INDEX('입고대장'!$M$7:$M$1006,MATCH(A509,'입고대장'!$A$7:$A$1006,0)))</x:f>
      </x:c>
      <x:c r="H509" s="9"/>
      <x:c r="I509" s="2"/>
      <x:c r="J509" s="2"/>
      <x:c r="K509" s="2"/>
      <x:c r="L509" s="2"/>
      <x:c r="M509" s="2"/>
      <x:c r="N509" s="2"/>
    </x:row>
    <x:row r="510" ht="23" customHeight="1">
      <x:c r="A510" s="9"/>
      <x:c r="B510" s="10"/>
      <x:c r="C510" s="14"/>
      <x:c r="D510" s="9"/>
      <x:c r="E510" s="9"/>
      <x:c r="F510" s="9"/>
      <x:c r="G510" s="9" t="str">
        <x:f>IF(A510="","",INDEX('입고대장'!$M$7:$M$1006,MATCH(A510,'입고대장'!$A$7:$A$1006,0)))</x:f>
      </x:c>
      <x:c r="H510" s="9"/>
      <x:c r="I510" s="2"/>
      <x:c r="J510" s="2"/>
      <x:c r="K510" s="2"/>
      <x:c r="L510" s="2"/>
      <x:c r="M510" s="2"/>
      <x:c r="N510" s="2"/>
    </x:row>
    <x:row r="511" ht="23" customHeight="1">
      <x:c r="A511" s="9"/>
      <x:c r="B511" s="10"/>
      <x:c r="C511" s="14"/>
      <x:c r="D511" s="9"/>
      <x:c r="E511" s="9"/>
      <x:c r="F511" s="9"/>
      <x:c r="G511" s="9" t="str">
        <x:f>IF(A511="","",INDEX('입고대장'!$M$7:$M$1006,MATCH(A511,'입고대장'!$A$7:$A$1006,0)))</x:f>
      </x:c>
      <x:c r="H511" s="9"/>
      <x:c r="I511" s="2"/>
      <x:c r="J511" s="2"/>
      <x:c r="K511" s="2"/>
      <x:c r="L511" s="2"/>
      <x:c r="M511" s="2"/>
      <x:c r="N511" s="2"/>
    </x:row>
    <x:row r="512" ht="23" customHeight="1">
      <x:c r="A512" s="9"/>
      <x:c r="B512" s="10"/>
      <x:c r="C512" s="14"/>
      <x:c r="D512" s="9"/>
      <x:c r="E512" s="9"/>
      <x:c r="F512" s="9"/>
      <x:c r="G512" s="9" t="str">
        <x:f>IF(A512="","",INDEX('입고대장'!$M$7:$M$1006,MATCH(A512,'입고대장'!$A$7:$A$1006,0)))</x:f>
      </x:c>
      <x:c r="H512" s="9"/>
      <x:c r="I512" s="2"/>
      <x:c r="J512" s="2"/>
      <x:c r="K512" s="2"/>
      <x:c r="L512" s="2"/>
      <x:c r="M512" s="2"/>
      <x:c r="N512" s="2"/>
    </x:row>
    <x:row r="513" ht="23" customHeight="1">
      <x:c r="A513" s="9"/>
      <x:c r="B513" s="10"/>
      <x:c r="C513" s="14"/>
      <x:c r="D513" s="9"/>
      <x:c r="E513" s="9"/>
      <x:c r="F513" s="9"/>
      <x:c r="G513" s="9" t="str">
        <x:f>IF(A513="","",INDEX('입고대장'!$M$7:$M$1006,MATCH(A513,'입고대장'!$A$7:$A$1006,0)))</x:f>
      </x:c>
      <x:c r="H513" s="9"/>
      <x:c r="I513" s="2"/>
      <x:c r="J513" s="2"/>
      <x:c r="K513" s="2"/>
      <x:c r="L513" s="2"/>
      <x:c r="M513" s="2"/>
      <x:c r="N513" s="2"/>
    </x:row>
    <x:row r="514" ht="23" customHeight="1">
      <x:c r="A514" s="9"/>
      <x:c r="B514" s="10"/>
      <x:c r="C514" s="14"/>
      <x:c r="D514" s="9"/>
      <x:c r="E514" s="9"/>
      <x:c r="F514" s="9"/>
      <x:c r="G514" s="9" t="str">
        <x:f>IF(A514="","",INDEX('입고대장'!$M$7:$M$1006,MATCH(A514,'입고대장'!$A$7:$A$1006,0)))</x:f>
      </x:c>
      <x:c r="H514" s="9"/>
      <x:c r="I514" s="2"/>
      <x:c r="J514" s="2"/>
      <x:c r="K514" s="2"/>
      <x:c r="L514" s="2"/>
      <x:c r="M514" s="2"/>
      <x:c r="N514" s="2"/>
    </x:row>
    <x:row r="515" ht="23" customHeight="1">
      <x:c r="A515" s="9"/>
      <x:c r="B515" s="10"/>
      <x:c r="C515" s="14"/>
      <x:c r="D515" s="9"/>
      <x:c r="E515" s="9"/>
      <x:c r="F515" s="9"/>
      <x:c r="G515" s="9" t="str">
        <x:f>IF(A515="","",INDEX('입고대장'!$M$7:$M$1006,MATCH(A515,'입고대장'!$A$7:$A$1006,0)))</x:f>
      </x:c>
      <x:c r="H515" s="9"/>
      <x:c r="I515" s="2"/>
      <x:c r="J515" s="2"/>
      <x:c r="K515" s="2"/>
      <x:c r="L515" s="2"/>
      <x:c r="M515" s="2"/>
      <x:c r="N515" s="2"/>
    </x:row>
    <x:row r="516" ht="23" customHeight="1">
      <x:c r="A516" s="9"/>
      <x:c r="B516" s="10"/>
      <x:c r="C516" s="14"/>
      <x:c r="D516" s="9"/>
      <x:c r="E516" s="9"/>
      <x:c r="F516" s="9"/>
      <x:c r="G516" s="9" t="str">
        <x:f>IF(A516="","",INDEX('입고대장'!$M$7:$M$1006,MATCH(A516,'입고대장'!$A$7:$A$1006,0)))</x:f>
      </x:c>
      <x:c r="H516" s="9"/>
      <x:c r="I516" s="2"/>
      <x:c r="J516" s="2"/>
      <x:c r="K516" s="2"/>
      <x:c r="L516" s="2"/>
      <x:c r="M516" s="2"/>
      <x:c r="N516" s="2"/>
    </x:row>
    <x:row r="517" ht="23" customHeight="1">
      <x:c r="A517" s="9"/>
      <x:c r="B517" s="10"/>
      <x:c r="C517" s="14"/>
      <x:c r="D517" s="9"/>
      <x:c r="E517" s="9"/>
      <x:c r="F517" s="9"/>
      <x:c r="G517" s="9" t="str">
        <x:f>IF(A517="","",INDEX('입고대장'!$M$7:$M$1006,MATCH(A517,'입고대장'!$A$7:$A$1006,0)))</x:f>
      </x:c>
      <x:c r="H517" s="9"/>
      <x:c r="I517" s="2"/>
      <x:c r="J517" s="2"/>
      <x:c r="K517" s="2"/>
      <x:c r="L517" s="2"/>
      <x:c r="M517" s="2"/>
      <x:c r="N517" s="2"/>
    </x:row>
    <x:row r="518" ht="23" customHeight="1">
      <x:c r="A518" s="9"/>
      <x:c r="B518" s="10"/>
      <x:c r="C518" s="14"/>
      <x:c r="D518" s="9"/>
      <x:c r="E518" s="9"/>
      <x:c r="F518" s="9"/>
      <x:c r="G518" s="9" t="str">
        <x:f>IF(A518="","",INDEX('입고대장'!$M$7:$M$1006,MATCH(A518,'입고대장'!$A$7:$A$1006,0)))</x:f>
      </x:c>
      <x:c r="H518" s="9"/>
      <x:c r="I518" s="2"/>
      <x:c r="J518" s="2"/>
      <x:c r="K518" s="2"/>
      <x:c r="L518" s="2"/>
      <x:c r="M518" s="2"/>
      <x:c r="N518" s="2"/>
    </x:row>
    <x:row r="519" ht="23" customHeight="1">
      <x:c r="A519" s="9"/>
      <x:c r="B519" s="10"/>
      <x:c r="C519" s="14"/>
      <x:c r="D519" s="9"/>
      <x:c r="E519" s="9"/>
      <x:c r="F519" s="9"/>
      <x:c r="G519" s="9" t="str">
        <x:f>IF(A519="","",INDEX('입고대장'!$M$7:$M$1006,MATCH(A519,'입고대장'!$A$7:$A$1006,0)))</x:f>
      </x:c>
      <x:c r="H519" s="9"/>
      <x:c r="I519" s="2"/>
      <x:c r="J519" s="2"/>
      <x:c r="K519" s="2"/>
      <x:c r="L519" s="2"/>
      <x:c r="M519" s="2"/>
      <x:c r="N519" s="2"/>
    </x:row>
    <x:row r="520" ht="23" customHeight="1">
      <x:c r="A520" s="9"/>
      <x:c r="B520" s="10"/>
      <x:c r="C520" s="14"/>
      <x:c r="D520" s="9"/>
      <x:c r="E520" s="9"/>
      <x:c r="F520" s="9"/>
      <x:c r="G520" s="9" t="str">
        <x:f>IF(A520="","",INDEX('입고대장'!$M$7:$M$1006,MATCH(A520,'입고대장'!$A$7:$A$1006,0)))</x:f>
      </x:c>
      <x:c r="H520" s="9"/>
      <x:c r="I520" s="2"/>
      <x:c r="J520" s="2"/>
      <x:c r="K520" s="2"/>
      <x:c r="L520" s="2"/>
      <x:c r="M520" s="2"/>
      <x:c r="N520" s="2"/>
    </x:row>
    <x:row r="521" ht="23" customHeight="1">
      <x:c r="A521" s="9"/>
      <x:c r="B521" s="10"/>
      <x:c r="C521" s="14"/>
      <x:c r="D521" s="9"/>
      <x:c r="E521" s="9"/>
      <x:c r="F521" s="9"/>
      <x:c r="G521" s="9" t="str">
        <x:f>IF(A521="","",INDEX('입고대장'!$M$7:$M$1006,MATCH(A521,'입고대장'!$A$7:$A$1006,0)))</x:f>
      </x:c>
      <x:c r="H521" s="9"/>
      <x:c r="I521" s="2"/>
      <x:c r="J521" s="2"/>
      <x:c r="K521" s="2"/>
      <x:c r="L521" s="2"/>
      <x:c r="M521" s="2"/>
      <x:c r="N521" s="2"/>
    </x:row>
    <x:row r="522" ht="23" customHeight="1">
      <x:c r="A522" s="9"/>
      <x:c r="B522" s="10"/>
      <x:c r="C522" s="14"/>
      <x:c r="D522" s="9"/>
      <x:c r="E522" s="9"/>
      <x:c r="F522" s="9"/>
      <x:c r="G522" s="9" t="str">
        <x:f>IF(A522="","",INDEX('입고대장'!$M$7:$M$1006,MATCH(A522,'입고대장'!$A$7:$A$1006,0)))</x:f>
      </x:c>
      <x:c r="H522" s="9"/>
      <x:c r="I522" s="2"/>
      <x:c r="J522" s="2"/>
      <x:c r="K522" s="2"/>
      <x:c r="L522" s="2"/>
      <x:c r="M522" s="2"/>
      <x:c r="N522" s="2"/>
    </x:row>
    <x:row r="523" ht="23" customHeight="1">
      <x:c r="A523" s="9"/>
      <x:c r="B523" s="10"/>
      <x:c r="C523" s="14"/>
      <x:c r="D523" s="9"/>
      <x:c r="E523" s="9"/>
      <x:c r="F523" s="9"/>
      <x:c r="G523" s="9" t="str">
        <x:f>IF(A523="","",INDEX('입고대장'!$M$7:$M$1006,MATCH(A523,'입고대장'!$A$7:$A$1006,0)))</x:f>
      </x:c>
      <x:c r="H523" s="9"/>
      <x:c r="I523" s="2"/>
      <x:c r="J523" s="2"/>
      <x:c r="K523" s="2"/>
      <x:c r="L523" s="2"/>
      <x:c r="M523" s="2"/>
      <x:c r="N523" s="2"/>
    </x:row>
    <x:row r="524" ht="23" customHeight="1">
      <x:c r="A524" s="9"/>
      <x:c r="B524" s="10"/>
      <x:c r="C524" s="14"/>
      <x:c r="D524" s="9"/>
      <x:c r="E524" s="9"/>
      <x:c r="F524" s="9"/>
      <x:c r="G524" s="9" t="str">
        <x:f>IF(A524="","",INDEX('입고대장'!$M$7:$M$1006,MATCH(A524,'입고대장'!$A$7:$A$1006,0)))</x:f>
      </x:c>
      <x:c r="H524" s="9"/>
      <x:c r="I524" s="2"/>
      <x:c r="J524" s="2"/>
      <x:c r="K524" s="2"/>
      <x:c r="L524" s="2"/>
      <x:c r="M524" s="2"/>
      <x:c r="N524" s="2"/>
    </x:row>
    <x:row r="525" ht="23" customHeight="1">
      <x:c r="A525" s="9"/>
      <x:c r="B525" s="10"/>
      <x:c r="C525" s="14"/>
      <x:c r="D525" s="9"/>
      <x:c r="E525" s="9"/>
      <x:c r="F525" s="9"/>
      <x:c r="G525" s="9" t="str">
        <x:f>IF(A525="","",INDEX('입고대장'!$M$7:$M$1006,MATCH(A525,'입고대장'!$A$7:$A$1006,0)))</x:f>
      </x:c>
      <x:c r="H525" s="9"/>
      <x:c r="I525" s="2"/>
      <x:c r="J525" s="2"/>
      <x:c r="K525" s="2"/>
      <x:c r="L525" s="2"/>
      <x:c r="M525" s="2"/>
      <x:c r="N525" s="2"/>
    </x:row>
    <x:row r="526" ht="23" customHeight="1">
      <x:c r="A526" s="9"/>
      <x:c r="B526" s="10"/>
      <x:c r="C526" s="14"/>
      <x:c r="D526" s="9"/>
      <x:c r="E526" s="9"/>
      <x:c r="F526" s="9"/>
      <x:c r="G526" s="9" t="str">
        <x:f>IF(A526="","",INDEX('입고대장'!$M$7:$M$1006,MATCH(A526,'입고대장'!$A$7:$A$1006,0)))</x:f>
      </x:c>
      <x:c r="H526" s="9"/>
      <x:c r="I526" s="2"/>
      <x:c r="J526" s="2"/>
      <x:c r="K526" s="2"/>
      <x:c r="L526" s="2"/>
      <x:c r="M526" s="2"/>
      <x:c r="N526" s="2"/>
    </x:row>
    <x:row r="527" ht="23" customHeight="1">
      <x:c r="A527" s="9"/>
      <x:c r="B527" s="10"/>
      <x:c r="C527" s="14"/>
      <x:c r="D527" s="9"/>
      <x:c r="E527" s="9"/>
      <x:c r="F527" s="9"/>
      <x:c r="G527" s="9" t="str">
        <x:f>IF(A527="","",INDEX('입고대장'!$M$7:$M$1006,MATCH(A527,'입고대장'!$A$7:$A$1006,0)))</x:f>
      </x:c>
      <x:c r="H527" s="9"/>
      <x:c r="I527" s="2"/>
      <x:c r="J527" s="2"/>
      <x:c r="K527" s="2"/>
      <x:c r="L527" s="2"/>
      <x:c r="M527" s="2"/>
      <x:c r="N527" s="2"/>
    </x:row>
    <x:row r="528" ht="23" customHeight="1">
      <x:c r="A528" s="9"/>
      <x:c r="B528" s="10"/>
      <x:c r="C528" s="14"/>
      <x:c r="D528" s="9"/>
      <x:c r="E528" s="9"/>
      <x:c r="F528" s="9"/>
      <x:c r="G528" s="9" t="str">
        <x:f>IF(A528="","",INDEX('입고대장'!$M$7:$M$1006,MATCH(A528,'입고대장'!$A$7:$A$1006,0)))</x:f>
      </x:c>
      <x:c r="H528" s="9"/>
      <x:c r="I528" s="2"/>
      <x:c r="J528" s="2"/>
      <x:c r="K528" s="2"/>
      <x:c r="L528" s="2"/>
      <x:c r="M528" s="2"/>
      <x:c r="N528" s="2"/>
    </x:row>
    <x:row r="529" ht="23" customHeight="1">
      <x:c r="A529" s="9"/>
      <x:c r="B529" s="10"/>
      <x:c r="C529" s="14"/>
      <x:c r="D529" s="9"/>
      <x:c r="E529" s="9"/>
      <x:c r="F529" s="9"/>
      <x:c r="G529" s="9" t="str">
        <x:f>IF(A529="","",INDEX('입고대장'!$M$7:$M$1006,MATCH(A529,'입고대장'!$A$7:$A$1006,0)))</x:f>
      </x:c>
      <x:c r="H529" s="9"/>
      <x:c r="I529" s="2"/>
      <x:c r="J529" s="2"/>
      <x:c r="K529" s="2"/>
      <x:c r="L529" s="2"/>
      <x:c r="M529" s="2"/>
      <x:c r="N529" s="2"/>
    </x:row>
    <x:row r="530" ht="23" customHeight="1">
      <x:c r="A530" s="9"/>
      <x:c r="B530" s="10"/>
      <x:c r="C530" s="14"/>
      <x:c r="D530" s="9"/>
      <x:c r="E530" s="9"/>
      <x:c r="F530" s="9"/>
      <x:c r="G530" s="9" t="str">
        <x:f>IF(A530="","",INDEX('입고대장'!$M$7:$M$1006,MATCH(A530,'입고대장'!$A$7:$A$1006,0)))</x:f>
      </x:c>
      <x:c r="H530" s="9"/>
      <x:c r="I530" s="2"/>
      <x:c r="J530" s="2"/>
      <x:c r="K530" s="2"/>
      <x:c r="L530" s="2"/>
      <x:c r="M530" s="2"/>
      <x:c r="N530" s="2"/>
    </x:row>
    <x:row r="531" ht="23" customHeight="1">
      <x:c r="A531" s="9"/>
      <x:c r="B531" s="10"/>
      <x:c r="C531" s="14"/>
      <x:c r="D531" s="9"/>
      <x:c r="E531" s="9"/>
      <x:c r="F531" s="9"/>
      <x:c r="G531" s="9" t="str">
        <x:f>IF(A531="","",INDEX('입고대장'!$M$7:$M$1006,MATCH(A531,'입고대장'!$A$7:$A$1006,0)))</x:f>
      </x:c>
      <x:c r="H531" s="9"/>
      <x:c r="I531" s="2"/>
      <x:c r="J531" s="2"/>
      <x:c r="K531" s="2"/>
      <x:c r="L531" s="2"/>
      <x:c r="M531" s="2"/>
      <x:c r="N531" s="2"/>
    </x:row>
    <x:row r="532" ht="23" customHeight="1">
      <x:c r="A532" s="9"/>
      <x:c r="B532" s="10"/>
      <x:c r="C532" s="14"/>
      <x:c r="D532" s="9"/>
      <x:c r="E532" s="9"/>
      <x:c r="F532" s="9"/>
      <x:c r="G532" s="9" t="str">
        <x:f>IF(A532="","",INDEX('입고대장'!$M$7:$M$1006,MATCH(A532,'입고대장'!$A$7:$A$1006,0)))</x:f>
      </x:c>
      <x:c r="H532" s="9"/>
      <x:c r="I532" s="2"/>
      <x:c r="J532" s="2"/>
      <x:c r="K532" s="2"/>
      <x:c r="L532" s="2"/>
      <x:c r="M532" s="2"/>
      <x:c r="N532" s="2"/>
    </x:row>
    <x:row r="533" ht="23" customHeight="1">
      <x:c r="A533" s="9"/>
      <x:c r="B533" s="10"/>
      <x:c r="C533" s="14"/>
      <x:c r="D533" s="9"/>
      <x:c r="E533" s="9"/>
      <x:c r="F533" s="9"/>
      <x:c r="G533" s="9" t="str">
        <x:f>IF(A533="","",INDEX('입고대장'!$M$7:$M$1006,MATCH(A533,'입고대장'!$A$7:$A$1006,0)))</x:f>
      </x:c>
      <x:c r="H533" s="9"/>
      <x:c r="I533" s="2"/>
      <x:c r="J533" s="2"/>
      <x:c r="K533" s="2"/>
      <x:c r="L533" s="2"/>
      <x:c r="M533" s="2"/>
      <x:c r="N533" s="2"/>
    </x:row>
    <x:row r="534" ht="23" customHeight="1">
      <x:c r="A534" s="9"/>
      <x:c r="B534" s="10"/>
      <x:c r="C534" s="14"/>
      <x:c r="D534" s="9"/>
      <x:c r="E534" s="9"/>
      <x:c r="F534" s="9"/>
      <x:c r="G534" s="9" t="str">
        <x:f>IF(A534="","",INDEX('입고대장'!$M$7:$M$1006,MATCH(A534,'입고대장'!$A$7:$A$1006,0)))</x:f>
      </x:c>
      <x:c r="H534" s="9"/>
      <x:c r="I534" s="2"/>
      <x:c r="J534" s="2"/>
      <x:c r="K534" s="2"/>
      <x:c r="L534" s="2"/>
      <x:c r="M534" s="2"/>
      <x:c r="N534" s="2"/>
    </x:row>
    <x:row r="535" ht="23" customHeight="1">
      <x:c r="A535" s="9"/>
      <x:c r="B535" s="10"/>
      <x:c r="C535" s="14"/>
      <x:c r="D535" s="9"/>
      <x:c r="E535" s="9"/>
      <x:c r="F535" s="9"/>
      <x:c r="G535" s="9" t="str">
        <x:f>IF(A535="","",INDEX('입고대장'!$M$7:$M$1006,MATCH(A535,'입고대장'!$A$7:$A$1006,0)))</x:f>
      </x:c>
      <x:c r="H535" s="9"/>
      <x:c r="I535" s="2"/>
      <x:c r="J535" s="2"/>
      <x:c r="K535" s="2"/>
      <x:c r="L535" s="2"/>
      <x:c r="M535" s="2"/>
      <x:c r="N535" s="2"/>
    </x:row>
    <x:row r="536" ht="23" customHeight="1">
      <x:c r="A536" s="9"/>
      <x:c r="B536" s="10"/>
      <x:c r="C536" s="14"/>
      <x:c r="D536" s="9"/>
      <x:c r="E536" s="9"/>
      <x:c r="F536" s="9"/>
      <x:c r="G536" s="9" t="str">
        <x:f>IF(A536="","",INDEX('입고대장'!$M$7:$M$1006,MATCH(A536,'입고대장'!$A$7:$A$1006,0)))</x:f>
      </x:c>
      <x:c r="H536" s="9"/>
      <x:c r="I536" s="2"/>
      <x:c r="J536" s="2"/>
      <x:c r="K536" s="2"/>
      <x:c r="L536" s="2"/>
      <x:c r="M536" s="2"/>
      <x:c r="N536" s="2"/>
    </x:row>
    <x:row r="537" ht="23" customHeight="1">
      <x:c r="A537" s="9"/>
      <x:c r="B537" s="10"/>
      <x:c r="C537" s="14"/>
      <x:c r="D537" s="9"/>
      <x:c r="E537" s="9"/>
      <x:c r="F537" s="9"/>
      <x:c r="G537" s="9" t="str">
        <x:f>IF(A537="","",INDEX('입고대장'!$M$7:$M$1006,MATCH(A537,'입고대장'!$A$7:$A$1006,0)))</x:f>
      </x:c>
      <x:c r="H537" s="9"/>
      <x:c r="I537" s="2"/>
      <x:c r="J537" s="2"/>
      <x:c r="K537" s="2"/>
      <x:c r="L537" s="2"/>
      <x:c r="M537" s="2"/>
      <x:c r="N537" s="2"/>
    </x:row>
    <x:row r="538" ht="23" customHeight="1">
      <x:c r="A538" s="9"/>
      <x:c r="B538" s="10"/>
      <x:c r="C538" s="14"/>
      <x:c r="D538" s="9"/>
      <x:c r="E538" s="9"/>
      <x:c r="F538" s="9"/>
      <x:c r="G538" s="9" t="str">
        <x:f>IF(A538="","",INDEX('입고대장'!$M$7:$M$1006,MATCH(A538,'입고대장'!$A$7:$A$1006,0)))</x:f>
      </x:c>
      <x:c r="H538" s="9"/>
      <x:c r="I538" s="2"/>
      <x:c r="J538" s="2"/>
      <x:c r="K538" s="2"/>
      <x:c r="L538" s="2"/>
      <x:c r="M538" s="2"/>
      <x:c r="N538" s="2"/>
    </x:row>
    <x:row r="539" ht="23" customHeight="1">
      <x:c r="A539" s="9"/>
      <x:c r="B539" s="10"/>
      <x:c r="C539" s="14"/>
      <x:c r="D539" s="9"/>
      <x:c r="E539" s="9"/>
      <x:c r="F539" s="9"/>
      <x:c r="G539" s="9" t="str">
        <x:f>IF(A539="","",INDEX('입고대장'!$M$7:$M$1006,MATCH(A539,'입고대장'!$A$7:$A$1006,0)))</x:f>
      </x:c>
      <x:c r="H539" s="9"/>
      <x:c r="I539" s="2"/>
      <x:c r="J539" s="2"/>
      <x:c r="K539" s="2"/>
      <x:c r="L539" s="2"/>
      <x:c r="M539" s="2"/>
      <x:c r="N539" s="2"/>
    </x:row>
    <x:row r="540" ht="23" customHeight="1">
      <x:c r="A540" s="9"/>
      <x:c r="B540" s="10"/>
      <x:c r="C540" s="14"/>
      <x:c r="D540" s="9"/>
      <x:c r="E540" s="9"/>
      <x:c r="F540" s="9"/>
      <x:c r="G540" s="9" t="str">
        <x:f>IF(A540="","",INDEX('입고대장'!$M$7:$M$1006,MATCH(A540,'입고대장'!$A$7:$A$1006,0)))</x:f>
      </x:c>
      <x:c r="H540" s="9"/>
      <x:c r="I540" s="2"/>
      <x:c r="J540" s="2"/>
      <x:c r="K540" s="2"/>
      <x:c r="L540" s="2"/>
      <x:c r="M540" s="2"/>
      <x:c r="N540" s="2"/>
    </x:row>
    <x:row r="541" ht="23" customHeight="1">
      <x:c r="A541" s="9"/>
      <x:c r="B541" s="10"/>
      <x:c r="C541" s="14"/>
      <x:c r="D541" s="9"/>
      <x:c r="E541" s="9"/>
      <x:c r="F541" s="9"/>
      <x:c r="G541" s="9" t="str">
        <x:f>IF(A541="","",INDEX('입고대장'!$M$7:$M$1006,MATCH(A541,'입고대장'!$A$7:$A$1006,0)))</x:f>
      </x:c>
      <x:c r="H541" s="9"/>
      <x:c r="I541" s="2"/>
      <x:c r="J541" s="2"/>
      <x:c r="K541" s="2"/>
      <x:c r="L541" s="2"/>
      <x:c r="M541" s="2"/>
      <x:c r="N541" s="2"/>
    </x:row>
    <x:row r="542" ht="23" customHeight="1">
      <x:c r="A542" s="9"/>
      <x:c r="B542" s="10"/>
      <x:c r="C542" s="14"/>
      <x:c r="D542" s="9"/>
      <x:c r="E542" s="9"/>
      <x:c r="F542" s="9"/>
      <x:c r="G542" s="9" t="str">
        <x:f>IF(A542="","",INDEX('입고대장'!$M$7:$M$1006,MATCH(A542,'입고대장'!$A$7:$A$1006,0)))</x:f>
      </x:c>
      <x:c r="H542" s="9"/>
      <x:c r="I542" s="2"/>
      <x:c r="J542" s="2"/>
      <x:c r="K542" s="2"/>
      <x:c r="L542" s="2"/>
      <x:c r="M542" s="2"/>
      <x:c r="N542" s="2"/>
    </x:row>
    <x:row r="543" ht="23" customHeight="1">
      <x:c r="A543" s="9"/>
      <x:c r="B543" s="10"/>
      <x:c r="C543" s="14"/>
      <x:c r="D543" s="9"/>
      <x:c r="E543" s="9"/>
      <x:c r="F543" s="9"/>
      <x:c r="G543" s="9" t="str">
        <x:f>IF(A543="","",INDEX('입고대장'!$M$7:$M$1006,MATCH(A543,'입고대장'!$A$7:$A$1006,0)))</x:f>
      </x:c>
      <x:c r="H543" s="9"/>
      <x:c r="I543" s="2"/>
      <x:c r="J543" s="2"/>
      <x:c r="K543" s="2"/>
      <x:c r="L543" s="2"/>
      <x:c r="M543" s="2"/>
      <x:c r="N543" s="2"/>
    </x:row>
    <x:row r="544" ht="23" customHeight="1">
      <x:c r="A544" s="9"/>
      <x:c r="B544" s="10"/>
      <x:c r="C544" s="14"/>
      <x:c r="D544" s="9"/>
      <x:c r="E544" s="9"/>
      <x:c r="F544" s="9"/>
      <x:c r="G544" s="9" t="str">
        <x:f>IF(A544="","",INDEX('입고대장'!$M$7:$M$1006,MATCH(A544,'입고대장'!$A$7:$A$1006,0)))</x:f>
      </x:c>
      <x:c r="H544" s="9"/>
      <x:c r="I544" s="2"/>
      <x:c r="J544" s="2"/>
      <x:c r="K544" s="2"/>
      <x:c r="L544" s="2"/>
      <x:c r="M544" s="2"/>
      <x:c r="N544" s="2"/>
    </x:row>
    <x:row r="545" ht="23" customHeight="1">
      <x:c r="A545" s="9"/>
      <x:c r="B545" s="10"/>
      <x:c r="C545" s="14"/>
      <x:c r="D545" s="9"/>
      <x:c r="E545" s="9"/>
      <x:c r="F545" s="9"/>
      <x:c r="G545" s="9" t="str">
        <x:f>IF(A545="","",INDEX('입고대장'!$M$7:$M$1006,MATCH(A545,'입고대장'!$A$7:$A$1006,0)))</x:f>
      </x:c>
      <x:c r="H545" s="9"/>
      <x:c r="I545" s="2"/>
      <x:c r="J545" s="2"/>
      <x:c r="K545" s="2"/>
      <x:c r="L545" s="2"/>
      <x:c r="M545" s="2"/>
      <x:c r="N545" s="2"/>
    </x:row>
    <x:row r="546" ht="23" customHeight="1">
      <x:c r="A546" s="9"/>
      <x:c r="B546" s="10"/>
      <x:c r="C546" s="14"/>
      <x:c r="D546" s="9"/>
      <x:c r="E546" s="9"/>
      <x:c r="F546" s="9"/>
      <x:c r="G546" s="9" t="str">
        <x:f>IF(A546="","",INDEX('입고대장'!$M$7:$M$1006,MATCH(A546,'입고대장'!$A$7:$A$1006,0)))</x:f>
      </x:c>
      <x:c r="H546" s="9"/>
      <x:c r="I546" s="2"/>
      <x:c r="J546" s="2"/>
      <x:c r="K546" s="2"/>
      <x:c r="L546" s="2"/>
      <x:c r="M546" s="2"/>
      <x:c r="N546" s="2"/>
    </x:row>
    <x:row r="547" ht="23" customHeight="1">
      <x:c r="A547" s="9"/>
      <x:c r="B547" s="10"/>
      <x:c r="C547" s="14"/>
      <x:c r="D547" s="9"/>
      <x:c r="E547" s="9"/>
      <x:c r="F547" s="9"/>
      <x:c r="G547" s="9" t="str">
        <x:f>IF(A547="","",INDEX('입고대장'!$M$7:$M$1006,MATCH(A547,'입고대장'!$A$7:$A$1006,0)))</x:f>
      </x:c>
      <x:c r="H547" s="9"/>
      <x:c r="I547" s="2"/>
      <x:c r="J547" s="2"/>
      <x:c r="K547" s="2"/>
      <x:c r="L547" s="2"/>
      <x:c r="M547" s="2"/>
      <x:c r="N547" s="2"/>
    </x:row>
    <x:row r="548" ht="23" customHeight="1">
      <x:c r="A548" s="9"/>
      <x:c r="B548" s="10"/>
      <x:c r="C548" s="14"/>
      <x:c r="D548" s="9"/>
      <x:c r="E548" s="9"/>
      <x:c r="F548" s="9"/>
      <x:c r="G548" s="9" t="str">
        <x:f>IF(A548="","",INDEX('입고대장'!$M$7:$M$1006,MATCH(A548,'입고대장'!$A$7:$A$1006,0)))</x:f>
      </x:c>
      <x:c r="H548" s="9"/>
      <x:c r="I548" s="2"/>
      <x:c r="J548" s="2"/>
      <x:c r="K548" s="2"/>
      <x:c r="L548" s="2"/>
      <x:c r="M548" s="2"/>
      <x:c r="N548" s="2"/>
    </x:row>
    <x:row r="549" ht="23" customHeight="1">
      <x:c r="A549" s="9"/>
      <x:c r="B549" s="10"/>
      <x:c r="C549" s="14"/>
      <x:c r="D549" s="9"/>
      <x:c r="E549" s="9"/>
      <x:c r="F549" s="9"/>
      <x:c r="G549" s="9" t="str">
        <x:f>IF(A549="","",INDEX('입고대장'!$M$7:$M$1006,MATCH(A549,'입고대장'!$A$7:$A$1006,0)))</x:f>
      </x:c>
      <x:c r="H549" s="9"/>
      <x:c r="I549" s="2"/>
      <x:c r="J549" s="2"/>
      <x:c r="K549" s="2"/>
      <x:c r="L549" s="2"/>
      <x:c r="M549" s="2"/>
      <x:c r="N549" s="2"/>
    </x:row>
    <x:row r="550" ht="23" customHeight="1">
      <x:c r="A550" s="9"/>
      <x:c r="B550" s="10"/>
      <x:c r="C550" s="14"/>
      <x:c r="D550" s="9"/>
      <x:c r="E550" s="9"/>
      <x:c r="F550" s="9"/>
      <x:c r="G550" s="9" t="str">
        <x:f>IF(A550="","",INDEX('입고대장'!$M$7:$M$1006,MATCH(A550,'입고대장'!$A$7:$A$1006,0)))</x:f>
      </x:c>
      <x:c r="H550" s="9"/>
      <x:c r="I550" s="2"/>
      <x:c r="J550" s="2"/>
      <x:c r="K550" s="2"/>
      <x:c r="L550" s="2"/>
      <x:c r="M550" s="2"/>
      <x:c r="N550" s="2"/>
    </x:row>
    <x:row r="551" ht="23" customHeight="1">
      <x:c r="A551" s="9"/>
      <x:c r="B551" s="10"/>
      <x:c r="C551" s="14"/>
      <x:c r="D551" s="9"/>
      <x:c r="E551" s="9"/>
      <x:c r="F551" s="9"/>
      <x:c r="G551" s="9" t="str">
        <x:f>IF(A551="","",INDEX('입고대장'!$M$7:$M$1006,MATCH(A551,'입고대장'!$A$7:$A$1006,0)))</x:f>
      </x:c>
      <x:c r="H551" s="9"/>
      <x:c r="I551" s="2"/>
      <x:c r="J551" s="2"/>
      <x:c r="K551" s="2"/>
      <x:c r="L551" s="2"/>
      <x:c r="M551" s="2"/>
      <x:c r="N551" s="2"/>
    </x:row>
    <x:row r="552" ht="23" customHeight="1">
      <x:c r="A552" s="9"/>
      <x:c r="B552" s="10"/>
      <x:c r="C552" s="14"/>
      <x:c r="D552" s="9"/>
      <x:c r="E552" s="9"/>
      <x:c r="F552" s="9"/>
      <x:c r="G552" s="9" t="str">
        <x:f>IF(A552="","",INDEX('입고대장'!$M$7:$M$1006,MATCH(A552,'입고대장'!$A$7:$A$1006,0)))</x:f>
      </x:c>
      <x:c r="H552" s="9"/>
      <x:c r="I552" s="2"/>
      <x:c r="J552" s="2"/>
      <x:c r="K552" s="2"/>
      <x:c r="L552" s="2"/>
      <x:c r="M552" s="2"/>
      <x:c r="N552" s="2"/>
    </x:row>
    <x:row r="553" ht="23" customHeight="1">
      <x:c r="A553" s="9"/>
      <x:c r="B553" s="10"/>
      <x:c r="C553" s="14"/>
      <x:c r="D553" s="9"/>
      <x:c r="E553" s="9"/>
      <x:c r="F553" s="9"/>
      <x:c r="G553" s="9" t="str">
        <x:f>IF(A553="","",INDEX('입고대장'!$M$7:$M$1006,MATCH(A553,'입고대장'!$A$7:$A$1006,0)))</x:f>
      </x:c>
      <x:c r="H553" s="9"/>
      <x:c r="I553" s="2"/>
      <x:c r="J553" s="2"/>
      <x:c r="K553" s="2"/>
      <x:c r="L553" s="2"/>
      <x:c r="M553" s="2"/>
      <x:c r="N553" s="2"/>
    </x:row>
    <x:row r="554" ht="23" customHeight="1">
      <x:c r="A554" s="9"/>
      <x:c r="B554" s="10"/>
      <x:c r="C554" s="14"/>
      <x:c r="D554" s="9"/>
      <x:c r="E554" s="9"/>
      <x:c r="F554" s="9"/>
      <x:c r="G554" s="9" t="str">
        <x:f>IF(A554="","",INDEX('입고대장'!$M$7:$M$1006,MATCH(A554,'입고대장'!$A$7:$A$1006,0)))</x:f>
      </x:c>
      <x:c r="H554" s="9"/>
      <x:c r="I554" s="2"/>
      <x:c r="J554" s="2"/>
      <x:c r="K554" s="2"/>
      <x:c r="L554" s="2"/>
      <x:c r="M554" s="2"/>
      <x:c r="N554" s="2"/>
    </x:row>
    <x:row r="555" ht="23" customHeight="1">
      <x:c r="A555" s="9"/>
      <x:c r="B555" s="10"/>
      <x:c r="C555" s="14"/>
      <x:c r="D555" s="9"/>
      <x:c r="E555" s="9"/>
      <x:c r="F555" s="9"/>
      <x:c r="G555" s="9" t="str">
        <x:f>IF(A555="","",INDEX('입고대장'!$M$7:$M$1006,MATCH(A555,'입고대장'!$A$7:$A$1006,0)))</x:f>
      </x:c>
      <x:c r="H555" s="9"/>
      <x:c r="I555" s="2"/>
      <x:c r="J555" s="2"/>
      <x:c r="K555" s="2"/>
      <x:c r="L555" s="2"/>
      <x:c r="M555" s="2"/>
      <x:c r="N555" s="2"/>
    </x:row>
    <x:row r="556" ht="23" customHeight="1">
      <x:c r="A556" s="9"/>
      <x:c r="B556" s="10"/>
      <x:c r="C556" s="14"/>
      <x:c r="D556" s="9"/>
      <x:c r="E556" s="9"/>
      <x:c r="F556" s="9"/>
      <x:c r="G556" s="9" t="str">
        <x:f>IF(A556="","",INDEX('입고대장'!$M$7:$M$1006,MATCH(A556,'입고대장'!$A$7:$A$1006,0)))</x:f>
      </x:c>
      <x:c r="H556" s="9"/>
      <x:c r="I556" s="2"/>
      <x:c r="J556" s="2"/>
      <x:c r="K556" s="2"/>
      <x:c r="L556" s="2"/>
      <x:c r="M556" s="2"/>
      <x:c r="N556" s="2"/>
    </x:row>
    <x:row r="557" ht="23" customHeight="1">
      <x:c r="A557" s="9"/>
      <x:c r="B557" s="10"/>
      <x:c r="C557" s="14"/>
      <x:c r="D557" s="9"/>
      <x:c r="E557" s="9"/>
      <x:c r="F557" s="9"/>
      <x:c r="G557" s="9" t="str">
        <x:f>IF(A557="","",INDEX('입고대장'!$M$7:$M$1006,MATCH(A557,'입고대장'!$A$7:$A$1006,0)))</x:f>
      </x:c>
      <x:c r="H557" s="9"/>
      <x:c r="I557" s="2"/>
      <x:c r="J557" s="2"/>
      <x:c r="K557" s="2"/>
      <x:c r="L557" s="2"/>
      <x:c r="M557" s="2"/>
      <x:c r="N557" s="2"/>
    </x:row>
    <x:row r="558" ht="23" customHeight="1">
      <x:c r="A558" s="9"/>
      <x:c r="B558" s="10"/>
      <x:c r="C558" s="14"/>
      <x:c r="D558" s="9"/>
      <x:c r="E558" s="9"/>
      <x:c r="F558" s="9"/>
      <x:c r="G558" s="9" t="str">
        <x:f>IF(A558="","",INDEX('입고대장'!$M$7:$M$1006,MATCH(A558,'입고대장'!$A$7:$A$1006,0)))</x:f>
      </x:c>
      <x:c r="H558" s="9"/>
      <x:c r="I558" s="2"/>
      <x:c r="J558" s="2"/>
      <x:c r="K558" s="2"/>
      <x:c r="L558" s="2"/>
      <x:c r="M558" s="2"/>
      <x:c r="N558" s="2"/>
    </x:row>
    <x:row r="559" ht="23" customHeight="1">
      <x:c r="A559" s="9"/>
      <x:c r="B559" s="10"/>
      <x:c r="C559" s="14"/>
      <x:c r="D559" s="9"/>
      <x:c r="E559" s="9"/>
      <x:c r="F559" s="9"/>
      <x:c r="G559" s="9" t="str">
        <x:f>IF(A559="","",INDEX('입고대장'!$M$7:$M$1006,MATCH(A559,'입고대장'!$A$7:$A$1006,0)))</x:f>
      </x:c>
      <x:c r="H559" s="9"/>
      <x:c r="I559" s="2"/>
      <x:c r="J559" s="2"/>
      <x:c r="K559" s="2"/>
      <x:c r="L559" s="2"/>
      <x:c r="M559" s="2"/>
      <x:c r="N559" s="2"/>
    </x:row>
    <x:row r="560" ht="23" customHeight="1">
      <x:c r="A560" s="9"/>
      <x:c r="B560" s="10"/>
      <x:c r="C560" s="14"/>
      <x:c r="D560" s="9"/>
      <x:c r="E560" s="9"/>
      <x:c r="F560" s="9"/>
      <x:c r="G560" s="9" t="str">
        <x:f>IF(A560="","",INDEX('입고대장'!$M$7:$M$1006,MATCH(A560,'입고대장'!$A$7:$A$1006,0)))</x:f>
      </x:c>
      <x:c r="H560" s="9"/>
      <x:c r="I560" s="2"/>
      <x:c r="J560" s="2"/>
      <x:c r="K560" s="2"/>
      <x:c r="L560" s="2"/>
      <x:c r="M560" s="2"/>
      <x:c r="N560" s="2"/>
    </x:row>
    <x:row r="561" ht="23" customHeight="1">
      <x:c r="A561" s="9"/>
      <x:c r="B561" s="10"/>
      <x:c r="C561" s="14"/>
      <x:c r="D561" s="9"/>
      <x:c r="E561" s="9"/>
      <x:c r="F561" s="9"/>
      <x:c r="G561" s="9" t="str">
        <x:f>IF(A561="","",INDEX('입고대장'!$M$7:$M$1006,MATCH(A561,'입고대장'!$A$7:$A$1006,0)))</x:f>
      </x:c>
      <x:c r="H561" s="9"/>
      <x:c r="I561" s="2"/>
      <x:c r="J561" s="2"/>
      <x:c r="K561" s="2"/>
      <x:c r="L561" s="2"/>
      <x:c r="M561" s="2"/>
      <x:c r="N561" s="2"/>
    </x:row>
    <x:row r="562" ht="23" customHeight="1">
      <x:c r="A562" s="9"/>
      <x:c r="B562" s="10"/>
      <x:c r="C562" s="14"/>
      <x:c r="D562" s="9"/>
      <x:c r="E562" s="9"/>
      <x:c r="F562" s="9"/>
      <x:c r="G562" s="9" t="str">
        <x:f>IF(A562="","",INDEX('입고대장'!$M$7:$M$1006,MATCH(A562,'입고대장'!$A$7:$A$1006,0)))</x:f>
      </x:c>
      <x:c r="H562" s="9"/>
      <x:c r="I562" s="2"/>
      <x:c r="J562" s="2"/>
      <x:c r="K562" s="2"/>
      <x:c r="L562" s="2"/>
      <x:c r="M562" s="2"/>
      <x:c r="N562" s="2"/>
    </x:row>
    <x:row r="563" ht="23" customHeight="1">
      <x:c r="A563" s="9"/>
      <x:c r="B563" s="10"/>
      <x:c r="C563" s="14"/>
      <x:c r="D563" s="9"/>
      <x:c r="E563" s="9"/>
      <x:c r="F563" s="9"/>
      <x:c r="G563" s="9" t="str">
        <x:f>IF(A563="","",INDEX('입고대장'!$M$7:$M$1006,MATCH(A563,'입고대장'!$A$7:$A$1006,0)))</x:f>
      </x:c>
      <x:c r="H563" s="9"/>
      <x:c r="I563" s="2"/>
      <x:c r="J563" s="2"/>
      <x:c r="K563" s="2"/>
      <x:c r="L563" s="2"/>
      <x:c r="M563" s="2"/>
      <x:c r="N563" s="2"/>
    </x:row>
    <x:row r="564" ht="23" customHeight="1">
      <x:c r="A564" s="9"/>
      <x:c r="B564" s="10"/>
      <x:c r="C564" s="14"/>
      <x:c r="D564" s="9"/>
      <x:c r="E564" s="9"/>
      <x:c r="F564" s="9"/>
      <x:c r="G564" s="9" t="str">
        <x:f>IF(A564="","",INDEX('입고대장'!$M$7:$M$1006,MATCH(A564,'입고대장'!$A$7:$A$1006,0)))</x:f>
      </x:c>
      <x:c r="H564" s="9"/>
      <x:c r="I564" s="2"/>
      <x:c r="J564" s="2"/>
      <x:c r="K564" s="2"/>
      <x:c r="L564" s="2"/>
      <x:c r="M564" s="2"/>
      <x:c r="N564" s="2"/>
    </x:row>
    <x:row r="565" ht="23" customHeight="1">
      <x:c r="A565" s="9"/>
      <x:c r="B565" s="10"/>
      <x:c r="C565" s="14"/>
      <x:c r="D565" s="9"/>
      <x:c r="E565" s="9"/>
      <x:c r="F565" s="9"/>
      <x:c r="G565" s="9" t="str">
        <x:f>IF(A565="","",INDEX('입고대장'!$M$7:$M$1006,MATCH(A565,'입고대장'!$A$7:$A$1006,0)))</x:f>
      </x:c>
      <x:c r="H565" s="9"/>
      <x:c r="I565" s="2"/>
      <x:c r="J565" s="2"/>
      <x:c r="K565" s="2"/>
      <x:c r="L565" s="2"/>
      <x:c r="M565" s="2"/>
      <x:c r="N565" s="2"/>
    </x:row>
    <x:row r="566" ht="23" customHeight="1">
      <x:c r="A566" s="9"/>
      <x:c r="B566" s="10"/>
      <x:c r="C566" s="14"/>
      <x:c r="D566" s="9"/>
      <x:c r="E566" s="9"/>
      <x:c r="F566" s="9"/>
      <x:c r="G566" s="9" t="str">
        <x:f>IF(A566="","",INDEX('입고대장'!$M$7:$M$1006,MATCH(A566,'입고대장'!$A$7:$A$1006,0)))</x:f>
      </x:c>
      <x:c r="H566" s="9"/>
      <x:c r="I566" s="2"/>
      <x:c r="J566" s="2"/>
      <x:c r="K566" s="2"/>
      <x:c r="L566" s="2"/>
      <x:c r="M566" s="2"/>
      <x:c r="N566" s="2"/>
    </x:row>
    <x:row r="567" ht="23" customHeight="1">
      <x:c r="A567" s="9"/>
      <x:c r="B567" s="10"/>
      <x:c r="C567" s="14"/>
      <x:c r="D567" s="9"/>
      <x:c r="E567" s="9"/>
      <x:c r="F567" s="9"/>
      <x:c r="G567" s="9" t="str">
        <x:f>IF(A567="","",INDEX('입고대장'!$M$7:$M$1006,MATCH(A567,'입고대장'!$A$7:$A$1006,0)))</x:f>
      </x:c>
      <x:c r="H567" s="9"/>
      <x:c r="I567" s="2"/>
      <x:c r="J567" s="2"/>
      <x:c r="K567" s="2"/>
      <x:c r="L567" s="2"/>
      <x:c r="M567" s="2"/>
      <x:c r="N567" s="2"/>
    </x:row>
    <x:row r="568" ht="23" customHeight="1">
      <x:c r="A568" s="9"/>
      <x:c r="B568" s="10"/>
      <x:c r="C568" s="14"/>
      <x:c r="D568" s="9"/>
      <x:c r="E568" s="9"/>
      <x:c r="F568" s="9"/>
      <x:c r="G568" s="9" t="str">
        <x:f>IF(A568="","",INDEX('입고대장'!$M$7:$M$1006,MATCH(A568,'입고대장'!$A$7:$A$1006,0)))</x:f>
      </x:c>
      <x:c r="H568" s="9"/>
      <x:c r="I568" s="2"/>
      <x:c r="J568" s="2"/>
      <x:c r="K568" s="2"/>
      <x:c r="L568" s="2"/>
      <x:c r="M568" s="2"/>
      <x:c r="N568" s="2"/>
    </x:row>
    <x:row r="569" ht="23" customHeight="1">
      <x:c r="A569" s="9"/>
      <x:c r="B569" s="10"/>
      <x:c r="C569" s="14"/>
      <x:c r="D569" s="9"/>
      <x:c r="E569" s="9"/>
      <x:c r="F569" s="9"/>
      <x:c r="G569" s="9" t="str">
        <x:f>IF(A569="","",INDEX('입고대장'!$M$7:$M$1006,MATCH(A569,'입고대장'!$A$7:$A$1006,0)))</x:f>
      </x:c>
      <x:c r="H569" s="9"/>
      <x:c r="I569" s="2"/>
      <x:c r="J569" s="2"/>
      <x:c r="K569" s="2"/>
      <x:c r="L569" s="2"/>
      <x:c r="M569" s="2"/>
      <x:c r="N569" s="2"/>
    </x:row>
    <x:row r="570" ht="23" customHeight="1">
      <x:c r="A570" s="9"/>
      <x:c r="B570" s="10"/>
      <x:c r="C570" s="14"/>
      <x:c r="D570" s="9"/>
      <x:c r="E570" s="9"/>
      <x:c r="F570" s="9"/>
      <x:c r="G570" s="9" t="str">
        <x:f>IF(A570="","",INDEX('입고대장'!$M$7:$M$1006,MATCH(A570,'입고대장'!$A$7:$A$1006,0)))</x:f>
      </x:c>
      <x:c r="H570" s="9"/>
      <x:c r="I570" s="2"/>
      <x:c r="J570" s="2"/>
      <x:c r="K570" s="2"/>
      <x:c r="L570" s="2"/>
      <x:c r="M570" s="2"/>
      <x:c r="N570" s="2"/>
    </x:row>
    <x:row r="571" ht="23" customHeight="1">
      <x:c r="A571" s="9"/>
      <x:c r="B571" s="10"/>
      <x:c r="C571" s="14"/>
      <x:c r="D571" s="9"/>
      <x:c r="E571" s="9"/>
      <x:c r="F571" s="9"/>
      <x:c r="G571" s="9" t="str">
        <x:f>IF(A571="","",INDEX('입고대장'!$M$7:$M$1006,MATCH(A571,'입고대장'!$A$7:$A$1006,0)))</x:f>
      </x:c>
      <x:c r="H571" s="9"/>
      <x:c r="I571" s="2"/>
      <x:c r="J571" s="2"/>
      <x:c r="K571" s="2"/>
      <x:c r="L571" s="2"/>
      <x:c r="M571" s="2"/>
      <x:c r="N571" s="2"/>
    </x:row>
    <x:row r="572" ht="23" customHeight="1">
      <x:c r="A572" s="9"/>
      <x:c r="B572" s="10"/>
      <x:c r="C572" s="14"/>
      <x:c r="D572" s="9"/>
      <x:c r="E572" s="9"/>
      <x:c r="F572" s="9"/>
      <x:c r="G572" s="9" t="str">
        <x:f>IF(A572="","",INDEX('입고대장'!$M$7:$M$1006,MATCH(A572,'입고대장'!$A$7:$A$1006,0)))</x:f>
      </x:c>
      <x:c r="H572" s="9"/>
      <x:c r="I572" s="2"/>
      <x:c r="J572" s="2"/>
      <x:c r="K572" s="2"/>
      <x:c r="L572" s="2"/>
      <x:c r="M572" s="2"/>
      <x:c r="N572" s="2"/>
    </x:row>
    <x:row r="573" ht="23" customHeight="1">
      <x:c r="A573" s="9"/>
      <x:c r="B573" s="10"/>
      <x:c r="C573" s="14"/>
      <x:c r="D573" s="9"/>
      <x:c r="E573" s="9"/>
      <x:c r="F573" s="9"/>
      <x:c r="G573" s="9" t="str">
        <x:f>IF(A573="","",INDEX('입고대장'!$M$7:$M$1006,MATCH(A573,'입고대장'!$A$7:$A$1006,0)))</x:f>
      </x:c>
      <x:c r="H573" s="9"/>
      <x:c r="I573" s="2"/>
      <x:c r="J573" s="2"/>
      <x:c r="K573" s="2"/>
      <x:c r="L573" s="2"/>
      <x:c r="M573" s="2"/>
      <x:c r="N573" s="2"/>
    </x:row>
    <x:row r="574" ht="23" customHeight="1">
      <x:c r="A574" s="9"/>
      <x:c r="B574" s="10"/>
      <x:c r="C574" s="14"/>
      <x:c r="D574" s="9"/>
      <x:c r="E574" s="9"/>
      <x:c r="F574" s="9"/>
      <x:c r="G574" s="9" t="str">
        <x:f>IF(A574="","",INDEX('입고대장'!$M$7:$M$1006,MATCH(A574,'입고대장'!$A$7:$A$1006,0)))</x:f>
      </x:c>
      <x:c r="H574" s="9"/>
      <x:c r="I574" s="2"/>
      <x:c r="J574" s="2"/>
      <x:c r="K574" s="2"/>
      <x:c r="L574" s="2"/>
      <x:c r="M574" s="2"/>
      <x:c r="N574" s="2"/>
    </x:row>
    <x:row r="575" ht="23" customHeight="1">
      <x:c r="A575" s="9"/>
      <x:c r="B575" s="10"/>
      <x:c r="C575" s="14"/>
      <x:c r="D575" s="9"/>
      <x:c r="E575" s="9"/>
      <x:c r="F575" s="9"/>
      <x:c r="G575" s="9" t="str">
        <x:f>IF(A575="","",INDEX('입고대장'!$M$7:$M$1006,MATCH(A575,'입고대장'!$A$7:$A$1006,0)))</x:f>
      </x:c>
      <x:c r="H575" s="9"/>
      <x:c r="I575" s="2"/>
      <x:c r="J575" s="2"/>
      <x:c r="K575" s="2"/>
      <x:c r="L575" s="2"/>
      <x:c r="M575" s="2"/>
      <x:c r="N575" s="2"/>
    </x:row>
    <x:row r="576" ht="23" customHeight="1">
      <x:c r="A576" s="9"/>
      <x:c r="B576" s="10"/>
      <x:c r="C576" s="14"/>
      <x:c r="D576" s="9"/>
      <x:c r="E576" s="9"/>
      <x:c r="F576" s="9"/>
      <x:c r="G576" s="9" t="str">
        <x:f>IF(A576="","",INDEX('입고대장'!$M$7:$M$1006,MATCH(A576,'입고대장'!$A$7:$A$1006,0)))</x:f>
      </x:c>
      <x:c r="H576" s="9"/>
      <x:c r="I576" s="2"/>
      <x:c r="J576" s="2"/>
      <x:c r="K576" s="2"/>
      <x:c r="L576" s="2"/>
      <x:c r="M576" s="2"/>
      <x:c r="N576" s="2"/>
    </x:row>
    <x:row r="577" ht="23" customHeight="1">
      <x:c r="A577" s="9"/>
      <x:c r="B577" s="10"/>
      <x:c r="C577" s="14"/>
      <x:c r="D577" s="9"/>
      <x:c r="E577" s="9"/>
      <x:c r="F577" s="9"/>
      <x:c r="G577" s="9" t="str">
        <x:f>IF(A577="","",INDEX('입고대장'!$M$7:$M$1006,MATCH(A577,'입고대장'!$A$7:$A$1006,0)))</x:f>
      </x:c>
      <x:c r="H577" s="9"/>
      <x:c r="I577" s="2"/>
      <x:c r="J577" s="2"/>
      <x:c r="K577" s="2"/>
      <x:c r="L577" s="2"/>
      <x:c r="M577" s="2"/>
      <x:c r="N577" s="2"/>
    </x:row>
    <x:row r="578" ht="23" customHeight="1">
      <x:c r="A578" s="9"/>
      <x:c r="B578" s="10"/>
      <x:c r="C578" s="14"/>
      <x:c r="D578" s="9"/>
      <x:c r="E578" s="9"/>
      <x:c r="F578" s="9"/>
      <x:c r="G578" s="9" t="str">
        <x:f>IF(A578="","",INDEX('입고대장'!$M$7:$M$1006,MATCH(A578,'입고대장'!$A$7:$A$1006,0)))</x:f>
      </x:c>
      <x:c r="H578" s="9"/>
      <x:c r="I578" s="2"/>
      <x:c r="J578" s="2"/>
      <x:c r="K578" s="2"/>
      <x:c r="L578" s="2"/>
      <x:c r="M578" s="2"/>
      <x:c r="N578" s="2"/>
    </x:row>
    <x:row r="579" ht="23" customHeight="1">
      <x:c r="A579" s="9"/>
      <x:c r="B579" s="10"/>
      <x:c r="C579" s="14"/>
      <x:c r="D579" s="9"/>
      <x:c r="E579" s="9"/>
      <x:c r="F579" s="9"/>
      <x:c r="G579" s="9" t="str">
        <x:f>IF(A579="","",INDEX('입고대장'!$M$7:$M$1006,MATCH(A579,'입고대장'!$A$7:$A$1006,0)))</x:f>
      </x:c>
      <x:c r="H579" s="9"/>
      <x:c r="I579" s="2"/>
      <x:c r="J579" s="2"/>
      <x:c r="K579" s="2"/>
      <x:c r="L579" s="2"/>
      <x:c r="M579" s="2"/>
      <x:c r="N579" s="2"/>
    </x:row>
    <x:row r="580" ht="23" customHeight="1">
      <x:c r="A580" s="9"/>
      <x:c r="B580" s="10"/>
      <x:c r="C580" s="14"/>
      <x:c r="D580" s="9"/>
      <x:c r="E580" s="9"/>
      <x:c r="F580" s="9"/>
      <x:c r="G580" s="9" t="str">
        <x:f>IF(A580="","",INDEX('입고대장'!$M$7:$M$1006,MATCH(A580,'입고대장'!$A$7:$A$1006,0)))</x:f>
      </x:c>
      <x:c r="H580" s="9"/>
      <x:c r="I580" s="2"/>
      <x:c r="J580" s="2"/>
      <x:c r="K580" s="2"/>
      <x:c r="L580" s="2"/>
      <x:c r="M580" s="2"/>
      <x:c r="N580" s="2"/>
    </x:row>
    <x:row r="581" ht="23" customHeight="1">
      <x:c r="A581" s="9"/>
      <x:c r="B581" s="10"/>
      <x:c r="C581" s="14"/>
      <x:c r="D581" s="9"/>
      <x:c r="E581" s="9"/>
      <x:c r="F581" s="9"/>
      <x:c r="G581" s="9" t="str">
        <x:f>IF(A581="","",INDEX('입고대장'!$M$7:$M$1006,MATCH(A581,'입고대장'!$A$7:$A$1006,0)))</x:f>
      </x:c>
      <x:c r="H581" s="9"/>
      <x:c r="I581" s="2"/>
      <x:c r="J581" s="2"/>
      <x:c r="K581" s="2"/>
      <x:c r="L581" s="2"/>
      <x:c r="M581" s="2"/>
      <x:c r="N581" s="2"/>
    </x:row>
    <x:row r="582" ht="23" customHeight="1">
      <x:c r="A582" s="9"/>
      <x:c r="B582" s="10"/>
      <x:c r="C582" s="14"/>
      <x:c r="D582" s="9"/>
      <x:c r="E582" s="9"/>
      <x:c r="F582" s="9"/>
      <x:c r="G582" s="9" t="str">
        <x:f>IF(A582="","",INDEX('입고대장'!$M$7:$M$1006,MATCH(A582,'입고대장'!$A$7:$A$1006,0)))</x:f>
      </x:c>
      <x:c r="H582" s="9"/>
      <x:c r="I582" s="2"/>
      <x:c r="J582" s="2"/>
      <x:c r="K582" s="2"/>
      <x:c r="L582" s="2"/>
      <x:c r="M582" s="2"/>
      <x:c r="N582" s="2"/>
    </x:row>
    <x:row r="583" ht="23" customHeight="1">
      <x:c r="A583" s="9"/>
      <x:c r="B583" s="10"/>
      <x:c r="C583" s="14"/>
      <x:c r="D583" s="9"/>
      <x:c r="E583" s="9"/>
      <x:c r="F583" s="9"/>
      <x:c r="G583" s="9" t="str">
        <x:f>IF(A583="","",INDEX('입고대장'!$M$7:$M$1006,MATCH(A583,'입고대장'!$A$7:$A$1006,0)))</x:f>
      </x:c>
      <x:c r="H583" s="9"/>
      <x:c r="I583" s="2"/>
      <x:c r="J583" s="2"/>
      <x:c r="K583" s="2"/>
      <x:c r="L583" s="2"/>
      <x:c r="M583" s="2"/>
      <x:c r="N583" s="2"/>
    </x:row>
    <x:row r="584" ht="23" customHeight="1">
      <x:c r="A584" s="9"/>
      <x:c r="B584" s="10"/>
      <x:c r="C584" s="14"/>
      <x:c r="D584" s="9"/>
      <x:c r="E584" s="9"/>
      <x:c r="F584" s="9"/>
      <x:c r="G584" s="9" t="str">
        <x:f>IF(A584="","",INDEX('입고대장'!$M$7:$M$1006,MATCH(A584,'입고대장'!$A$7:$A$1006,0)))</x:f>
      </x:c>
      <x:c r="H584" s="9"/>
      <x:c r="I584" s="2"/>
      <x:c r="J584" s="2"/>
      <x:c r="K584" s="2"/>
      <x:c r="L584" s="2"/>
      <x:c r="M584" s="2"/>
      <x:c r="N584" s="2"/>
    </x:row>
    <x:row r="585" ht="23" customHeight="1">
      <x:c r="A585" s="9"/>
      <x:c r="B585" s="10"/>
      <x:c r="C585" s="14"/>
      <x:c r="D585" s="9"/>
      <x:c r="E585" s="9"/>
      <x:c r="F585" s="9"/>
      <x:c r="G585" s="9" t="str">
        <x:f>IF(A585="","",INDEX('입고대장'!$M$7:$M$1006,MATCH(A585,'입고대장'!$A$7:$A$1006,0)))</x:f>
      </x:c>
      <x:c r="H585" s="9"/>
      <x:c r="I585" s="2"/>
      <x:c r="J585" s="2"/>
      <x:c r="K585" s="2"/>
      <x:c r="L585" s="2"/>
      <x:c r="M585" s="2"/>
      <x:c r="N585" s="2"/>
    </x:row>
    <x:row r="586" ht="23" customHeight="1">
      <x:c r="A586" s="9"/>
      <x:c r="B586" s="10"/>
      <x:c r="C586" s="14"/>
      <x:c r="D586" s="9"/>
      <x:c r="E586" s="9"/>
      <x:c r="F586" s="9"/>
      <x:c r="G586" s="9" t="str">
        <x:f>IF(A586="","",INDEX('입고대장'!$M$7:$M$1006,MATCH(A586,'입고대장'!$A$7:$A$1006,0)))</x:f>
      </x:c>
      <x:c r="H586" s="9"/>
      <x:c r="I586" s="2"/>
      <x:c r="J586" s="2"/>
      <x:c r="K586" s="2"/>
      <x:c r="L586" s="2"/>
      <x:c r="M586" s="2"/>
      <x:c r="N586" s="2"/>
    </x:row>
    <x:row r="587" ht="23" customHeight="1">
      <x:c r="A587" s="9"/>
      <x:c r="B587" s="10"/>
      <x:c r="C587" s="14"/>
      <x:c r="D587" s="9"/>
      <x:c r="E587" s="9"/>
      <x:c r="F587" s="9"/>
      <x:c r="G587" s="9" t="str">
        <x:f>IF(A587="","",INDEX('입고대장'!$M$7:$M$1006,MATCH(A587,'입고대장'!$A$7:$A$1006,0)))</x:f>
      </x:c>
      <x:c r="H587" s="9"/>
      <x:c r="I587" s="2"/>
      <x:c r="J587" s="2"/>
      <x:c r="K587" s="2"/>
      <x:c r="L587" s="2"/>
      <x:c r="M587" s="2"/>
      <x:c r="N587" s="2"/>
    </x:row>
    <x:row r="588" ht="23" customHeight="1">
      <x:c r="A588" s="9"/>
      <x:c r="B588" s="10"/>
      <x:c r="C588" s="14"/>
      <x:c r="D588" s="9"/>
      <x:c r="E588" s="9"/>
      <x:c r="F588" s="9"/>
      <x:c r="G588" s="9" t="str">
        <x:f>IF(A588="","",INDEX('입고대장'!$M$7:$M$1006,MATCH(A588,'입고대장'!$A$7:$A$1006,0)))</x:f>
      </x:c>
      <x:c r="H588" s="9"/>
      <x:c r="I588" s="2"/>
      <x:c r="J588" s="2"/>
      <x:c r="K588" s="2"/>
      <x:c r="L588" s="2"/>
      <x:c r="M588" s="2"/>
      <x:c r="N588" s="2"/>
    </x:row>
    <x:row r="589" ht="23" customHeight="1">
      <x:c r="A589" s="9"/>
      <x:c r="B589" s="10"/>
      <x:c r="C589" s="14"/>
      <x:c r="D589" s="9"/>
      <x:c r="E589" s="9"/>
      <x:c r="F589" s="9"/>
      <x:c r="G589" s="9" t="str">
        <x:f>IF(A589="","",INDEX('입고대장'!$M$7:$M$1006,MATCH(A589,'입고대장'!$A$7:$A$1006,0)))</x:f>
      </x:c>
      <x:c r="H589" s="9"/>
      <x:c r="I589" s="2"/>
      <x:c r="J589" s="2"/>
      <x:c r="K589" s="2"/>
      <x:c r="L589" s="2"/>
      <x:c r="M589" s="2"/>
      <x:c r="N589" s="2"/>
    </x:row>
    <x:row r="590" ht="23" customHeight="1">
      <x:c r="A590" s="9"/>
      <x:c r="B590" s="10"/>
      <x:c r="C590" s="14"/>
      <x:c r="D590" s="9"/>
      <x:c r="E590" s="9"/>
      <x:c r="F590" s="9"/>
      <x:c r="G590" s="9" t="str">
        <x:f>IF(A590="","",INDEX('입고대장'!$M$7:$M$1006,MATCH(A590,'입고대장'!$A$7:$A$1006,0)))</x:f>
      </x:c>
      <x:c r="H590" s="9"/>
      <x:c r="I590" s="2"/>
      <x:c r="J590" s="2"/>
      <x:c r="K590" s="2"/>
      <x:c r="L590" s="2"/>
      <x:c r="M590" s="2"/>
      <x:c r="N590" s="2"/>
    </x:row>
    <x:row r="591" ht="23" customHeight="1">
      <x:c r="A591" s="9"/>
      <x:c r="B591" s="10"/>
      <x:c r="C591" s="14"/>
      <x:c r="D591" s="9"/>
      <x:c r="E591" s="9"/>
      <x:c r="F591" s="9"/>
      <x:c r="G591" s="9" t="str">
        <x:f>IF(A591="","",INDEX('입고대장'!$M$7:$M$1006,MATCH(A591,'입고대장'!$A$7:$A$1006,0)))</x:f>
      </x:c>
      <x:c r="H591" s="9"/>
      <x:c r="I591" s="2"/>
      <x:c r="J591" s="2"/>
      <x:c r="K591" s="2"/>
      <x:c r="L591" s="2"/>
      <x:c r="M591" s="2"/>
      <x:c r="N591" s="2"/>
    </x:row>
    <x:row r="592" ht="23" customHeight="1">
      <x:c r="A592" s="9"/>
      <x:c r="B592" s="10"/>
      <x:c r="C592" s="14"/>
      <x:c r="D592" s="9"/>
      <x:c r="E592" s="9"/>
      <x:c r="F592" s="9"/>
      <x:c r="G592" s="9" t="str">
        <x:f>IF(A592="","",INDEX('입고대장'!$M$7:$M$1006,MATCH(A592,'입고대장'!$A$7:$A$1006,0)))</x:f>
      </x:c>
      <x:c r="H592" s="9"/>
      <x:c r="I592" s="2"/>
      <x:c r="J592" s="2"/>
      <x:c r="K592" s="2"/>
      <x:c r="L592" s="2"/>
      <x:c r="M592" s="2"/>
      <x:c r="N592" s="2"/>
    </x:row>
    <x:row r="593" ht="23" customHeight="1">
      <x:c r="A593" s="9"/>
      <x:c r="B593" s="10"/>
      <x:c r="C593" s="14"/>
      <x:c r="D593" s="9"/>
      <x:c r="E593" s="9"/>
      <x:c r="F593" s="9"/>
      <x:c r="G593" s="9" t="str">
        <x:f>IF(A593="","",INDEX('입고대장'!$M$7:$M$1006,MATCH(A593,'입고대장'!$A$7:$A$1006,0)))</x:f>
      </x:c>
      <x:c r="H593" s="9"/>
      <x:c r="I593" s="2"/>
      <x:c r="J593" s="2"/>
      <x:c r="K593" s="2"/>
      <x:c r="L593" s="2"/>
      <x:c r="M593" s="2"/>
      <x:c r="N593" s="2"/>
    </x:row>
    <x:row r="594" ht="23" customHeight="1">
      <x:c r="A594" s="9"/>
      <x:c r="B594" s="10"/>
      <x:c r="C594" s="14"/>
      <x:c r="D594" s="9"/>
      <x:c r="E594" s="9"/>
      <x:c r="F594" s="9"/>
      <x:c r="G594" s="9" t="str">
        <x:f>IF(A594="","",INDEX('입고대장'!$M$7:$M$1006,MATCH(A594,'입고대장'!$A$7:$A$1006,0)))</x:f>
      </x:c>
      <x:c r="H594" s="9"/>
      <x:c r="I594" s="2"/>
      <x:c r="J594" s="2"/>
      <x:c r="K594" s="2"/>
      <x:c r="L594" s="2"/>
      <x:c r="M594" s="2"/>
      <x:c r="N594" s="2"/>
    </x:row>
    <x:row r="595" ht="23" customHeight="1">
      <x:c r="A595" s="9"/>
      <x:c r="B595" s="10"/>
      <x:c r="C595" s="14"/>
      <x:c r="D595" s="9"/>
      <x:c r="E595" s="9"/>
      <x:c r="F595" s="9"/>
      <x:c r="G595" s="9" t="str">
        <x:f>IF(A595="","",INDEX('입고대장'!$M$7:$M$1006,MATCH(A595,'입고대장'!$A$7:$A$1006,0)))</x:f>
      </x:c>
      <x:c r="H595" s="9"/>
      <x:c r="I595" s="2"/>
      <x:c r="J595" s="2"/>
      <x:c r="K595" s="2"/>
      <x:c r="L595" s="2"/>
      <x:c r="M595" s="2"/>
      <x:c r="N595" s="2"/>
    </x:row>
    <x:row r="596" ht="23" customHeight="1">
      <x:c r="A596" s="9"/>
      <x:c r="B596" s="10"/>
      <x:c r="C596" s="14"/>
      <x:c r="D596" s="9"/>
      <x:c r="E596" s="9"/>
      <x:c r="F596" s="9"/>
      <x:c r="G596" s="9" t="str">
        <x:f>IF(A596="","",INDEX('입고대장'!$M$7:$M$1006,MATCH(A596,'입고대장'!$A$7:$A$1006,0)))</x:f>
      </x:c>
      <x:c r="H596" s="9"/>
      <x:c r="I596" s="2"/>
      <x:c r="J596" s="2"/>
      <x:c r="K596" s="2"/>
      <x:c r="L596" s="2"/>
      <x:c r="M596" s="2"/>
      <x:c r="N596" s="2"/>
    </x:row>
    <x:row r="597" ht="23" customHeight="1">
      <x:c r="A597" s="9"/>
      <x:c r="B597" s="10"/>
      <x:c r="C597" s="14"/>
      <x:c r="D597" s="9"/>
      <x:c r="E597" s="9"/>
      <x:c r="F597" s="9"/>
      <x:c r="G597" s="9" t="str">
        <x:f>IF(A597="","",INDEX('입고대장'!$M$7:$M$1006,MATCH(A597,'입고대장'!$A$7:$A$1006,0)))</x:f>
      </x:c>
      <x:c r="H597" s="9"/>
      <x:c r="I597" s="2"/>
      <x:c r="J597" s="2"/>
      <x:c r="K597" s="2"/>
      <x:c r="L597" s="2"/>
      <x:c r="M597" s="2"/>
      <x:c r="N597" s="2"/>
    </x:row>
    <x:row r="598" ht="23" customHeight="1">
      <x:c r="A598" s="9"/>
      <x:c r="B598" s="10"/>
      <x:c r="C598" s="14"/>
      <x:c r="D598" s="9"/>
      <x:c r="E598" s="9"/>
      <x:c r="F598" s="9"/>
      <x:c r="G598" s="9" t="str">
        <x:f>IF(A598="","",INDEX('입고대장'!$M$7:$M$1006,MATCH(A598,'입고대장'!$A$7:$A$1006,0)))</x:f>
      </x:c>
      <x:c r="H598" s="9"/>
      <x:c r="I598" s="2"/>
      <x:c r="J598" s="2"/>
      <x:c r="K598" s="2"/>
      <x:c r="L598" s="2"/>
      <x:c r="M598" s="2"/>
      <x:c r="N598" s="2"/>
    </x:row>
    <x:row r="599" ht="23" customHeight="1">
      <x:c r="A599" s="9"/>
      <x:c r="B599" s="10"/>
      <x:c r="C599" s="14"/>
      <x:c r="D599" s="9"/>
      <x:c r="E599" s="9"/>
      <x:c r="F599" s="9"/>
      <x:c r="G599" s="9" t="str">
        <x:f>IF(A599="","",INDEX('입고대장'!$M$7:$M$1006,MATCH(A599,'입고대장'!$A$7:$A$1006,0)))</x:f>
      </x:c>
      <x:c r="H599" s="9"/>
      <x:c r="I599" s="2"/>
      <x:c r="J599" s="2"/>
      <x:c r="K599" s="2"/>
      <x:c r="L599" s="2"/>
      <x:c r="M599" s="2"/>
      <x:c r="N599" s="2"/>
    </x:row>
    <x:row r="600" ht="23" customHeight="1">
      <x:c r="A600" s="9"/>
      <x:c r="B600" s="10"/>
      <x:c r="C600" s="14"/>
      <x:c r="D600" s="9"/>
      <x:c r="E600" s="9"/>
      <x:c r="F600" s="9"/>
      <x:c r="G600" s="9" t="str">
        <x:f>IF(A600="","",INDEX('입고대장'!$M$7:$M$1006,MATCH(A600,'입고대장'!$A$7:$A$1006,0)))</x:f>
      </x:c>
      <x:c r="H600" s="9"/>
      <x:c r="I600" s="2"/>
      <x:c r="J600" s="2"/>
      <x:c r="K600" s="2"/>
      <x:c r="L600" s="2"/>
      <x:c r="M600" s="2"/>
      <x:c r="N600" s="2"/>
    </x:row>
    <x:row r="601" ht="23" customHeight="1">
      <x:c r="A601" s="9"/>
      <x:c r="B601" s="10"/>
      <x:c r="C601" s="14"/>
      <x:c r="D601" s="9"/>
      <x:c r="E601" s="9"/>
      <x:c r="F601" s="9"/>
      <x:c r="G601" s="9" t="str">
        <x:f>IF(A601="","",INDEX('입고대장'!$M$7:$M$1006,MATCH(A601,'입고대장'!$A$7:$A$1006,0)))</x:f>
      </x:c>
      <x:c r="H601" s="9"/>
      <x:c r="I601" s="2"/>
      <x:c r="J601" s="2"/>
      <x:c r="K601" s="2"/>
      <x:c r="L601" s="2"/>
      <x:c r="M601" s="2"/>
      <x:c r="N601" s="2"/>
    </x:row>
    <x:row r="602" ht="23" customHeight="1">
      <x:c r="A602" s="9"/>
      <x:c r="B602" s="10"/>
      <x:c r="C602" s="14"/>
      <x:c r="D602" s="9"/>
      <x:c r="E602" s="9"/>
      <x:c r="F602" s="9"/>
      <x:c r="G602" s="9" t="str">
        <x:f>IF(A602="","",INDEX('입고대장'!$M$7:$M$1006,MATCH(A602,'입고대장'!$A$7:$A$1006,0)))</x:f>
      </x:c>
      <x:c r="H602" s="9"/>
      <x:c r="I602" s="2"/>
      <x:c r="J602" s="2"/>
      <x:c r="K602" s="2"/>
      <x:c r="L602" s="2"/>
      <x:c r="M602" s="2"/>
      <x:c r="N602" s="2"/>
    </x:row>
    <x:row r="603" ht="23" customHeight="1">
      <x:c r="A603" s="9"/>
      <x:c r="B603" s="10"/>
      <x:c r="C603" s="14"/>
      <x:c r="D603" s="9"/>
      <x:c r="E603" s="9"/>
      <x:c r="F603" s="9"/>
      <x:c r="G603" s="9" t="str">
        <x:f>IF(A603="","",INDEX('입고대장'!$M$7:$M$1006,MATCH(A603,'입고대장'!$A$7:$A$1006,0)))</x:f>
      </x:c>
      <x:c r="H603" s="9"/>
      <x:c r="I603" s="2"/>
      <x:c r="J603" s="2"/>
      <x:c r="K603" s="2"/>
      <x:c r="L603" s="2"/>
      <x:c r="M603" s="2"/>
      <x:c r="N603" s="2"/>
    </x:row>
    <x:row r="604" ht="23" customHeight="1">
      <x:c r="A604" s="9"/>
      <x:c r="B604" s="10"/>
      <x:c r="C604" s="14"/>
      <x:c r="D604" s="9"/>
      <x:c r="E604" s="9"/>
      <x:c r="F604" s="9"/>
      <x:c r="G604" s="9" t="str">
        <x:f>IF(A604="","",INDEX('입고대장'!$M$7:$M$1006,MATCH(A604,'입고대장'!$A$7:$A$1006,0)))</x:f>
      </x:c>
      <x:c r="H604" s="9"/>
      <x:c r="I604" s="2"/>
      <x:c r="J604" s="2"/>
      <x:c r="K604" s="2"/>
      <x:c r="L604" s="2"/>
      <x:c r="M604" s="2"/>
      <x:c r="N604" s="2"/>
    </x:row>
    <x:row r="605" ht="23" customHeight="1">
      <x:c r="A605" s="9"/>
      <x:c r="B605" s="10"/>
      <x:c r="C605" s="14"/>
      <x:c r="D605" s="9"/>
      <x:c r="E605" s="9"/>
      <x:c r="F605" s="9"/>
      <x:c r="G605" s="9" t="str">
        <x:f>IF(A605="","",INDEX('입고대장'!$M$7:$M$1006,MATCH(A605,'입고대장'!$A$7:$A$1006,0)))</x:f>
      </x:c>
      <x:c r="H605" s="9"/>
      <x:c r="I605" s="2"/>
      <x:c r="J605" s="2"/>
      <x:c r="K605" s="2"/>
      <x:c r="L605" s="2"/>
      <x:c r="M605" s="2"/>
      <x:c r="N605" s="2"/>
    </x:row>
    <x:row r="606" ht="23" customHeight="1">
      <x:c r="A606" s="9"/>
      <x:c r="B606" s="10"/>
      <x:c r="C606" s="14"/>
      <x:c r="D606" s="9"/>
      <x:c r="E606" s="9"/>
      <x:c r="F606" s="9"/>
      <x:c r="G606" s="9" t="str">
        <x:f>IF(A606="","",INDEX('입고대장'!$M$7:$M$1006,MATCH(A606,'입고대장'!$A$7:$A$1006,0)))</x:f>
      </x:c>
      <x:c r="H606" s="9"/>
      <x:c r="I606" s="2"/>
      <x:c r="J606" s="2"/>
      <x:c r="K606" s="2"/>
      <x:c r="L606" s="2"/>
      <x:c r="M606" s="2"/>
      <x:c r="N606" s="2"/>
    </x:row>
    <x:row r="607" ht="23" customHeight="1">
      <x:c r="A607" s="9"/>
      <x:c r="B607" s="10"/>
      <x:c r="C607" s="14"/>
      <x:c r="D607" s="9"/>
      <x:c r="E607" s="9"/>
      <x:c r="F607" s="9"/>
      <x:c r="G607" s="9" t="str">
        <x:f>IF(A607="","",INDEX('입고대장'!$M$7:$M$1006,MATCH(A607,'입고대장'!$A$7:$A$1006,0)))</x:f>
      </x:c>
      <x:c r="H607" s="9"/>
      <x:c r="I607" s="2"/>
      <x:c r="J607" s="2"/>
      <x:c r="K607" s="2"/>
      <x:c r="L607" s="2"/>
      <x:c r="M607" s="2"/>
      <x:c r="N607" s="2"/>
    </x:row>
    <x:row r="608" ht="23" customHeight="1">
      <x:c r="A608" s="9"/>
      <x:c r="B608" s="10"/>
      <x:c r="C608" s="14"/>
      <x:c r="D608" s="9"/>
      <x:c r="E608" s="9"/>
      <x:c r="F608" s="9"/>
      <x:c r="G608" s="9" t="str">
        <x:f>IF(A608="","",INDEX('입고대장'!$M$7:$M$1006,MATCH(A608,'입고대장'!$A$7:$A$1006,0)))</x:f>
      </x:c>
      <x:c r="H608" s="9"/>
      <x:c r="I608" s="2"/>
      <x:c r="J608" s="2"/>
      <x:c r="K608" s="2"/>
      <x:c r="L608" s="2"/>
      <x:c r="M608" s="2"/>
      <x:c r="N608" s="2"/>
    </x:row>
    <x:row r="609" ht="23" customHeight="1">
      <x:c r="A609" s="9"/>
      <x:c r="B609" s="10"/>
      <x:c r="C609" s="14"/>
      <x:c r="D609" s="9"/>
      <x:c r="E609" s="9"/>
      <x:c r="F609" s="9"/>
      <x:c r="G609" s="9" t="str">
        <x:f>IF(A609="","",INDEX('입고대장'!$M$7:$M$1006,MATCH(A609,'입고대장'!$A$7:$A$1006,0)))</x:f>
      </x:c>
      <x:c r="H609" s="9"/>
      <x:c r="I609" s="2"/>
      <x:c r="J609" s="2"/>
      <x:c r="K609" s="2"/>
      <x:c r="L609" s="2"/>
      <x:c r="M609" s="2"/>
      <x:c r="N609" s="2"/>
    </x:row>
    <x:row r="610" ht="23" customHeight="1">
      <x:c r="A610" s="9"/>
      <x:c r="B610" s="10"/>
      <x:c r="C610" s="14"/>
      <x:c r="D610" s="9"/>
      <x:c r="E610" s="9"/>
      <x:c r="F610" s="9"/>
      <x:c r="G610" s="9" t="str">
        <x:f>IF(A610="","",INDEX('입고대장'!$M$7:$M$1006,MATCH(A610,'입고대장'!$A$7:$A$1006,0)))</x:f>
      </x:c>
      <x:c r="H610" s="9"/>
      <x:c r="I610" s="2"/>
      <x:c r="J610" s="2"/>
      <x:c r="K610" s="2"/>
      <x:c r="L610" s="2"/>
      <x:c r="M610" s="2"/>
      <x:c r="N610" s="2"/>
    </x:row>
    <x:row r="611" ht="23" customHeight="1">
      <x:c r="A611" s="9"/>
      <x:c r="B611" s="10"/>
      <x:c r="C611" s="14"/>
      <x:c r="D611" s="9"/>
      <x:c r="E611" s="9"/>
      <x:c r="F611" s="9"/>
      <x:c r="G611" s="9" t="str">
        <x:f>IF(A611="","",INDEX('입고대장'!$M$7:$M$1006,MATCH(A611,'입고대장'!$A$7:$A$1006,0)))</x:f>
      </x:c>
      <x:c r="H611" s="9"/>
      <x:c r="I611" s="2"/>
      <x:c r="J611" s="2"/>
      <x:c r="K611" s="2"/>
      <x:c r="L611" s="2"/>
      <x:c r="M611" s="2"/>
      <x:c r="N611" s="2"/>
    </x:row>
    <x:row r="612" ht="23" customHeight="1">
      <x:c r="A612" s="9"/>
      <x:c r="B612" s="10"/>
      <x:c r="C612" s="14"/>
      <x:c r="D612" s="9"/>
      <x:c r="E612" s="9"/>
      <x:c r="F612" s="9"/>
      <x:c r="G612" s="9" t="str">
        <x:f>IF(A612="","",INDEX('입고대장'!$M$7:$M$1006,MATCH(A612,'입고대장'!$A$7:$A$1006,0)))</x:f>
      </x:c>
      <x:c r="H612" s="9"/>
      <x:c r="I612" s="2"/>
      <x:c r="J612" s="2"/>
      <x:c r="K612" s="2"/>
      <x:c r="L612" s="2"/>
      <x:c r="M612" s="2"/>
      <x:c r="N612" s="2"/>
    </x:row>
    <x:row r="613" ht="23" customHeight="1">
      <x:c r="A613" s="9"/>
      <x:c r="B613" s="10"/>
      <x:c r="C613" s="14"/>
      <x:c r="D613" s="9"/>
      <x:c r="E613" s="9"/>
      <x:c r="F613" s="9"/>
      <x:c r="G613" s="9" t="str">
        <x:f>IF(A613="","",INDEX('입고대장'!$M$7:$M$1006,MATCH(A613,'입고대장'!$A$7:$A$1006,0)))</x:f>
      </x:c>
      <x:c r="H613" s="9"/>
      <x:c r="I613" s="2"/>
      <x:c r="J613" s="2"/>
      <x:c r="K613" s="2"/>
      <x:c r="L613" s="2"/>
      <x:c r="M613" s="2"/>
      <x:c r="N613" s="2"/>
    </x:row>
    <x:row r="614" ht="23" customHeight="1">
      <x:c r="A614" s="9"/>
      <x:c r="B614" s="10"/>
      <x:c r="C614" s="14"/>
      <x:c r="D614" s="9"/>
      <x:c r="E614" s="9"/>
      <x:c r="F614" s="9"/>
      <x:c r="G614" s="9" t="str">
        <x:f>IF(A614="","",INDEX('입고대장'!$M$7:$M$1006,MATCH(A614,'입고대장'!$A$7:$A$1006,0)))</x:f>
      </x:c>
      <x:c r="H614" s="9"/>
      <x:c r="I614" s="2"/>
      <x:c r="J614" s="2"/>
      <x:c r="K614" s="2"/>
      <x:c r="L614" s="2"/>
      <x:c r="M614" s="2"/>
      <x:c r="N614" s="2"/>
    </x:row>
    <x:row r="615" ht="23" customHeight="1">
      <x:c r="A615" s="9"/>
      <x:c r="B615" s="10"/>
      <x:c r="C615" s="14"/>
      <x:c r="D615" s="9"/>
      <x:c r="E615" s="9"/>
      <x:c r="F615" s="9"/>
      <x:c r="G615" s="9" t="str">
        <x:f>IF(A615="","",INDEX('입고대장'!$M$7:$M$1006,MATCH(A615,'입고대장'!$A$7:$A$1006,0)))</x:f>
      </x:c>
      <x:c r="H615" s="9"/>
      <x:c r="I615" s="2"/>
      <x:c r="J615" s="2"/>
      <x:c r="K615" s="2"/>
      <x:c r="L615" s="2"/>
      <x:c r="M615" s="2"/>
      <x:c r="N615" s="2"/>
    </x:row>
    <x:row r="616" ht="23" customHeight="1">
      <x:c r="A616" s="9"/>
      <x:c r="B616" s="10"/>
      <x:c r="C616" s="14"/>
      <x:c r="D616" s="9"/>
      <x:c r="E616" s="9"/>
      <x:c r="F616" s="9"/>
      <x:c r="G616" s="9" t="str">
        <x:f>IF(A616="","",INDEX('입고대장'!$M$7:$M$1006,MATCH(A616,'입고대장'!$A$7:$A$1006,0)))</x:f>
      </x:c>
      <x:c r="H616" s="9"/>
      <x:c r="I616" s="2"/>
      <x:c r="J616" s="2"/>
      <x:c r="K616" s="2"/>
      <x:c r="L616" s="2"/>
      <x:c r="M616" s="2"/>
      <x:c r="N616" s="2"/>
    </x:row>
    <x:row r="617" ht="23" customHeight="1">
      <x:c r="A617" s="9"/>
      <x:c r="B617" s="10"/>
      <x:c r="C617" s="14"/>
      <x:c r="D617" s="9"/>
      <x:c r="E617" s="9"/>
      <x:c r="F617" s="9"/>
      <x:c r="G617" s="9" t="str">
        <x:f>IF(A617="","",INDEX('입고대장'!$M$7:$M$1006,MATCH(A617,'입고대장'!$A$7:$A$1006,0)))</x:f>
      </x:c>
      <x:c r="H617" s="9"/>
      <x:c r="I617" s="2"/>
      <x:c r="J617" s="2"/>
      <x:c r="K617" s="2"/>
      <x:c r="L617" s="2"/>
      <x:c r="M617" s="2"/>
      <x:c r="N617" s="2"/>
    </x:row>
    <x:row r="618" ht="23" customHeight="1">
      <x:c r="A618" s="9"/>
      <x:c r="B618" s="10"/>
      <x:c r="C618" s="14"/>
      <x:c r="D618" s="9"/>
      <x:c r="E618" s="9"/>
      <x:c r="F618" s="9"/>
      <x:c r="G618" s="9" t="str">
        <x:f>IF(A618="","",INDEX('입고대장'!$M$7:$M$1006,MATCH(A618,'입고대장'!$A$7:$A$1006,0)))</x:f>
      </x:c>
      <x:c r="H618" s="9"/>
      <x:c r="I618" s="2"/>
      <x:c r="J618" s="2"/>
      <x:c r="K618" s="2"/>
      <x:c r="L618" s="2"/>
      <x:c r="M618" s="2"/>
      <x:c r="N618" s="2"/>
    </x:row>
    <x:row r="619" ht="23" customHeight="1">
      <x:c r="A619" s="9"/>
      <x:c r="B619" s="10"/>
      <x:c r="C619" s="14"/>
      <x:c r="D619" s="9"/>
      <x:c r="E619" s="9"/>
      <x:c r="F619" s="9"/>
      <x:c r="G619" s="9" t="str">
        <x:f>IF(A619="","",INDEX('입고대장'!$M$7:$M$1006,MATCH(A619,'입고대장'!$A$7:$A$1006,0)))</x:f>
      </x:c>
      <x:c r="H619" s="9"/>
      <x:c r="I619" s="2"/>
      <x:c r="J619" s="2"/>
      <x:c r="K619" s="2"/>
      <x:c r="L619" s="2"/>
      <x:c r="M619" s="2"/>
      <x:c r="N619" s="2"/>
    </x:row>
    <x:row r="620" ht="23" customHeight="1">
      <x:c r="A620" s="9"/>
      <x:c r="B620" s="10"/>
      <x:c r="C620" s="14"/>
      <x:c r="D620" s="9"/>
      <x:c r="E620" s="9"/>
      <x:c r="F620" s="9"/>
      <x:c r="G620" s="9" t="str">
        <x:f>IF(A620="","",INDEX('입고대장'!$M$7:$M$1006,MATCH(A620,'입고대장'!$A$7:$A$1006,0)))</x:f>
      </x:c>
      <x:c r="H620" s="9"/>
      <x:c r="I620" s="2"/>
      <x:c r="J620" s="2"/>
      <x:c r="K620" s="2"/>
      <x:c r="L620" s="2"/>
      <x:c r="M620" s="2"/>
      <x:c r="N620" s="2"/>
    </x:row>
    <x:row r="621" ht="23" customHeight="1">
      <x:c r="A621" s="9"/>
      <x:c r="B621" s="10"/>
      <x:c r="C621" s="14"/>
      <x:c r="D621" s="9"/>
      <x:c r="E621" s="9"/>
      <x:c r="F621" s="9"/>
      <x:c r="G621" s="9" t="str">
        <x:f>IF(A621="","",INDEX('입고대장'!$M$7:$M$1006,MATCH(A621,'입고대장'!$A$7:$A$1006,0)))</x:f>
      </x:c>
      <x:c r="H621" s="9"/>
      <x:c r="I621" s="2"/>
      <x:c r="J621" s="2"/>
      <x:c r="K621" s="2"/>
      <x:c r="L621" s="2"/>
      <x:c r="M621" s="2"/>
      <x:c r="N621" s="2"/>
    </x:row>
    <x:row r="622" ht="23" customHeight="1">
      <x:c r="A622" s="9"/>
      <x:c r="B622" s="10"/>
      <x:c r="C622" s="14"/>
      <x:c r="D622" s="9"/>
      <x:c r="E622" s="9"/>
      <x:c r="F622" s="9"/>
      <x:c r="G622" s="9" t="str">
        <x:f>IF(A622="","",INDEX('입고대장'!$M$7:$M$1006,MATCH(A622,'입고대장'!$A$7:$A$1006,0)))</x:f>
      </x:c>
      <x:c r="H622" s="9"/>
      <x:c r="I622" s="2"/>
      <x:c r="J622" s="2"/>
      <x:c r="K622" s="2"/>
      <x:c r="L622" s="2"/>
      <x:c r="M622" s="2"/>
      <x:c r="N622" s="2"/>
    </x:row>
    <x:row r="623" ht="23" customHeight="1">
      <x:c r="A623" s="9"/>
      <x:c r="B623" s="10"/>
      <x:c r="C623" s="14"/>
      <x:c r="D623" s="9"/>
      <x:c r="E623" s="9"/>
      <x:c r="F623" s="9"/>
      <x:c r="G623" s="9" t="str">
        <x:f>IF(A623="","",INDEX('입고대장'!$M$7:$M$1006,MATCH(A623,'입고대장'!$A$7:$A$1006,0)))</x:f>
      </x:c>
      <x:c r="H623" s="9"/>
      <x:c r="I623" s="2"/>
      <x:c r="J623" s="2"/>
      <x:c r="K623" s="2"/>
      <x:c r="L623" s="2"/>
      <x:c r="M623" s="2"/>
      <x:c r="N623" s="2"/>
    </x:row>
    <x:row r="624" ht="23" customHeight="1">
      <x:c r="A624" s="9"/>
      <x:c r="B624" s="10"/>
      <x:c r="C624" s="14"/>
      <x:c r="D624" s="9"/>
      <x:c r="E624" s="9"/>
      <x:c r="F624" s="9"/>
      <x:c r="G624" s="9" t="str">
        <x:f>IF(A624="","",INDEX('입고대장'!$M$7:$M$1006,MATCH(A624,'입고대장'!$A$7:$A$1006,0)))</x:f>
      </x:c>
      <x:c r="H624" s="9"/>
      <x:c r="I624" s="2"/>
      <x:c r="J624" s="2"/>
      <x:c r="K624" s="2"/>
      <x:c r="L624" s="2"/>
      <x:c r="M624" s="2"/>
      <x:c r="N624" s="2"/>
    </x:row>
    <x:row r="625" ht="23" customHeight="1">
      <x:c r="A625" s="9"/>
      <x:c r="B625" s="10"/>
      <x:c r="C625" s="14"/>
      <x:c r="D625" s="9"/>
      <x:c r="E625" s="9"/>
      <x:c r="F625" s="9"/>
      <x:c r="G625" s="9" t="str">
        <x:f>IF(A625="","",INDEX('입고대장'!$M$7:$M$1006,MATCH(A625,'입고대장'!$A$7:$A$1006,0)))</x:f>
      </x:c>
      <x:c r="H625" s="9"/>
      <x:c r="I625" s="2"/>
      <x:c r="J625" s="2"/>
      <x:c r="K625" s="2"/>
      <x:c r="L625" s="2"/>
      <x:c r="M625" s="2"/>
      <x:c r="N625" s="2"/>
    </x:row>
    <x:row r="626" ht="23" customHeight="1">
      <x:c r="A626" s="9"/>
      <x:c r="B626" s="10"/>
      <x:c r="C626" s="14"/>
      <x:c r="D626" s="9"/>
      <x:c r="E626" s="9"/>
      <x:c r="F626" s="9"/>
      <x:c r="G626" s="9" t="str">
        <x:f>IF(A626="","",INDEX('입고대장'!$M$7:$M$1006,MATCH(A626,'입고대장'!$A$7:$A$1006,0)))</x:f>
      </x:c>
      <x:c r="H626" s="9"/>
      <x:c r="I626" s="2"/>
      <x:c r="J626" s="2"/>
      <x:c r="K626" s="2"/>
      <x:c r="L626" s="2"/>
      <x:c r="M626" s="2"/>
      <x:c r="N626" s="2"/>
    </x:row>
    <x:row r="627" ht="23" customHeight="1">
      <x:c r="A627" s="9"/>
      <x:c r="B627" s="10"/>
      <x:c r="C627" s="14"/>
      <x:c r="D627" s="9"/>
      <x:c r="E627" s="9"/>
      <x:c r="F627" s="9"/>
      <x:c r="G627" s="9" t="str">
        <x:f>IF(A627="","",INDEX('입고대장'!$M$7:$M$1006,MATCH(A627,'입고대장'!$A$7:$A$1006,0)))</x:f>
      </x:c>
      <x:c r="H627" s="9"/>
      <x:c r="I627" s="2"/>
      <x:c r="J627" s="2"/>
      <x:c r="K627" s="2"/>
      <x:c r="L627" s="2"/>
      <x:c r="M627" s="2"/>
      <x:c r="N627" s="2"/>
    </x:row>
    <x:row r="628" ht="23" customHeight="1">
      <x:c r="A628" s="9"/>
      <x:c r="B628" s="10"/>
      <x:c r="C628" s="14"/>
      <x:c r="D628" s="9"/>
      <x:c r="E628" s="9"/>
      <x:c r="F628" s="9"/>
      <x:c r="G628" s="9" t="str">
        <x:f>IF(A628="","",INDEX('입고대장'!$M$7:$M$1006,MATCH(A628,'입고대장'!$A$7:$A$1006,0)))</x:f>
      </x:c>
      <x:c r="H628" s="9"/>
      <x:c r="I628" s="2"/>
      <x:c r="J628" s="2"/>
      <x:c r="K628" s="2"/>
      <x:c r="L628" s="2"/>
      <x:c r="M628" s="2"/>
      <x:c r="N628" s="2"/>
    </x:row>
    <x:row r="629" ht="23" customHeight="1">
      <x:c r="A629" s="9"/>
      <x:c r="B629" s="10"/>
      <x:c r="C629" s="14"/>
      <x:c r="D629" s="9"/>
      <x:c r="E629" s="9"/>
      <x:c r="F629" s="9"/>
      <x:c r="G629" s="9" t="str">
        <x:f>IF(A629="","",INDEX('입고대장'!$M$7:$M$1006,MATCH(A629,'입고대장'!$A$7:$A$1006,0)))</x:f>
      </x:c>
      <x:c r="H629" s="9"/>
      <x:c r="I629" s="2"/>
      <x:c r="J629" s="2"/>
      <x:c r="K629" s="2"/>
      <x:c r="L629" s="2"/>
      <x:c r="M629" s="2"/>
      <x:c r="N629" s="2"/>
    </x:row>
    <x:row r="630" ht="23" customHeight="1">
      <x:c r="A630" s="9"/>
      <x:c r="B630" s="10"/>
      <x:c r="C630" s="14"/>
      <x:c r="D630" s="9"/>
      <x:c r="E630" s="9"/>
      <x:c r="F630" s="9"/>
      <x:c r="G630" s="9" t="str">
        <x:f>IF(A630="","",INDEX('입고대장'!$M$7:$M$1006,MATCH(A630,'입고대장'!$A$7:$A$1006,0)))</x:f>
      </x:c>
      <x:c r="H630" s="9"/>
      <x:c r="I630" s="2"/>
      <x:c r="J630" s="2"/>
      <x:c r="K630" s="2"/>
      <x:c r="L630" s="2"/>
      <x:c r="M630" s="2"/>
      <x:c r="N630" s="2"/>
    </x:row>
    <x:row r="631" ht="23" customHeight="1">
      <x:c r="A631" s="9"/>
      <x:c r="B631" s="10"/>
      <x:c r="C631" s="14"/>
      <x:c r="D631" s="9"/>
      <x:c r="E631" s="9"/>
      <x:c r="F631" s="9"/>
      <x:c r="G631" s="9" t="str">
        <x:f>IF(A631="","",INDEX('입고대장'!$M$7:$M$1006,MATCH(A631,'입고대장'!$A$7:$A$1006,0)))</x:f>
      </x:c>
      <x:c r="H631" s="9"/>
      <x:c r="I631" s="2"/>
      <x:c r="J631" s="2"/>
      <x:c r="K631" s="2"/>
      <x:c r="L631" s="2"/>
      <x:c r="M631" s="2"/>
      <x:c r="N631" s="2"/>
    </x:row>
    <x:row r="632" ht="23" customHeight="1">
      <x:c r="A632" s="9"/>
      <x:c r="B632" s="10"/>
      <x:c r="C632" s="14"/>
      <x:c r="D632" s="9"/>
      <x:c r="E632" s="9"/>
      <x:c r="F632" s="9"/>
      <x:c r="G632" s="9" t="str">
        <x:f>IF(A632="","",INDEX('입고대장'!$M$7:$M$1006,MATCH(A632,'입고대장'!$A$7:$A$1006,0)))</x:f>
      </x:c>
      <x:c r="H632" s="9"/>
      <x:c r="I632" s="2"/>
      <x:c r="J632" s="2"/>
      <x:c r="K632" s="2"/>
      <x:c r="L632" s="2"/>
      <x:c r="M632" s="2"/>
      <x:c r="N632" s="2"/>
    </x:row>
    <x:row r="633" ht="23" customHeight="1">
      <x:c r="A633" s="9"/>
      <x:c r="B633" s="10"/>
      <x:c r="C633" s="14"/>
      <x:c r="D633" s="9"/>
      <x:c r="E633" s="9"/>
      <x:c r="F633" s="9"/>
      <x:c r="G633" s="9" t="str">
        <x:f>IF(A633="","",INDEX('입고대장'!$M$7:$M$1006,MATCH(A633,'입고대장'!$A$7:$A$1006,0)))</x:f>
      </x:c>
      <x:c r="H633" s="9"/>
      <x:c r="I633" s="2"/>
      <x:c r="J633" s="2"/>
      <x:c r="K633" s="2"/>
      <x:c r="L633" s="2"/>
      <x:c r="M633" s="2"/>
      <x:c r="N633" s="2"/>
    </x:row>
    <x:row r="634" ht="23" customHeight="1">
      <x:c r="A634" s="9"/>
      <x:c r="B634" s="10"/>
      <x:c r="C634" s="14"/>
      <x:c r="D634" s="9"/>
      <x:c r="E634" s="9"/>
      <x:c r="F634" s="9"/>
      <x:c r="G634" s="9" t="str">
        <x:f>IF(A634="","",INDEX('입고대장'!$M$7:$M$1006,MATCH(A634,'입고대장'!$A$7:$A$1006,0)))</x:f>
      </x:c>
      <x:c r="H634" s="9"/>
      <x:c r="I634" s="2"/>
      <x:c r="J634" s="2"/>
      <x:c r="K634" s="2"/>
      <x:c r="L634" s="2"/>
      <x:c r="M634" s="2"/>
      <x:c r="N634" s="2"/>
    </x:row>
    <x:row r="635" ht="23" customHeight="1">
      <x:c r="A635" s="9"/>
      <x:c r="B635" s="10"/>
      <x:c r="C635" s="14"/>
      <x:c r="D635" s="9"/>
      <x:c r="E635" s="9"/>
      <x:c r="F635" s="9"/>
      <x:c r="G635" s="9" t="str">
        <x:f>IF(A635="","",INDEX('입고대장'!$M$7:$M$1006,MATCH(A635,'입고대장'!$A$7:$A$1006,0)))</x:f>
      </x:c>
      <x:c r="H635" s="9"/>
      <x:c r="I635" s="2"/>
      <x:c r="J635" s="2"/>
      <x:c r="K635" s="2"/>
      <x:c r="L635" s="2"/>
      <x:c r="M635" s="2"/>
      <x:c r="N635" s="2"/>
    </x:row>
    <x:row r="636" ht="23" customHeight="1">
      <x:c r="A636" s="9"/>
      <x:c r="B636" s="10"/>
      <x:c r="C636" s="14"/>
      <x:c r="D636" s="9"/>
      <x:c r="E636" s="9"/>
      <x:c r="F636" s="9"/>
      <x:c r="G636" s="9" t="str">
        <x:f>IF(A636="","",INDEX('입고대장'!$M$7:$M$1006,MATCH(A636,'입고대장'!$A$7:$A$1006,0)))</x:f>
      </x:c>
      <x:c r="H636" s="9"/>
      <x:c r="I636" s="2"/>
      <x:c r="J636" s="2"/>
      <x:c r="K636" s="2"/>
      <x:c r="L636" s="2"/>
      <x:c r="M636" s="2"/>
      <x:c r="N636" s="2"/>
    </x:row>
    <x:row r="637" ht="23" customHeight="1">
      <x:c r="A637" s="9"/>
      <x:c r="B637" s="10"/>
      <x:c r="C637" s="14"/>
      <x:c r="D637" s="9"/>
      <x:c r="E637" s="9"/>
      <x:c r="F637" s="9"/>
      <x:c r="G637" s="9" t="str">
        <x:f>IF(A637="","",INDEX('입고대장'!$M$7:$M$1006,MATCH(A637,'입고대장'!$A$7:$A$1006,0)))</x:f>
      </x:c>
      <x:c r="H637" s="9"/>
      <x:c r="I637" s="2"/>
      <x:c r="J637" s="2"/>
      <x:c r="K637" s="2"/>
      <x:c r="L637" s="2"/>
      <x:c r="M637" s="2"/>
      <x:c r="N637" s="2"/>
    </x:row>
    <x:row r="638" ht="23" customHeight="1">
      <x:c r="A638" s="9"/>
      <x:c r="B638" s="10"/>
      <x:c r="C638" s="14"/>
      <x:c r="D638" s="9"/>
      <x:c r="E638" s="9"/>
      <x:c r="F638" s="9"/>
      <x:c r="G638" s="9" t="str">
        <x:f>IF(A638="","",INDEX('입고대장'!$M$7:$M$1006,MATCH(A638,'입고대장'!$A$7:$A$1006,0)))</x:f>
      </x:c>
      <x:c r="H638" s="9"/>
      <x:c r="I638" s="2"/>
      <x:c r="J638" s="2"/>
      <x:c r="K638" s="2"/>
      <x:c r="L638" s="2"/>
      <x:c r="M638" s="2"/>
      <x:c r="N638" s="2"/>
    </x:row>
    <x:row r="639" ht="23" customHeight="1">
      <x:c r="A639" s="9"/>
      <x:c r="B639" s="10"/>
      <x:c r="C639" s="14"/>
      <x:c r="D639" s="9"/>
      <x:c r="E639" s="9"/>
      <x:c r="F639" s="9"/>
      <x:c r="G639" s="9" t="str">
        <x:f>IF(A639="","",INDEX('입고대장'!$M$7:$M$1006,MATCH(A639,'입고대장'!$A$7:$A$1006,0)))</x:f>
      </x:c>
      <x:c r="H639" s="9"/>
      <x:c r="I639" s="2"/>
      <x:c r="J639" s="2"/>
      <x:c r="K639" s="2"/>
      <x:c r="L639" s="2"/>
      <x:c r="M639" s="2"/>
      <x:c r="N639" s="2"/>
    </x:row>
    <x:row r="640" ht="23" customHeight="1">
      <x:c r="A640" s="9"/>
      <x:c r="B640" s="10"/>
      <x:c r="C640" s="14"/>
      <x:c r="D640" s="9"/>
      <x:c r="E640" s="9"/>
      <x:c r="F640" s="9"/>
      <x:c r="G640" s="9" t="str">
        <x:f>IF(A640="","",INDEX('입고대장'!$M$7:$M$1006,MATCH(A640,'입고대장'!$A$7:$A$1006,0)))</x:f>
      </x:c>
      <x:c r="H640" s="9"/>
      <x:c r="I640" s="2"/>
      <x:c r="J640" s="2"/>
      <x:c r="K640" s="2"/>
      <x:c r="L640" s="2"/>
      <x:c r="M640" s="2"/>
      <x:c r="N640" s="2"/>
    </x:row>
    <x:row r="641" ht="23" customHeight="1">
      <x:c r="A641" s="9"/>
      <x:c r="B641" s="10"/>
      <x:c r="C641" s="14"/>
      <x:c r="D641" s="9"/>
      <x:c r="E641" s="9"/>
      <x:c r="F641" s="9"/>
      <x:c r="G641" s="9" t="str">
        <x:f>IF(A641="","",INDEX('입고대장'!$M$7:$M$1006,MATCH(A641,'입고대장'!$A$7:$A$1006,0)))</x:f>
      </x:c>
      <x:c r="H641" s="9"/>
      <x:c r="I641" s="2"/>
      <x:c r="J641" s="2"/>
      <x:c r="K641" s="2"/>
      <x:c r="L641" s="2"/>
      <x:c r="M641" s="2"/>
      <x:c r="N641" s="2"/>
    </x:row>
    <x:row r="642" ht="23" customHeight="1">
      <x:c r="A642" s="9"/>
      <x:c r="B642" s="10"/>
      <x:c r="C642" s="14"/>
      <x:c r="D642" s="9"/>
      <x:c r="E642" s="9"/>
      <x:c r="F642" s="9"/>
      <x:c r="G642" s="9" t="str">
        <x:f>IF(A642="","",INDEX('입고대장'!$M$7:$M$1006,MATCH(A642,'입고대장'!$A$7:$A$1006,0)))</x:f>
      </x:c>
      <x:c r="H642" s="9"/>
      <x:c r="I642" s="2"/>
      <x:c r="J642" s="2"/>
      <x:c r="K642" s="2"/>
      <x:c r="L642" s="2"/>
      <x:c r="M642" s="2"/>
      <x:c r="N642" s="2"/>
    </x:row>
    <x:row r="643" ht="23" customHeight="1">
      <x:c r="A643" s="9"/>
      <x:c r="B643" s="10"/>
      <x:c r="C643" s="14"/>
      <x:c r="D643" s="9"/>
      <x:c r="E643" s="9"/>
      <x:c r="F643" s="9"/>
      <x:c r="G643" s="9" t="str">
        <x:f>IF(A643="","",INDEX('입고대장'!$M$7:$M$1006,MATCH(A643,'입고대장'!$A$7:$A$1006,0)))</x:f>
      </x:c>
      <x:c r="H643" s="9"/>
      <x:c r="I643" s="2"/>
      <x:c r="J643" s="2"/>
      <x:c r="K643" s="2"/>
      <x:c r="L643" s="2"/>
      <x:c r="M643" s="2"/>
      <x:c r="N643" s="2"/>
    </x:row>
    <x:row r="644" ht="23" customHeight="1">
      <x:c r="A644" s="9"/>
      <x:c r="B644" s="10"/>
      <x:c r="C644" s="14"/>
      <x:c r="D644" s="9"/>
      <x:c r="E644" s="9"/>
      <x:c r="F644" s="9"/>
      <x:c r="G644" s="9" t="str">
        <x:f>IF(A644="","",INDEX('입고대장'!$M$7:$M$1006,MATCH(A644,'입고대장'!$A$7:$A$1006,0)))</x:f>
      </x:c>
      <x:c r="H644" s="9"/>
      <x:c r="I644" s="2"/>
      <x:c r="J644" s="2"/>
      <x:c r="K644" s="2"/>
      <x:c r="L644" s="2"/>
      <x:c r="M644" s="2"/>
      <x:c r="N644" s="2"/>
    </x:row>
    <x:row r="645" ht="23" customHeight="1">
      <x:c r="A645" s="9"/>
      <x:c r="B645" s="10"/>
      <x:c r="C645" s="14"/>
      <x:c r="D645" s="9"/>
      <x:c r="E645" s="9"/>
      <x:c r="F645" s="9"/>
      <x:c r="G645" s="9" t="str">
        <x:f>IF(A645="","",INDEX('입고대장'!$M$7:$M$1006,MATCH(A645,'입고대장'!$A$7:$A$1006,0)))</x:f>
      </x:c>
      <x:c r="H645" s="9"/>
      <x:c r="I645" s="2"/>
      <x:c r="J645" s="2"/>
      <x:c r="K645" s="2"/>
      <x:c r="L645" s="2"/>
      <x:c r="M645" s="2"/>
      <x:c r="N645" s="2"/>
    </x:row>
    <x:row r="646" ht="23" customHeight="1">
      <x:c r="A646" s="9"/>
      <x:c r="B646" s="10"/>
      <x:c r="C646" s="14"/>
      <x:c r="D646" s="9"/>
      <x:c r="E646" s="9"/>
      <x:c r="F646" s="9"/>
      <x:c r="G646" s="9" t="str">
        <x:f>IF(A646="","",INDEX('입고대장'!$M$7:$M$1006,MATCH(A646,'입고대장'!$A$7:$A$1006,0)))</x:f>
      </x:c>
      <x:c r="H646" s="9"/>
      <x:c r="I646" s="2"/>
      <x:c r="J646" s="2"/>
      <x:c r="K646" s="2"/>
      <x:c r="L646" s="2"/>
      <x:c r="M646" s="2"/>
      <x:c r="N646" s="2"/>
    </x:row>
    <x:row r="647" ht="23" customHeight="1">
      <x:c r="A647" s="9"/>
      <x:c r="B647" s="10"/>
      <x:c r="C647" s="14"/>
      <x:c r="D647" s="9"/>
      <x:c r="E647" s="9"/>
      <x:c r="F647" s="9"/>
      <x:c r="G647" s="9" t="str">
        <x:f>IF(A647="","",INDEX('입고대장'!$M$7:$M$1006,MATCH(A647,'입고대장'!$A$7:$A$1006,0)))</x:f>
      </x:c>
      <x:c r="H647" s="9"/>
      <x:c r="I647" s="2"/>
      <x:c r="J647" s="2"/>
      <x:c r="K647" s="2"/>
      <x:c r="L647" s="2"/>
      <x:c r="M647" s="2"/>
      <x:c r="N647" s="2"/>
    </x:row>
    <x:row r="648" ht="23" customHeight="1">
      <x:c r="A648" s="9"/>
      <x:c r="B648" s="10"/>
      <x:c r="C648" s="14"/>
      <x:c r="D648" s="9"/>
      <x:c r="E648" s="9"/>
      <x:c r="F648" s="9"/>
      <x:c r="G648" s="9" t="str">
        <x:f>IF(A648="","",INDEX('입고대장'!$M$7:$M$1006,MATCH(A648,'입고대장'!$A$7:$A$1006,0)))</x:f>
      </x:c>
      <x:c r="H648" s="9"/>
      <x:c r="I648" s="2"/>
      <x:c r="J648" s="2"/>
      <x:c r="K648" s="2"/>
      <x:c r="L648" s="2"/>
      <x:c r="M648" s="2"/>
      <x:c r="N648" s="2"/>
    </x:row>
    <x:row r="649" ht="23" customHeight="1">
      <x:c r="A649" s="9"/>
      <x:c r="B649" s="10"/>
      <x:c r="C649" s="14"/>
      <x:c r="D649" s="9"/>
      <x:c r="E649" s="9"/>
      <x:c r="F649" s="9"/>
      <x:c r="G649" s="9" t="str">
        <x:f>IF(A649="","",INDEX('입고대장'!$M$7:$M$1006,MATCH(A649,'입고대장'!$A$7:$A$1006,0)))</x:f>
      </x:c>
      <x:c r="H649" s="9"/>
      <x:c r="I649" s="2"/>
      <x:c r="J649" s="2"/>
      <x:c r="K649" s="2"/>
      <x:c r="L649" s="2"/>
      <x:c r="M649" s="2"/>
      <x:c r="N649" s="2"/>
    </x:row>
    <x:row r="650" ht="23" customHeight="1">
      <x:c r="A650" s="9"/>
      <x:c r="B650" s="10"/>
      <x:c r="C650" s="14"/>
      <x:c r="D650" s="9"/>
      <x:c r="E650" s="9"/>
      <x:c r="F650" s="9"/>
      <x:c r="G650" s="9" t="str">
        <x:f>IF(A650="","",INDEX('입고대장'!$M$7:$M$1006,MATCH(A650,'입고대장'!$A$7:$A$1006,0)))</x:f>
      </x:c>
      <x:c r="H650" s="9"/>
      <x:c r="I650" s="2"/>
      <x:c r="J650" s="2"/>
      <x:c r="K650" s="2"/>
      <x:c r="L650" s="2"/>
      <x:c r="M650" s="2"/>
      <x:c r="N650" s="2"/>
    </x:row>
    <x:row r="651" ht="23" customHeight="1">
      <x:c r="A651" s="9"/>
      <x:c r="B651" s="10"/>
      <x:c r="C651" s="14"/>
      <x:c r="D651" s="9"/>
      <x:c r="E651" s="9"/>
      <x:c r="F651" s="9"/>
      <x:c r="G651" s="9" t="str">
        <x:f>IF(A651="","",INDEX('입고대장'!$M$7:$M$1006,MATCH(A651,'입고대장'!$A$7:$A$1006,0)))</x:f>
      </x:c>
      <x:c r="H651" s="9"/>
      <x:c r="I651" s="2"/>
      <x:c r="J651" s="2"/>
      <x:c r="K651" s="2"/>
      <x:c r="L651" s="2"/>
      <x:c r="M651" s="2"/>
      <x:c r="N651" s="2"/>
    </x:row>
    <x:row r="652" ht="23" customHeight="1">
      <x:c r="A652" s="9"/>
      <x:c r="B652" s="10"/>
      <x:c r="C652" s="14"/>
      <x:c r="D652" s="9"/>
      <x:c r="E652" s="9"/>
      <x:c r="F652" s="9"/>
      <x:c r="G652" s="9" t="str">
        <x:f>IF(A652="","",INDEX('입고대장'!$M$7:$M$1006,MATCH(A652,'입고대장'!$A$7:$A$1006,0)))</x:f>
      </x:c>
      <x:c r="H652" s="9"/>
      <x:c r="I652" s="2"/>
      <x:c r="J652" s="2"/>
      <x:c r="K652" s="2"/>
      <x:c r="L652" s="2"/>
      <x:c r="M652" s="2"/>
      <x:c r="N652" s="2"/>
    </x:row>
    <x:row r="653" ht="23" customHeight="1">
      <x:c r="A653" s="9"/>
      <x:c r="B653" s="10"/>
      <x:c r="C653" s="14"/>
      <x:c r="D653" s="9"/>
      <x:c r="E653" s="9"/>
      <x:c r="F653" s="9"/>
      <x:c r="G653" s="9" t="str">
        <x:f>IF(A653="","",INDEX('입고대장'!$M$7:$M$1006,MATCH(A653,'입고대장'!$A$7:$A$1006,0)))</x:f>
      </x:c>
      <x:c r="H653" s="9"/>
      <x:c r="I653" s="2"/>
      <x:c r="J653" s="2"/>
      <x:c r="K653" s="2"/>
      <x:c r="L653" s="2"/>
      <x:c r="M653" s="2"/>
      <x:c r="N653" s="2"/>
    </x:row>
    <x:row r="654" ht="23" customHeight="1">
      <x:c r="A654" s="9"/>
      <x:c r="B654" s="10"/>
      <x:c r="C654" s="14"/>
      <x:c r="D654" s="9"/>
      <x:c r="E654" s="9"/>
      <x:c r="F654" s="9"/>
      <x:c r="G654" s="9" t="str">
        <x:f>IF(A654="","",INDEX('입고대장'!$M$7:$M$1006,MATCH(A654,'입고대장'!$A$7:$A$1006,0)))</x:f>
      </x:c>
      <x:c r="H654" s="9"/>
      <x:c r="I654" s="2"/>
      <x:c r="J654" s="2"/>
      <x:c r="K654" s="2"/>
      <x:c r="L654" s="2"/>
      <x:c r="M654" s="2"/>
      <x:c r="N654" s="2"/>
    </x:row>
    <x:row r="655" ht="23" customHeight="1">
      <x:c r="A655" s="9"/>
      <x:c r="B655" s="10"/>
      <x:c r="C655" s="14"/>
      <x:c r="D655" s="9"/>
      <x:c r="E655" s="9"/>
      <x:c r="F655" s="9"/>
      <x:c r="G655" s="9" t="str">
        <x:f>IF(A655="","",INDEX('입고대장'!$M$7:$M$1006,MATCH(A655,'입고대장'!$A$7:$A$1006,0)))</x:f>
      </x:c>
      <x:c r="H655" s="9"/>
      <x:c r="I655" s="2"/>
      <x:c r="J655" s="2"/>
      <x:c r="K655" s="2"/>
      <x:c r="L655" s="2"/>
      <x:c r="M655" s="2"/>
      <x:c r="N655" s="2"/>
    </x:row>
    <x:row r="656" ht="23" customHeight="1">
      <x:c r="A656" s="9"/>
      <x:c r="B656" s="10"/>
      <x:c r="C656" s="14"/>
      <x:c r="D656" s="9"/>
      <x:c r="E656" s="9"/>
      <x:c r="F656" s="9"/>
      <x:c r="G656" s="9" t="str">
        <x:f>IF(A656="","",INDEX('입고대장'!$M$7:$M$1006,MATCH(A656,'입고대장'!$A$7:$A$1006,0)))</x:f>
      </x:c>
      <x:c r="H656" s="9"/>
      <x:c r="I656" s="2"/>
      <x:c r="J656" s="2"/>
      <x:c r="K656" s="2"/>
      <x:c r="L656" s="2"/>
      <x:c r="M656" s="2"/>
      <x:c r="N656" s="2"/>
    </x:row>
    <x:row r="657" ht="23" customHeight="1">
      <x:c r="A657" s="9"/>
      <x:c r="B657" s="10"/>
      <x:c r="C657" s="14"/>
      <x:c r="D657" s="9"/>
      <x:c r="E657" s="9"/>
      <x:c r="F657" s="9"/>
      <x:c r="G657" s="9" t="str">
        <x:f>IF(A657="","",INDEX('입고대장'!$M$7:$M$1006,MATCH(A657,'입고대장'!$A$7:$A$1006,0)))</x:f>
      </x:c>
      <x:c r="H657" s="9"/>
      <x:c r="I657" s="2"/>
      <x:c r="J657" s="2"/>
      <x:c r="K657" s="2"/>
      <x:c r="L657" s="2"/>
      <x:c r="M657" s="2"/>
      <x:c r="N657" s="2"/>
    </x:row>
    <x:row r="658" ht="23" customHeight="1">
      <x:c r="A658" s="9"/>
      <x:c r="B658" s="10"/>
      <x:c r="C658" s="14"/>
      <x:c r="D658" s="9"/>
      <x:c r="E658" s="9"/>
      <x:c r="F658" s="9"/>
      <x:c r="G658" s="9" t="str">
        <x:f>IF(A658="","",INDEX('입고대장'!$M$7:$M$1006,MATCH(A658,'입고대장'!$A$7:$A$1006,0)))</x:f>
      </x:c>
      <x:c r="H658" s="9"/>
      <x:c r="I658" s="2"/>
      <x:c r="J658" s="2"/>
      <x:c r="K658" s="2"/>
      <x:c r="L658" s="2"/>
      <x:c r="M658" s="2"/>
      <x:c r="N658" s="2"/>
    </x:row>
    <x:row r="659" ht="23" customHeight="1">
      <x:c r="A659" s="9"/>
      <x:c r="B659" s="10"/>
      <x:c r="C659" s="14"/>
      <x:c r="D659" s="9"/>
      <x:c r="E659" s="9"/>
      <x:c r="F659" s="9"/>
      <x:c r="G659" s="9" t="str">
        <x:f>IF(A659="","",INDEX('입고대장'!$M$7:$M$1006,MATCH(A659,'입고대장'!$A$7:$A$1006,0)))</x:f>
      </x:c>
      <x:c r="H659" s="9"/>
      <x:c r="I659" s="2"/>
      <x:c r="J659" s="2"/>
      <x:c r="K659" s="2"/>
      <x:c r="L659" s="2"/>
      <x:c r="M659" s="2"/>
      <x:c r="N659" s="2"/>
    </x:row>
    <x:row r="660" ht="23" customHeight="1">
      <x:c r="A660" s="9"/>
      <x:c r="B660" s="10"/>
      <x:c r="C660" s="14"/>
      <x:c r="D660" s="9"/>
      <x:c r="E660" s="9"/>
      <x:c r="F660" s="9"/>
      <x:c r="G660" s="9" t="str">
        <x:f>IF(A660="","",INDEX('입고대장'!$M$7:$M$1006,MATCH(A660,'입고대장'!$A$7:$A$1006,0)))</x:f>
      </x:c>
      <x:c r="H660" s="9"/>
      <x:c r="I660" s="2"/>
      <x:c r="J660" s="2"/>
      <x:c r="K660" s="2"/>
      <x:c r="L660" s="2"/>
      <x:c r="M660" s="2"/>
      <x:c r="N660" s="2"/>
    </x:row>
    <x:row r="661" ht="23" customHeight="1">
      <x:c r="A661" s="9"/>
      <x:c r="B661" s="10"/>
      <x:c r="C661" s="14"/>
      <x:c r="D661" s="9"/>
      <x:c r="E661" s="9"/>
      <x:c r="F661" s="9"/>
      <x:c r="G661" s="9" t="str">
        <x:f>IF(A661="","",INDEX('입고대장'!$M$7:$M$1006,MATCH(A661,'입고대장'!$A$7:$A$1006,0)))</x:f>
      </x:c>
      <x:c r="H661" s="9"/>
      <x:c r="I661" s="2"/>
      <x:c r="J661" s="2"/>
      <x:c r="K661" s="2"/>
      <x:c r="L661" s="2"/>
      <x:c r="M661" s="2"/>
      <x:c r="N661" s="2"/>
    </x:row>
    <x:row r="662" ht="23" customHeight="1">
      <x:c r="A662" s="9"/>
      <x:c r="B662" s="10"/>
      <x:c r="C662" s="14"/>
      <x:c r="D662" s="9"/>
      <x:c r="E662" s="9"/>
      <x:c r="F662" s="9"/>
      <x:c r="G662" s="9" t="str">
        <x:f>IF(A662="","",INDEX('입고대장'!$M$7:$M$1006,MATCH(A662,'입고대장'!$A$7:$A$1006,0)))</x:f>
      </x:c>
      <x:c r="H662" s="9"/>
      <x:c r="I662" s="2"/>
      <x:c r="J662" s="2"/>
      <x:c r="K662" s="2"/>
      <x:c r="L662" s="2"/>
      <x:c r="M662" s="2"/>
      <x:c r="N662" s="2"/>
    </x:row>
    <x:row r="663" ht="23" customHeight="1">
      <x:c r="A663" s="9"/>
      <x:c r="B663" s="10"/>
      <x:c r="C663" s="14"/>
      <x:c r="D663" s="9"/>
      <x:c r="E663" s="9"/>
      <x:c r="F663" s="9"/>
      <x:c r="G663" s="9" t="str">
        <x:f>IF(A663="","",INDEX('입고대장'!$M$7:$M$1006,MATCH(A663,'입고대장'!$A$7:$A$1006,0)))</x:f>
      </x:c>
      <x:c r="H663" s="9"/>
      <x:c r="I663" s="2"/>
      <x:c r="J663" s="2"/>
      <x:c r="K663" s="2"/>
      <x:c r="L663" s="2"/>
      <x:c r="M663" s="2"/>
      <x:c r="N663" s="2"/>
    </x:row>
    <x:row r="664" ht="23" customHeight="1">
      <x:c r="A664" s="9"/>
      <x:c r="B664" s="10"/>
      <x:c r="C664" s="14"/>
      <x:c r="D664" s="9"/>
      <x:c r="E664" s="9"/>
      <x:c r="F664" s="9"/>
      <x:c r="G664" s="9" t="str">
        <x:f>IF(A664="","",INDEX('입고대장'!$M$7:$M$1006,MATCH(A664,'입고대장'!$A$7:$A$1006,0)))</x:f>
      </x:c>
      <x:c r="H664" s="9"/>
      <x:c r="I664" s="2"/>
      <x:c r="J664" s="2"/>
      <x:c r="K664" s="2"/>
      <x:c r="L664" s="2"/>
      <x:c r="M664" s="2"/>
      <x:c r="N664" s="2"/>
    </x:row>
    <x:row r="665" ht="23" customHeight="1">
      <x:c r="A665" s="9"/>
      <x:c r="B665" s="10"/>
      <x:c r="C665" s="14"/>
      <x:c r="D665" s="9"/>
      <x:c r="E665" s="9"/>
      <x:c r="F665" s="9"/>
      <x:c r="G665" s="9" t="str">
        <x:f>IF(A665="","",INDEX('입고대장'!$M$7:$M$1006,MATCH(A665,'입고대장'!$A$7:$A$1006,0)))</x:f>
      </x:c>
      <x:c r="H665" s="9"/>
      <x:c r="I665" s="2"/>
      <x:c r="J665" s="2"/>
      <x:c r="K665" s="2"/>
      <x:c r="L665" s="2"/>
      <x:c r="M665" s="2"/>
      <x:c r="N665" s="2"/>
    </x:row>
    <x:row r="666" ht="23" customHeight="1">
      <x:c r="A666" s="9"/>
      <x:c r="B666" s="10"/>
      <x:c r="C666" s="14"/>
      <x:c r="D666" s="9"/>
      <x:c r="E666" s="9"/>
      <x:c r="F666" s="9"/>
      <x:c r="G666" s="9" t="str">
        <x:f>IF(A666="","",INDEX('입고대장'!$M$7:$M$1006,MATCH(A666,'입고대장'!$A$7:$A$1006,0)))</x:f>
      </x:c>
      <x:c r="H666" s="9"/>
      <x:c r="I666" s="2"/>
      <x:c r="J666" s="2"/>
      <x:c r="K666" s="2"/>
      <x:c r="L666" s="2"/>
      <x:c r="M666" s="2"/>
      <x:c r="N666" s="2"/>
    </x:row>
    <x:row r="667" ht="23" customHeight="1">
      <x:c r="A667" s="9"/>
      <x:c r="B667" s="10"/>
      <x:c r="C667" s="14"/>
      <x:c r="D667" s="9"/>
      <x:c r="E667" s="9"/>
      <x:c r="F667" s="9"/>
      <x:c r="G667" s="9" t="str">
        <x:f>IF(A667="","",INDEX('입고대장'!$M$7:$M$1006,MATCH(A667,'입고대장'!$A$7:$A$1006,0)))</x:f>
      </x:c>
      <x:c r="H667" s="9"/>
      <x:c r="I667" s="2"/>
      <x:c r="J667" s="2"/>
      <x:c r="K667" s="2"/>
      <x:c r="L667" s="2"/>
      <x:c r="M667" s="2"/>
      <x:c r="N667" s="2"/>
    </x:row>
    <x:row r="668" ht="23" customHeight="1">
      <x:c r="A668" s="9"/>
      <x:c r="B668" s="10"/>
      <x:c r="C668" s="14"/>
      <x:c r="D668" s="9"/>
      <x:c r="E668" s="9"/>
      <x:c r="F668" s="9"/>
      <x:c r="G668" s="9" t="str">
        <x:f>IF(A668="","",INDEX('입고대장'!$M$7:$M$1006,MATCH(A668,'입고대장'!$A$7:$A$1006,0)))</x:f>
      </x:c>
      <x:c r="H668" s="9"/>
      <x:c r="I668" s="2"/>
      <x:c r="J668" s="2"/>
      <x:c r="K668" s="2"/>
      <x:c r="L668" s="2"/>
      <x:c r="M668" s="2"/>
      <x:c r="N668" s="2"/>
    </x:row>
    <x:row r="669" ht="23" customHeight="1">
      <x:c r="A669" s="9"/>
      <x:c r="B669" s="10"/>
      <x:c r="C669" s="14"/>
      <x:c r="D669" s="9"/>
      <x:c r="E669" s="9"/>
      <x:c r="F669" s="9"/>
      <x:c r="G669" s="9" t="str">
        <x:f>IF(A669="","",INDEX('입고대장'!$M$7:$M$1006,MATCH(A669,'입고대장'!$A$7:$A$1006,0)))</x:f>
      </x:c>
      <x:c r="H669" s="9"/>
      <x:c r="I669" s="2"/>
      <x:c r="J669" s="2"/>
      <x:c r="K669" s="2"/>
      <x:c r="L669" s="2"/>
      <x:c r="M669" s="2"/>
      <x:c r="N669" s="2"/>
    </x:row>
    <x:row r="670" ht="23" customHeight="1">
      <x:c r="A670" s="9"/>
      <x:c r="B670" s="10"/>
      <x:c r="C670" s="14"/>
      <x:c r="D670" s="9"/>
      <x:c r="E670" s="9"/>
      <x:c r="F670" s="9"/>
      <x:c r="G670" s="9" t="str">
        <x:f>IF(A670="","",INDEX('입고대장'!$M$7:$M$1006,MATCH(A670,'입고대장'!$A$7:$A$1006,0)))</x:f>
      </x:c>
      <x:c r="H670" s="9"/>
      <x:c r="I670" s="2"/>
      <x:c r="J670" s="2"/>
      <x:c r="K670" s="2"/>
      <x:c r="L670" s="2"/>
      <x:c r="M670" s="2"/>
      <x:c r="N670" s="2"/>
    </x:row>
    <x:row r="671" ht="23" customHeight="1">
      <x:c r="A671" s="9"/>
      <x:c r="B671" s="10"/>
      <x:c r="C671" s="14"/>
      <x:c r="D671" s="9"/>
      <x:c r="E671" s="9"/>
      <x:c r="F671" s="9"/>
      <x:c r="G671" s="9" t="str">
        <x:f>IF(A671="","",INDEX('입고대장'!$M$7:$M$1006,MATCH(A671,'입고대장'!$A$7:$A$1006,0)))</x:f>
      </x:c>
      <x:c r="H671" s="9"/>
      <x:c r="I671" s="2"/>
      <x:c r="J671" s="2"/>
      <x:c r="K671" s="2"/>
      <x:c r="L671" s="2"/>
      <x:c r="M671" s="2"/>
      <x:c r="N671" s="2"/>
    </x:row>
    <x:row r="672" ht="23" customHeight="1">
      <x:c r="A672" s="9"/>
      <x:c r="B672" s="10"/>
      <x:c r="C672" s="14"/>
      <x:c r="D672" s="9"/>
      <x:c r="E672" s="9"/>
      <x:c r="F672" s="9"/>
      <x:c r="G672" s="9" t="str">
        <x:f>IF(A672="","",INDEX('입고대장'!$M$7:$M$1006,MATCH(A672,'입고대장'!$A$7:$A$1006,0)))</x:f>
      </x:c>
      <x:c r="H672" s="9"/>
      <x:c r="I672" s="2"/>
      <x:c r="J672" s="2"/>
      <x:c r="K672" s="2"/>
      <x:c r="L672" s="2"/>
      <x:c r="M672" s="2"/>
      <x:c r="N672" s="2"/>
    </x:row>
    <x:row r="673" ht="23" customHeight="1">
      <x:c r="A673" s="9"/>
      <x:c r="B673" s="10"/>
      <x:c r="C673" s="14"/>
      <x:c r="D673" s="9"/>
      <x:c r="E673" s="9"/>
      <x:c r="F673" s="9"/>
      <x:c r="G673" s="9" t="str">
        <x:f>IF(A673="","",INDEX('입고대장'!$M$7:$M$1006,MATCH(A673,'입고대장'!$A$7:$A$1006,0)))</x:f>
      </x:c>
      <x:c r="H673" s="9"/>
      <x:c r="I673" s="2"/>
      <x:c r="J673" s="2"/>
      <x:c r="K673" s="2"/>
      <x:c r="L673" s="2"/>
      <x:c r="M673" s="2"/>
      <x:c r="N673" s="2"/>
    </x:row>
    <x:row r="674" ht="23" customHeight="1">
      <x:c r="A674" s="9"/>
      <x:c r="B674" s="10"/>
      <x:c r="C674" s="14"/>
      <x:c r="D674" s="9"/>
      <x:c r="E674" s="9"/>
      <x:c r="F674" s="9"/>
      <x:c r="G674" s="9" t="str">
        <x:f>IF(A674="","",INDEX('입고대장'!$M$7:$M$1006,MATCH(A674,'입고대장'!$A$7:$A$1006,0)))</x:f>
      </x:c>
      <x:c r="H674" s="9"/>
      <x:c r="I674" s="2"/>
      <x:c r="J674" s="2"/>
      <x:c r="K674" s="2"/>
      <x:c r="L674" s="2"/>
      <x:c r="M674" s="2"/>
      <x:c r="N674" s="2"/>
    </x:row>
    <x:row r="675" ht="23" customHeight="1">
      <x:c r="A675" s="9"/>
      <x:c r="B675" s="10"/>
      <x:c r="C675" s="14"/>
      <x:c r="D675" s="9"/>
      <x:c r="E675" s="9"/>
      <x:c r="F675" s="9"/>
      <x:c r="G675" s="9" t="str">
        <x:f>IF(A675="","",INDEX('입고대장'!$M$7:$M$1006,MATCH(A675,'입고대장'!$A$7:$A$1006,0)))</x:f>
      </x:c>
      <x:c r="H675" s="9"/>
      <x:c r="I675" s="2"/>
      <x:c r="J675" s="2"/>
      <x:c r="K675" s="2"/>
      <x:c r="L675" s="2"/>
      <x:c r="M675" s="2"/>
      <x:c r="N675" s="2"/>
    </x:row>
    <x:row r="676" ht="23" customHeight="1">
      <x:c r="A676" s="9"/>
      <x:c r="B676" s="10"/>
      <x:c r="C676" s="14"/>
      <x:c r="D676" s="9"/>
      <x:c r="E676" s="9"/>
      <x:c r="F676" s="9"/>
      <x:c r="G676" s="9" t="str">
        <x:f>IF(A676="","",INDEX('입고대장'!$M$7:$M$1006,MATCH(A676,'입고대장'!$A$7:$A$1006,0)))</x:f>
      </x:c>
      <x:c r="H676" s="9"/>
      <x:c r="I676" s="2"/>
      <x:c r="J676" s="2"/>
      <x:c r="K676" s="2"/>
      <x:c r="L676" s="2"/>
      <x:c r="M676" s="2"/>
      <x:c r="N676" s="2"/>
    </x:row>
    <x:row r="677" ht="23" customHeight="1">
      <x:c r="A677" s="9"/>
      <x:c r="B677" s="10"/>
      <x:c r="C677" s="14"/>
      <x:c r="D677" s="9"/>
      <x:c r="E677" s="9"/>
      <x:c r="F677" s="9"/>
      <x:c r="G677" s="9" t="str">
        <x:f>IF(A677="","",INDEX('입고대장'!$M$7:$M$1006,MATCH(A677,'입고대장'!$A$7:$A$1006,0)))</x:f>
      </x:c>
      <x:c r="H677" s="9"/>
      <x:c r="I677" s="2"/>
      <x:c r="J677" s="2"/>
      <x:c r="K677" s="2"/>
      <x:c r="L677" s="2"/>
      <x:c r="M677" s="2"/>
      <x:c r="N677" s="2"/>
    </x:row>
    <x:row r="678" ht="23" customHeight="1">
      <x:c r="A678" s="9"/>
      <x:c r="B678" s="10"/>
      <x:c r="C678" s="14"/>
      <x:c r="D678" s="9"/>
      <x:c r="E678" s="9"/>
      <x:c r="F678" s="9"/>
      <x:c r="G678" s="9" t="str">
        <x:f>IF(A678="","",INDEX('입고대장'!$M$7:$M$1006,MATCH(A678,'입고대장'!$A$7:$A$1006,0)))</x:f>
      </x:c>
      <x:c r="H678" s="9"/>
      <x:c r="I678" s="2"/>
      <x:c r="J678" s="2"/>
      <x:c r="K678" s="2"/>
      <x:c r="L678" s="2"/>
      <x:c r="M678" s="2"/>
      <x:c r="N678" s="2"/>
    </x:row>
    <x:row r="679" ht="23" customHeight="1">
      <x:c r="A679" s="9"/>
      <x:c r="B679" s="10"/>
      <x:c r="C679" s="14"/>
      <x:c r="D679" s="9"/>
      <x:c r="E679" s="9"/>
      <x:c r="F679" s="9"/>
      <x:c r="G679" s="9" t="str">
        <x:f>IF(A679="","",INDEX('입고대장'!$M$7:$M$1006,MATCH(A679,'입고대장'!$A$7:$A$1006,0)))</x:f>
      </x:c>
      <x:c r="H679" s="9"/>
      <x:c r="I679" s="2"/>
      <x:c r="J679" s="2"/>
      <x:c r="K679" s="2"/>
      <x:c r="L679" s="2"/>
      <x:c r="M679" s="2"/>
      <x:c r="N679" s="2"/>
    </x:row>
    <x:row r="680" ht="23" customHeight="1">
      <x:c r="A680" s="9"/>
      <x:c r="B680" s="10"/>
      <x:c r="C680" s="14"/>
      <x:c r="D680" s="9"/>
      <x:c r="E680" s="9"/>
      <x:c r="F680" s="9"/>
      <x:c r="G680" s="9" t="str">
        <x:f>IF(A680="","",INDEX('입고대장'!$M$7:$M$1006,MATCH(A680,'입고대장'!$A$7:$A$1006,0)))</x:f>
      </x:c>
      <x:c r="H680" s="9"/>
      <x:c r="I680" s="2"/>
      <x:c r="J680" s="2"/>
      <x:c r="K680" s="2"/>
      <x:c r="L680" s="2"/>
      <x:c r="M680" s="2"/>
      <x:c r="N680" s="2"/>
    </x:row>
    <x:row r="681" ht="23" customHeight="1">
      <x:c r="A681" s="9"/>
      <x:c r="B681" s="10"/>
      <x:c r="C681" s="14"/>
      <x:c r="D681" s="9"/>
      <x:c r="E681" s="9"/>
      <x:c r="F681" s="9"/>
      <x:c r="G681" s="9" t="str">
        <x:f>IF(A681="","",INDEX('입고대장'!$M$7:$M$1006,MATCH(A681,'입고대장'!$A$7:$A$1006,0)))</x:f>
      </x:c>
      <x:c r="H681" s="9"/>
      <x:c r="I681" s="2"/>
      <x:c r="J681" s="2"/>
      <x:c r="K681" s="2"/>
      <x:c r="L681" s="2"/>
      <x:c r="M681" s="2"/>
      <x:c r="N681" s="2"/>
    </x:row>
    <x:row r="682" ht="23" customHeight="1">
      <x:c r="A682" s="9"/>
      <x:c r="B682" s="10"/>
      <x:c r="C682" s="14"/>
      <x:c r="D682" s="9"/>
      <x:c r="E682" s="9"/>
      <x:c r="F682" s="9"/>
      <x:c r="G682" s="9" t="str">
        <x:f>IF(A682="","",INDEX('입고대장'!$M$7:$M$1006,MATCH(A682,'입고대장'!$A$7:$A$1006,0)))</x:f>
      </x:c>
      <x:c r="H682" s="9"/>
      <x:c r="I682" s="2"/>
      <x:c r="J682" s="2"/>
      <x:c r="K682" s="2"/>
      <x:c r="L682" s="2"/>
      <x:c r="M682" s="2"/>
      <x:c r="N682" s="2"/>
    </x:row>
    <x:row r="683" ht="23" customHeight="1">
      <x:c r="A683" s="9"/>
      <x:c r="B683" s="10"/>
      <x:c r="C683" s="14"/>
      <x:c r="D683" s="9"/>
      <x:c r="E683" s="9"/>
      <x:c r="F683" s="9"/>
      <x:c r="G683" s="9" t="str">
        <x:f>IF(A683="","",INDEX('입고대장'!$M$7:$M$1006,MATCH(A683,'입고대장'!$A$7:$A$1006,0)))</x:f>
      </x:c>
      <x:c r="H683" s="9"/>
      <x:c r="I683" s="2"/>
      <x:c r="J683" s="2"/>
      <x:c r="K683" s="2"/>
      <x:c r="L683" s="2"/>
      <x:c r="M683" s="2"/>
      <x:c r="N683" s="2"/>
    </x:row>
    <x:row r="684" ht="23" customHeight="1">
      <x:c r="A684" s="9"/>
      <x:c r="B684" s="10"/>
      <x:c r="C684" s="14"/>
      <x:c r="D684" s="9"/>
      <x:c r="E684" s="9"/>
      <x:c r="F684" s="9"/>
      <x:c r="G684" s="9" t="str">
        <x:f>IF(A684="","",INDEX('입고대장'!$M$7:$M$1006,MATCH(A684,'입고대장'!$A$7:$A$1006,0)))</x:f>
      </x:c>
      <x:c r="H684" s="9"/>
      <x:c r="I684" s="2"/>
      <x:c r="J684" s="2"/>
      <x:c r="K684" s="2"/>
      <x:c r="L684" s="2"/>
      <x:c r="M684" s="2"/>
      <x:c r="N684" s="2"/>
    </x:row>
    <x:row r="685" ht="23" customHeight="1">
      <x:c r="A685" s="9"/>
      <x:c r="B685" s="10"/>
      <x:c r="C685" s="14"/>
      <x:c r="D685" s="9"/>
      <x:c r="E685" s="9"/>
      <x:c r="F685" s="9"/>
      <x:c r="G685" s="9" t="str">
        <x:f>IF(A685="","",INDEX('입고대장'!$M$7:$M$1006,MATCH(A685,'입고대장'!$A$7:$A$1006,0)))</x:f>
      </x:c>
      <x:c r="H685" s="9"/>
      <x:c r="I685" s="2"/>
      <x:c r="J685" s="2"/>
      <x:c r="K685" s="2"/>
      <x:c r="L685" s="2"/>
      <x:c r="M685" s="2"/>
      <x:c r="N685" s="2"/>
    </x:row>
    <x:row r="686" ht="23" customHeight="1">
      <x:c r="A686" s="9"/>
      <x:c r="B686" s="10"/>
      <x:c r="C686" s="14"/>
      <x:c r="D686" s="9"/>
      <x:c r="E686" s="9"/>
      <x:c r="F686" s="9"/>
      <x:c r="G686" s="9" t="str">
        <x:f>IF(A686="","",INDEX('입고대장'!$M$7:$M$1006,MATCH(A686,'입고대장'!$A$7:$A$1006,0)))</x:f>
      </x:c>
      <x:c r="H686" s="9"/>
      <x:c r="I686" s="2"/>
      <x:c r="J686" s="2"/>
      <x:c r="K686" s="2"/>
      <x:c r="L686" s="2"/>
      <x:c r="M686" s="2"/>
      <x:c r="N686" s="2"/>
    </x:row>
    <x:row r="687" ht="23" customHeight="1">
      <x:c r="A687" s="9"/>
      <x:c r="B687" s="10"/>
      <x:c r="C687" s="14"/>
      <x:c r="D687" s="9"/>
      <x:c r="E687" s="9"/>
      <x:c r="F687" s="9"/>
      <x:c r="G687" s="9" t="str">
        <x:f>IF(A687="","",INDEX('입고대장'!$M$7:$M$1006,MATCH(A687,'입고대장'!$A$7:$A$1006,0)))</x:f>
      </x:c>
      <x:c r="H687" s="9"/>
      <x:c r="I687" s="2"/>
      <x:c r="J687" s="2"/>
      <x:c r="K687" s="2"/>
      <x:c r="L687" s="2"/>
      <x:c r="M687" s="2"/>
      <x:c r="N687" s="2"/>
    </x:row>
    <x:row r="688" ht="23" customHeight="1">
      <x:c r="A688" s="9"/>
      <x:c r="B688" s="10"/>
      <x:c r="C688" s="14"/>
      <x:c r="D688" s="9"/>
      <x:c r="E688" s="9"/>
      <x:c r="F688" s="9"/>
      <x:c r="G688" s="9" t="str">
        <x:f>IF(A688="","",INDEX('입고대장'!$M$7:$M$1006,MATCH(A688,'입고대장'!$A$7:$A$1006,0)))</x:f>
      </x:c>
      <x:c r="H688" s="9"/>
      <x:c r="I688" s="2"/>
      <x:c r="J688" s="2"/>
      <x:c r="K688" s="2"/>
      <x:c r="L688" s="2"/>
      <x:c r="M688" s="2"/>
      <x:c r="N688" s="2"/>
    </x:row>
    <x:row r="689" ht="23" customHeight="1">
      <x:c r="A689" s="9"/>
      <x:c r="B689" s="10"/>
      <x:c r="C689" s="14"/>
      <x:c r="D689" s="9"/>
      <x:c r="E689" s="9"/>
      <x:c r="F689" s="9"/>
      <x:c r="G689" s="9" t="str">
        <x:f>IF(A689="","",INDEX('입고대장'!$M$7:$M$1006,MATCH(A689,'입고대장'!$A$7:$A$1006,0)))</x:f>
      </x:c>
      <x:c r="H689" s="9"/>
      <x:c r="I689" s="2"/>
      <x:c r="J689" s="2"/>
      <x:c r="K689" s="2"/>
      <x:c r="L689" s="2"/>
      <x:c r="M689" s="2"/>
      <x:c r="N689" s="2"/>
    </x:row>
    <x:row r="690" ht="23" customHeight="1">
      <x:c r="A690" s="9"/>
      <x:c r="B690" s="10"/>
      <x:c r="C690" s="14"/>
      <x:c r="D690" s="9"/>
      <x:c r="E690" s="9"/>
      <x:c r="F690" s="9"/>
      <x:c r="G690" s="9" t="str">
        <x:f>IF(A690="","",INDEX('입고대장'!$M$7:$M$1006,MATCH(A690,'입고대장'!$A$7:$A$1006,0)))</x:f>
      </x:c>
      <x:c r="H690" s="9"/>
      <x:c r="I690" s="2"/>
      <x:c r="J690" s="2"/>
      <x:c r="K690" s="2"/>
      <x:c r="L690" s="2"/>
      <x:c r="M690" s="2"/>
      <x:c r="N690" s="2"/>
    </x:row>
    <x:row r="691" ht="23" customHeight="1">
      <x:c r="A691" s="9"/>
      <x:c r="B691" s="10"/>
      <x:c r="C691" s="14"/>
      <x:c r="D691" s="9"/>
      <x:c r="E691" s="9"/>
      <x:c r="F691" s="9"/>
      <x:c r="G691" s="9" t="str">
        <x:f>IF(A691="","",INDEX('입고대장'!$M$7:$M$1006,MATCH(A691,'입고대장'!$A$7:$A$1006,0)))</x:f>
      </x:c>
      <x:c r="H691" s="9"/>
      <x:c r="I691" s="2"/>
      <x:c r="J691" s="2"/>
      <x:c r="K691" s="2"/>
      <x:c r="L691" s="2"/>
      <x:c r="M691" s="2"/>
      <x:c r="N691" s="2"/>
    </x:row>
    <x:row r="692" ht="23" customHeight="1">
      <x:c r="A692" s="9"/>
      <x:c r="B692" s="10"/>
      <x:c r="C692" s="14"/>
      <x:c r="D692" s="9"/>
      <x:c r="E692" s="9"/>
      <x:c r="F692" s="9"/>
      <x:c r="G692" s="9" t="str">
        <x:f>IF(A692="","",INDEX('입고대장'!$M$7:$M$1006,MATCH(A692,'입고대장'!$A$7:$A$1006,0)))</x:f>
      </x:c>
      <x:c r="H692" s="9"/>
      <x:c r="I692" s="2"/>
      <x:c r="J692" s="2"/>
      <x:c r="K692" s="2"/>
      <x:c r="L692" s="2"/>
      <x:c r="M692" s="2"/>
      <x:c r="N692" s="2"/>
    </x:row>
    <x:row r="693" ht="23" customHeight="1">
      <x:c r="A693" s="9"/>
      <x:c r="B693" s="10"/>
      <x:c r="C693" s="14"/>
      <x:c r="D693" s="9"/>
      <x:c r="E693" s="9"/>
      <x:c r="F693" s="9"/>
      <x:c r="G693" s="9" t="str">
        <x:f>IF(A693="","",INDEX('입고대장'!$M$7:$M$1006,MATCH(A693,'입고대장'!$A$7:$A$1006,0)))</x:f>
      </x:c>
      <x:c r="H693" s="9"/>
      <x:c r="I693" s="2"/>
      <x:c r="J693" s="2"/>
      <x:c r="K693" s="2"/>
      <x:c r="L693" s="2"/>
      <x:c r="M693" s="2"/>
      <x:c r="N693" s="2"/>
    </x:row>
    <x:row r="694" ht="23" customHeight="1">
      <x:c r="A694" s="9"/>
      <x:c r="B694" s="10"/>
      <x:c r="C694" s="14"/>
      <x:c r="D694" s="9"/>
      <x:c r="E694" s="9"/>
      <x:c r="F694" s="9"/>
      <x:c r="G694" s="9" t="str">
        <x:f>IF(A694="","",INDEX('입고대장'!$M$7:$M$1006,MATCH(A694,'입고대장'!$A$7:$A$1006,0)))</x:f>
      </x:c>
      <x:c r="H694" s="9"/>
      <x:c r="I694" s="2"/>
      <x:c r="J694" s="2"/>
      <x:c r="K694" s="2"/>
      <x:c r="L694" s="2"/>
      <x:c r="M694" s="2"/>
      <x:c r="N694" s="2"/>
    </x:row>
    <x:row r="695" ht="23" customHeight="1">
      <x:c r="A695" s="9"/>
      <x:c r="B695" s="10"/>
      <x:c r="C695" s="14"/>
      <x:c r="D695" s="9"/>
      <x:c r="E695" s="9"/>
      <x:c r="F695" s="9"/>
      <x:c r="G695" s="9" t="str">
        <x:f>IF(A695="","",INDEX('입고대장'!$M$7:$M$1006,MATCH(A695,'입고대장'!$A$7:$A$1006,0)))</x:f>
      </x:c>
      <x:c r="H695" s="9"/>
      <x:c r="I695" s="2"/>
      <x:c r="J695" s="2"/>
      <x:c r="K695" s="2"/>
      <x:c r="L695" s="2"/>
      <x:c r="M695" s="2"/>
      <x:c r="N695" s="2"/>
    </x:row>
    <x:row r="696" ht="23" customHeight="1">
      <x:c r="A696" s="9"/>
      <x:c r="B696" s="10"/>
      <x:c r="C696" s="14"/>
      <x:c r="D696" s="9"/>
      <x:c r="E696" s="9"/>
      <x:c r="F696" s="9"/>
      <x:c r="G696" s="9" t="str">
        <x:f>IF(A696="","",INDEX('입고대장'!$M$7:$M$1006,MATCH(A696,'입고대장'!$A$7:$A$1006,0)))</x:f>
      </x:c>
      <x:c r="H696" s="9"/>
      <x:c r="I696" s="2"/>
      <x:c r="J696" s="2"/>
      <x:c r="K696" s="2"/>
      <x:c r="L696" s="2"/>
      <x:c r="M696" s="2"/>
      <x:c r="N696" s="2"/>
    </x:row>
    <x:row r="697" ht="23" customHeight="1">
      <x:c r="A697" s="9"/>
      <x:c r="B697" s="10"/>
      <x:c r="C697" s="14"/>
      <x:c r="D697" s="9"/>
      <x:c r="E697" s="9"/>
      <x:c r="F697" s="9"/>
      <x:c r="G697" s="9" t="str">
        <x:f>IF(A697="","",INDEX('입고대장'!$M$7:$M$1006,MATCH(A697,'입고대장'!$A$7:$A$1006,0)))</x:f>
      </x:c>
      <x:c r="H697" s="9"/>
      <x:c r="I697" s="2"/>
      <x:c r="J697" s="2"/>
      <x:c r="K697" s="2"/>
      <x:c r="L697" s="2"/>
      <x:c r="M697" s="2"/>
      <x:c r="N697" s="2"/>
    </x:row>
    <x:row r="698" ht="23" customHeight="1">
      <x:c r="A698" s="9"/>
      <x:c r="B698" s="10"/>
      <x:c r="C698" s="14"/>
      <x:c r="D698" s="9"/>
      <x:c r="E698" s="9"/>
      <x:c r="F698" s="9"/>
      <x:c r="G698" s="9" t="str">
        <x:f>IF(A698="","",INDEX('입고대장'!$M$7:$M$1006,MATCH(A698,'입고대장'!$A$7:$A$1006,0)))</x:f>
      </x:c>
      <x:c r="H698" s="9"/>
      <x:c r="I698" s="2"/>
      <x:c r="J698" s="2"/>
      <x:c r="K698" s="2"/>
      <x:c r="L698" s="2"/>
      <x:c r="M698" s="2"/>
      <x:c r="N698" s="2"/>
    </x:row>
    <x:row r="699" ht="23" customHeight="1">
      <x:c r="A699" s="9"/>
      <x:c r="B699" s="10"/>
      <x:c r="C699" s="14"/>
      <x:c r="D699" s="9"/>
      <x:c r="E699" s="9"/>
      <x:c r="F699" s="9"/>
      <x:c r="G699" s="9" t="str">
        <x:f>IF(A699="","",INDEX('입고대장'!$M$7:$M$1006,MATCH(A699,'입고대장'!$A$7:$A$1006,0)))</x:f>
      </x:c>
      <x:c r="H699" s="9"/>
      <x:c r="I699" s="2"/>
      <x:c r="J699" s="2"/>
      <x:c r="K699" s="2"/>
      <x:c r="L699" s="2"/>
      <x:c r="M699" s="2"/>
      <x:c r="N699" s="2"/>
    </x:row>
    <x:row r="700" ht="23" customHeight="1">
      <x:c r="A700" s="9"/>
      <x:c r="B700" s="10"/>
      <x:c r="C700" s="14"/>
      <x:c r="D700" s="9"/>
      <x:c r="E700" s="9"/>
      <x:c r="F700" s="9"/>
      <x:c r="G700" s="9" t="str">
        <x:f>IF(A700="","",INDEX('입고대장'!$M$7:$M$1006,MATCH(A700,'입고대장'!$A$7:$A$1006,0)))</x:f>
      </x:c>
      <x:c r="H700" s="9"/>
      <x:c r="I700" s="2"/>
      <x:c r="J700" s="2"/>
      <x:c r="K700" s="2"/>
      <x:c r="L700" s="2"/>
      <x:c r="M700" s="2"/>
      <x:c r="N700" s="2"/>
    </x:row>
    <x:row r="701" ht="23" customHeight="1">
      <x:c r="A701" s="9"/>
      <x:c r="B701" s="10"/>
      <x:c r="C701" s="14"/>
      <x:c r="D701" s="9"/>
      <x:c r="E701" s="9"/>
      <x:c r="F701" s="9"/>
      <x:c r="G701" s="9" t="str">
        <x:f>IF(A701="","",INDEX('입고대장'!$M$7:$M$1006,MATCH(A701,'입고대장'!$A$7:$A$1006,0)))</x:f>
      </x:c>
      <x:c r="H701" s="9"/>
      <x:c r="I701" s="2"/>
      <x:c r="J701" s="2"/>
      <x:c r="K701" s="2"/>
      <x:c r="L701" s="2"/>
      <x:c r="M701" s="2"/>
      <x:c r="N701" s="2"/>
    </x:row>
    <x:row r="702" ht="23" customHeight="1">
      <x:c r="A702" s="9"/>
      <x:c r="B702" s="10"/>
      <x:c r="C702" s="14"/>
      <x:c r="D702" s="9"/>
      <x:c r="E702" s="9"/>
      <x:c r="F702" s="9"/>
      <x:c r="G702" s="9" t="str">
        <x:f>IF(A702="","",INDEX('입고대장'!$M$7:$M$1006,MATCH(A702,'입고대장'!$A$7:$A$1006,0)))</x:f>
      </x:c>
      <x:c r="H702" s="9"/>
      <x:c r="I702" s="2"/>
      <x:c r="J702" s="2"/>
      <x:c r="K702" s="2"/>
      <x:c r="L702" s="2"/>
      <x:c r="M702" s="2"/>
      <x:c r="N702" s="2"/>
    </x:row>
    <x:row r="703" ht="23" customHeight="1">
      <x:c r="A703" s="9"/>
      <x:c r="B703" s="10"/>
      <x:c r="C703" s="14"/>
      <x:c r="D703" s="9"/>
      <x:c r="E703" s="9"/>
      <x:c r="F703" s="9"/>
      <x:c r="G703" s="9" t="str">
        <x:f>IF(A703="","",INDEX('입고대장'!$M$7:$M$1006,MATCH(A703,'입고대장'!$A$7:$A$1006,0)))</x:f>
      </x:c>
      <x:c r="H703" s="9"/>
      <x:c r="I703" s="2"/>
      <x:c r="J703" s="2"/>
      <x:c r="K703" s="2"/>
      <x:c r="L703" s="2"/>
      <x:c r="M703" s="2"/>
      <x:c r="N703" s="2"/>
    </x:row>
    <x:row r="704" ht="23" customHeight="1">
      <x:c r="A704" s="9"/>
      <x:c r="B704" s="10"/>
      <x:c r="C704" s="14"/>
      <x:c r="D704" s="9"/>
      <x:c r="E704" s="9"/>
      <x:c r="F704" s="9"/>
      <x:c r="G704" s="9" t="str">
        <x:f>IF(A704="","",INDEX('입고대장'!$M$7:$M$1006,MATCH(A704,'입고대장'!$A$7:$A$1006,0)))</x:f>
      </x:c>
      <x:c r="H704" s="9"/>
      <x:c r="I704" s="2"/>
      <x:c r="J704" s="2"/>
      <x:c r="K704" s="2"/>
      <x:c r="L704" s="2"/>
      <x:c r="M704" s="2"/>
      <x:c r="N704" s="2"/>
    </x:row>
    <x:row r="705" ht="23" customHeight="1">
      <x:c r="A705" s="9"/>
      <x:c r="B705" s="10"/>
      <x:c r="C705" s="14"/>
      <x:c r="D705" s="9"/>
      <x:c r="E705" s="9"/>
      <x:c r="F705" s="9"/>
      <x:c r="G705" s="9" t="str">
        <x:f>IF(A705="","",INDEX('입고대장'!$M$7:$M$1006,MATCH(A705,'입고대장'!$A$7:$A$1006,0)))</x:f>
      </x:c>
      <x:c r="H705" s="9"/>
      <x:c r="I705" s="2"/>
      <x:c r="J705" s="2"/>
      <x:c r="K705" s="2"/>
      <x:c r="L705" s="2"/>
      <x:c r="M705" s="2"/>
      <x:c r="N705" s="2"/>
    </x:row>
    <x:row r="706" ht="23" customHeight="1">
      <x:c r="A706" s="9"/>
      <x:c r="B706" s="10"/>
      <x:c r="C706" s="14"/>
      <x:c r="D706" s="9"/>
      <x:c r="E706" s="9"/>
      <x:c r="F706" s="9"/>
      <x:c r="G706" s="9" t="str">
        <x:f>IF(A706="","",INDEX('입고대장'!$M$7:$M$1006,MATCH(A706,'입고대장'!$A$7:$A$1006,0)))</x:f>
      </x:c>
      <x:c r="H706" s="9"/>
      <x:c r="I706" s="2"/>
      <x:c r="J706" s="2"/>
      <x:c r="K706" s="2"/>
      <x:c r="L706" s="2"/>
      <x:c r="M706" s="2"/>
      <x:c r="N706" s="2"/>
    </x:row>
    <x:row r="707" ht="23" customHeight="1">
      <x:c r="A707" s="9"/>
      <x:c r="B707" s="10"/>
      <x:c r="C707" s="14"/>
      <x:c r="D707" s="9"/>
      <x:c r="E707" s="9"/>
      <x:c r="F707" s="9"/>
      <x:c r="G707" s="9" t="str">
        <x:f>IF(A707="","",INDEX('입고대장'!$M$7:$M$1006,MATCH(A707,'입고대장'!$A$7:$A$1006,0)))</x:f>
      </x:c>
      <x:c r="H707" s="9"/>
      <x:c r="I707" s="2"/>
      <x:c r="J707" s="2"/>
      <x:c r="K707" s="2"/>
      <x:c r="L707" s="2"/>
      <x:c r="M707" s="2"/>
      <x:c r="N707" s="2"/>
    </x:row>
    <x:row r="708" ht="23" customHeight="1">
      <x:c r="A708" s="9"/>
      <x:c r="B708" s="10"/>
      <x:c r="C708" s="14"/>
      <x:c r="D708" s="9"/>
      <x:c r="E708" s="9"/>
      <x:c r="F708" s="9"/>
      <x:c r="G708" s="9" t="str">
        <x:f>IF(A708="","",INDEX('입고대장'!$M$7:$M$1006,MATCH(A708,'입고대장'!$A$7:$A$1006,0)))</x:f>
      </x:c>
      <x:c r="H708" s="9"/>
      <x:c r="I708" s="2"/>
      <x:c r="J708" s="2"/>
      <x:c r="K708" s="2"/>
      <x:c r="L708" s="2"/>
      <x:c r="M708" s="2"/>
      <x:c r="N708" s="2"/>
    </x:row>
    <x:row r="709" ht="23" customHeight="1">
      <x:c r="A709" s="9"/>
      <x:c r="B709" s="10"/>
      <x:c r="C709" s="14"/>
      <x:c r="D709" s="9"/>
      <x:c r="E709" s="9"/>
      <x:c r="F709" s="9"/>
      <x:c r="G709" s="9" t="str">
        <x:f>IF(A709="","",INDEX('입고대장'!$M$7:$M$1006,MATCH(A709,'입고대장'!$A$7:$A$1006,0)))</x:f>
      </x:c>
      <x:c r="H709" s="9"/>
      <x:c r="I709" s="2"/>
      <x:c r="J709" s="2"/>
      <x:c r="K709" s="2"/>
      <x:c r="L709" s="2"/>
      <x:c r="M709" s="2"/>
      <x:c r="N709" s="2"/>
    </x:row>
    <x:row r="710" ht="23" customHeight="1">
      <x:c r="A710" s="9"/>
      <x:c r="B710" s="10"/>
      <x:c r="C710" s="14"/>
      <x:c r="D710" s="9"/>
      <x:c r="E710" s="9"/>
      <x:c r="F710" s="9"/>
      <x:c r="G710" s="9" t="str">
        <x:f>IF(A710="","",INDEX('입고대장'!$M$7:$M$1006,MATCH(A710,'입고대장'!$A$7:$A$1006,0)))</x:f>
      </x:c>
      <x:c r="H710" s="9"/>
      <x:c r="I710" s="2"/>
      <x:c r="J710" s="2"/>
      <x:c r="K710" s="2"/>
      <x:c r="L710" s="2"/>
      <x:c r="M710" s="2"/>
      <x:c r="N710" s="2"/>
    </x:row>
    <x:row r="711" ht="23" customHeight="1">
      <x:c r="A711" s="9"/>
      <x:c r="B711" s="10"/>
      <x:c r="C711" s="14"/>
      <x:c r="D711" s="9"/>
      <x:c r="E711" s="9"/>
      <x:c r="F711" s="9"/>
      <x:c r="G711" s="9" t="str">
        <x:f>IF(A711="","",INDEX('입고대장'!$M$7:$M$1006,MATCH(A711,'입고대장'!$A$7:$A$1006,0)))</x:f>
      </x:c>
      <x:c r="H711" s="9"/>
      <x:c r="I711" s="2"/>
      <x:c r="J711" s="2"/>
      <x:c r="K711" s="2"/>
      <x:c r="L711" s="2"/>
      <x:c r="M711" s="2"/>
      <x:c r="N711" s="2"/>
    </x:row>
    <x:row r="712" ht="23" customHeight="1">
      <x:c r="A712" s="9"/>
      <x:c r="B712" s="10"/>
      <x:c r="C712" s="14"/>
      <x:c r="D712" s="9"/>
      <x:c r="E712" s="9"/>
      <x:c r="F712" s="9"/>
      <x:c r="G712" s="9" t="str">
        <x:f>IF(A712="","",INDEX('입고대장'!$M$7:$M$1006,MATCH(A712,'입고대장'!$A$7:$A$1006,0)))</x:f>
      </x:c>
      <x:c r="H712" s="9"/>
      <x:c r="I712" s="2"/>
      <x:c r="J712" s="2"/>
      <x:c r="K712" s="2"/>
      <x:c r="L712" s="2"/>
      <x:c r="M712" s="2"/>
      <x:c r="N712" s="2"/>
    </x:row>
    <x:row r="713" ht="23" customHeight="1">
      <x:c r="A713" s="9"/>
      <x:c r="B713" s="10"/>
      <x:c r="C713" s="14"/>
      <x:c r="D713" s="9"/>
      <x:c r="E713" s="9"/>
      <x:c r="F713" s="9"/>
      <x:c r="G713" s="9" t="str">
        <x:f>IF(A713="","",INDEX('입고대장'!$M$7:$M$1006,MATCH(A713,'입고대장'!$A$7:$A$1006,0)))</x:f>
      </x:c>
      <x:c r="H713" s="9"/>
      <x:c r="I713" s="2"/>
      <x:c r="J713" s="2"/>
      <x:c r="K713" s="2"/>
      <x:c r="L713" s="2"/>
      <x:c r="M713" s="2"/>
      <x:c r="N713" s="2"/>
    </x:row>
    <x:row r="714" ht="23" customHeight="1">
      <x:c r="A714" s="9"/>
      <x:c r="B714" s="10"/>
      <x:c r="C714" s="14"/>
      <x:c r="D714" s="9"/>
      <x:c r="E714" s="9"/>
      <x:c r="F714" s="9"/>
      <x:c r="G714" s="9" t="str">
        <x:f>IF(A714="","",INDEX('입고대장'!$M$7:$M$1006,MATCH(A714,'입고대장'!$A$7:$A$1006,0)))</x:f>
      </x:c>
      <x:c r="H714" s="9"/>
      <x:c r="I714" s="2"/>
      <x:c r="J714" s="2"/>
      <x:c r="K714" s="2"/>
      <x:c r="L714" s="2"/>
      <x:c r="M714" s="2"/>
      <x:c r="N714" s="2"/>
    </x:row>
    <x:row r="715" ht="23" customHeight="1">
      <x:c r="A715" s="9"/>
      <x:c r="B715" s="10"/>
      <x:c r="C715" s="14"/>
      <x:c r="D715" s="9"/>
      <x:c r="E715" s="9"/>
      <x:c r="F715" s="9"/>
      <x:c r="G715" s="9" t="str">
        <x:f>IF(A715="","",INDEX('입고대장'!$M$7:$M$1006,MATCH(A715,'입고대장'!$A$7:$A$1006,0)))</x:f>
      </x:c>
      <x:c r="H715" s="9"/>
      <x:c r="I715" s="2"/>
      <x:c r="J715" s="2"/>
      <x:c r="K715" s="2"/>
      <x:c r="L715" s="2"/>
      <x:c r="M715" s="2"/>
      <x:c r="N715" s="2"/>
    </x:row>
    <x:row r="716" ht="23" customHeight="1">
      <x:c r="A716" s="9"/>
      <x:c r="B716" s="10"/>
      <x:c r="C716" s="14"/>
      <x:c r="D716" s="9"/>
      <x:c r="E716" s="9"/>
      <x:c r="F716" s="9"/>
      <x:c r="G716" s="9" t="str">
        <x:f>IF(A716="","",INDEX('입고대장'!$M$7:$M$1006,MATCH(A716,'입고대장'!$A$7:$A$1006,0)))</x:f>
      </x:c>
      <x:c r="H716" s="9"/>
      <x:c r="I716" s="2"/>
      <x:c r="J716" s="2"/>
      <x:c r="K716" s="2"/>
      <x:c r="L716" s="2"/>
      <x:c r="M716" s="2"/>
      <x:c r="N716" s="2"/>
    </x:row>
    <x:row r="717" ht="23" customHeight="1">
      <x:c r="A717" s="9"/>
      <x:c r="B717" s="10"/>
      <x:c r="C717" s="14"/>
      <x:c r="D717" s="9"/>
      <x:c r="E717" s="9"/>
      <x:c r="F717" s="9"/>
      <x:c r="G717" s="9" t="str">
        <x:f>IF(A717="","",INDEX('입고대장'!$M$7:$M$1006,MATCH(A717,'입고대장'!$A$7:$A$1006,0)))</x:f>
      </x:c>
      <x:c r="H717" s="9"/>
      <x:c r="I717" s="2"/>
      <x:c r="J717" s="2"/>
      <x:c r="K717" s="2"/>
      <x:c r="L717" s="2"/>
      <x:c r="M717" s="2"/>
      <x:c r="N717" s="2"/>
    </x:row>
    <x:row r="718" ht="23" customHeight="1">
      <x:c r="A718" s="9"/>
      <x:c r="B718" s="10"/>
      <x:c r="C718" s="14"/>
      <x:c r="D718" s="9"/>
      <x:c r="E718" s="9"/>
      <x:c r="F718" s="9"/>
      <x:c r="G718" s="9" t="str">
        <x:f>IF(A718="","",INDEX('입고대장'!$M$7:$M$1006,MATCH(A718,'입고대장'!$A$7:$A$1006,0)))</x:f>
      </x:c>
      <x:c r="H718" s="9"/>
      <x:c r="I718" s="2"/>
      <x:c r="J718" s="2"/>
      <x:c r="K718" s="2"/>
      <x:c r="L718" s="2"/>
      <x:c r="M718" s="2"/>
      <x:c r="N718" s="2"/>
    </x:row>
    <x:row r="719" ht="23" customHeight="1">
      <x:c r="A719" s="9"/>
      <x:c r="B719" s="10"/>
      <x:c r="C719" s="14"/>
      <x:c r="D719" s="9"/>
      <x:c r="E719" s="9"/>
      <x:c r="F719" s="9"/>
      <x:c r="G719" s="9" t="str">
        <x:f>IF(A719="","",INDEX('입고대장'!$M$7:$M$1006,MATCH(A719,'입고대장'!$A$7:$A$1006,0)))</x:f>
      </x:c>
      <x:c r="H719" s="9"/>
      <x:c r="I719" s="2"/>
      <x:c r="J719" s="2"/>
      <x:c r="K719" s="2"/>
      <x:c r="L719" s="2"/>
      <x:c r="M719" s="2"/>
      <x:c r="N719" s="2"/>
    </x:row>
    <x:row r="720" ht="23" customHeight="1">
      <x:c r="A720" s="9"/>
      <x:c r="B720" s="10"/>
      <x:c r="C720" s="14"/>
      <x:c r="D720" s="9"/>
      <x:c r="E720" s="9"/>
      <x:c r="F720" s="9"/>
      <x:c r="G720" s="9" t="str">
        <x:f>IF(A720="","",INDEX('입고대장'!$M$7:$M$1006,MATCH(A720,'입고대장'!$A$7:$A$1006,0)))</x:f>
      </x:c>
      <x:c r="H720" s="9"/>
      <x:c r="I720" s="2"/>
      <x:c r="J720" s="2"/>
      <x:c r="K720" s="2"/>
      <x:c r="L720" s="2"/>
      <x:c r="M720" s="2"/>
      <x:c r="N720" s="2"/>
    </x:row>
    <x:row r="721" ht="23" customHeight="1">
      <x:c r="A721" s="9"/>
      <x:c r="B721" s="10"/>
      <x:c r="C721" s="14"/>
      <x:c r="D721" s="9"/>
      <x:c r="E721" s="9"/>
      <x:c r="F721" s="9"/>
      <x:c r="G721" s="9" t="str">
        <x:f>IF(A721="","",INDEX('입고대장'!$M$7:$M$1006,MATCH(A721,'입고대장'!$A$7:$A$1006,0)))</x:f>
      </x:c>
      <x:c r="H721" s="9"/>
      <x:c r="I721" s="2"/>
      <x:c r="J721" s="2"/>
      <x:c r="K721" s="2"/>
      <x:c r="L721" s="2"/>
      <x:c r="M721" s="2"/>
      <x:c r="N721" s="2"/>
    </x:row>
    <x:row r="722" ht="23" customHeight="1">
      <x:c r="A722" s="9"/>
      <x:c r="B722" s="10"/>
      <x:c r="C722" s="14"/>
      <x:c r="D722" s="9"/>
      <x:c r="E722" s="9"/>
      <x:c r="F722" s="9"/>
      <x:c r="G722" s="9" t="str">
        <x:f>IF(A722="","",INDEX('입고대장'!$M$7:$M$1006,MATCH(A722,'입고대장'!$A$7:$A$1006,0)))</x:f>
      </x:c>
      <x:c r="H722" s="9"/>
      <x:c r="I722" s="2"/>
      <x:c r="J722" s="2"/>
      <x:c r="K722" s="2"/>
      <x:c r="L722" s="2"/>
      <x:c r="M722" s="2"/>
      <x:c r="N722" s="2"/>
    </x:row>
    <x:row r="723" ht="23" customHeight="1">
      <x:c r="A723" s="9"/>
      <x:c r="B723" s="10"/>
      <x:c r="C723" s="14"/>
      <x:c r="D723" s="9"/>
      <x:c r="E723" s="9"/>
      <x:c r="F723" s="9"/>
      <x:c r="G723" s="9" t="str">
        <x:f>IF(A723="","",INDEX('입고대장'!$M$7:$M$1006,MATCH(A723,'입고대장'!$A$7:$A$1006,0)))</x:f>
      </x:c>
      <x:c r="H723" s="9"/>
      <x:c r="I723" s="2"/>
      <x:c r="J723" s="2"/>
      <x:c r="K723" s="2"/>
      <x:c r="L723" s="2"/>
      <x:c r="M723" s="2"/>
      <x:c r="N723" s="2"/>
    </x:row>
    <x:row r="724" ht="23" customHeight="1">
      <x:c r="A724" s="9"/>
      <x:c r="B724" s="10"/>
      <x:c r="C724" s="14"/>
      <x:c r="D724" s="9"/>
      <x:c r="E724" s="9"/>
      <x:c r="F724" s="9"/>
      <x:c r="G724" s="9" t="str">
        <x:f>IF(A724="","",INDEX('입고대장'!$M$7:$M$1006,MATCH(A724,'입고대장'!$A$7:$A$1006,0)))</x:f>
      </x:c>
      <x:c r="H724" s="9"/>
      <x:c r="I724" s="2"/>
      <x:c r="J724" s="2"/>
      <x:c r="K724" s="2"/>
      <x:c r="L724" s="2"/>
      <x:c r="M724" s="2"/>
      <x:c r="N724" s="2"/>
    </x:row>
    <x:row r="725" ht="23" customHeight="1">
      <x:c r="A725" s="9"/>
      <x:c r="B725" s="10"/>
      <x:c r="C725" s="14"/>
      <x:c r="D725" s="9"/>
      <x:c r="E725" s="9"/>
      <x:c r="F725" s="9"/>
      <x:c r="G725" s="9" t="str">
        <x:f>IF(A725="","",INDEX('입고대장'!$M$7:$M$1006,MATCH(A725,'입고대장'!$A$7:$A$1006,0)))</x:f>
      </x:c>
      <x:c r="H725" s="9"/>
      <x:c r="I725" s="2"/>
      <x:c r="J725" s="2"/>
      <x:c r="K725" s="2"/>
      <x:c r="L725" s="2"/>
      <x:c r="M725" s="2"/>
      <x:c r="N725" s="2"/>
    </x:row>
    <x:row r="726" ht="23" customHeight="1">
      <x:c r="A726" s="9"/>
      <x:c r="B726" s="10"/>
      <x:c r="C726" s="14"/>
      <x:c r="D726" s="9"/>
      <x:c r="E726" s="9"/>
      <x:c r="F726" s="9"/>
      <x:c r="G726" s="9" t="str">
        <x:f>IF(A726="","",INDEX('입고대장'!$M$7:$M$1006,MATCH(A726,'입고대장'!$A$7:$A$1006,0)))</x:f>
      </x:c>
      <x:c r="H726" s="9"/>
      <x:c r="I726" s="2"/>
      <x:c r="J726" s="2"/>
      <x:c r="K726" s="2"/>
      <x:c r="L726" s="2"/>
      <x:c r="M726" s="2"/>
      <x:c r="N726" s="2"/>
    </x:row>
    <x:row r="727" ht="23" customHeight="1">
      <x:c r="A727" s="9"/>
      <x:c r="B727" s="10"/>
      <x:c r="C727" s="14"/>
      <x:c r="D727" s="9"/>
      <x:c r="E727" s="9"/>
      <x:c r="F727" s="9"/>
      <x:c r="G727" s="9" t="str">
        <x:f>IF(A727="","",INDEX('입고대장'!$M$7:$M$1006,MATCH(A727,'입고대장'!$A$7:$A$1006,0)))</x:f>
      </x:c>
      <x:c r="H727" s="9"/>
      <x:c r="I727" s="2"/>
      <x:c r="J727" s="2"/>
      <x:c r="K727" s="2"/>
      <x:c r="L727" s="2"/>
      <x:c r="M727" s="2"/>
      <x:c r="N727" s="2"/>
    </x:row>
    <x:row r="728" ht="23" customHeight="1">
      <x:c r="A728" s="9"/>
      <x:c r="B728" s="10"/>
      <x:c r="C728" s="14"/>
      <x:c r="D728" s="9"/>
      <x:c r="E728" s="9"/>
      <x:c r="F728" s="9"/>
      <x:c r="G728" s="9" t="str">
        <x:f>IF(A728="","",INDEX('입고대장'!$M$7:$M$1006,MATCH(A728,'입고대장'!$A$7:$A$1006,0)))</x:f>
      </x:c>
      <x:c r="H728" s="9"/>
      <x:c r="I728" s="2"/>
      <x:c r="J728" s="2"/>
      <x:c r="K728" s="2"/>
      <x:c r="L728" s="2"/>
      <x:c r="M728" s="2"/>
      <x:c r="N728" s="2"/>
    </x:row>
    <x:row r="729" ht="23" customHeight="1">
      <x:c r="A729" s="9"/>
      <x:c r="B729" s="10"/>
      <x:c r="C729" s="14"/>
      <x:c r="D729" s="9"/>
      <x:c r="E729" s="9"/>
      <x:c r="F729" s="9"/>
      <x:c r="G729" s="9" t="str">
        <x:f>IF(A729="","",INDEX('입고대장'!$M$7:$M$1006,MATCH(A729,'입고대장'!$A$7:$A$1006,0)))</x:f>
      </x:c>
      <x:c r="H729" s="9"/>
      <x:c r="I729" s="2"/>
      <x:c r="J729" s="2"/>
      <x:c r="K729" s="2"/>
      <x:c r="L729" s="2"/>
      <x:c r="M729" s="2"/>
      <x:c r="N729" s="2"/>
    </x:row>
    <x:row r="730" ht="23" customHeight="1">
      <x:c r="A730" s="9"/>
      <x:c r="B730" s="10"/>
      <x:c r="C730" s="14"/>
      <x:c r="D730" s="9"/>
      <x:c r="E730" s="9"/>
      <x:c r="F730" s="9"/>
      <x:c r="G730" s="9" t="str">
        <x:f>IF(A730="","",INDEX('입고대장'!$M$7:$M$1006,MATCH(A730,'입고대장'!$A$7:$A$1006,0)))</x:f>
      </x:c>
      <x:c r="H730" s="9"/>
      <x:c r="I730" s="2"/>
      <x:c r="J730" s="2"/>
      <x:c r="K730" s="2"/>
      <x:c r="L730" s="2"/>
      <x:c r="M730" s="2"/>
      <x:c r="N730" s="2"/>
    </x:row>
    <x:row r="731" ht="23" customHeight="1">
      <x:c r="A731" s="9"/>
      <x:c r="B731" s="10"/>
      <x:c r="C731" s="14"/>
      <x:c r="D731" s="9"/>
      <x:c r="E731" s="9"/>
      <x:c r="F731" s="9"/>
      <x:c r="G731" s="9" t="str">
        <x:f>IF(A731="","",INDEX('입고대장'!$M$7:$M$1006,MATCH(A731,'입고대장'!$A$7:$A$1006,0)))</x:f>
      </x:c>
      <x:c r="H731" s="9"/>
      <x:c r="I731" s="2"/>
      <x:c r="J731" s="2"/>
      <x:c r="K731" s="2"/>
      <x:c r="L731" s="2"/>
      <x:c r="M731" s="2"/>
      <x:c r="N731" s="2"/>
    </x:row>
    <x:row r="732" ht="23" customHeight="1">
      <x:c r="A732" s="9"/>
      <x:c r="B732" s="10"/>
      <x:c r="C732" s="14"/>
      <x:c r="D732" s="9"/>
      <x:c r="E732" s="9"/>
      <x:c r="F732" s="9"/>
      <x:c r="G732" s="9" t="str">
        <x:f>IF(A732="","",INDEX('입고대장'!$M$7:$M$1006,MATCH(A732,'입고대장'!$A$7:$A$1006,0)))</x:f>
      </x:c>
      <x:c r="H732" s="9"/>
      <x:c r="I732" s="2"/>
      <x:c r="J732" s="2"/>
      <x:c r="K732" s="2"/>
      <x:c r="L732" s="2"/>
      <x:c r="M732" s="2"/>
      <x:c r="N732" s="2"/>
    </x:row>
    <x:row r="733" ht="23" customHeight="1">
      <x:c r="A733" s="9"/>
      <x:c r="B733" s="10"/>
      <x:c r="C733" s="14"/>
      <x:c r="D733" s="9"/>
      <x:c r="E733" s="9"/>
      <x:c r="F733" s="9"/>
      <x:c r="G733" s="9" t="str">
        <x:f>IF(A733="","",INDEX('입고대장'!$M$7:$M$1006,MATCH(A733,'입고대장'!$A$7:$A$1006,0)))</x:f>
      </x:c>
      <x:c r="H733" s="9"/>
      <x:c r="I733" s="2"/>
      <x:c r="J733" s="2"/>
      <x:c r="K733" s="2"/>
      <x:c r="L733" s="2"/>
      <x:c r="M733" s="2"/>
      <x:c r="N733" s="2"/>
    </x:row>
    <x:row r="734" ht="23" customHeight="1">
      <x:c r="A734" s="9"/>
      <x:c r="B734" s="10"/>
      <x:c r="C734" s="14"/>
      <x:c r="D734" s="9"/>
      <x:c r="E734" s="9"/>
      <x:c r="F734" s="9"/>
      <x:c r="G734" s="9" t="str">
        <x:f>IF(A734="","",INDEX('입고대장'!$M$7:$M$1006,MATCH(A734,'입고대장'!$A$7:$A$1006,0)))</x:f>
      </x:c>
      <x:c r="H734" s="9"/>
      <x:c r="I734" s="2"/>
      <x:c r="J734" s="2"/>
      <x:c r="K734" s="2"/>
      <x:c r="L734" s="2"/>
      <x:c r="M734" s="2"/>
      <x:c r="N734" s="2"/>
    </x:row>
    <x:row r="735" ht="23" customHeight="1">
      <x:c r="A735" s="9"/>
      <x:c r="B735" s="10"/>
      <x:c r="C735" s="14"/>
      <x:c r="D735" s="9"/>
      <x:c r="E735" s="9"/>
      <x:c r="F735" s="9"/>
      <x:c r="G735" s="9" t="str">
        <x:f>IF(A735="","",INDEX('입고대장'!$M$7:$M$1006,MATCH(A735,'입고대장'!$A$7:$A$1006,0)))</x:f>
      </x:c>
      <x:c r="H735" s="9"/>
      <x:c r="I735" s="2"/>
      <x:c r="J735" s="2"/>
      <x:c r="K735" s="2"/>
      <x:c r="L735" s="2"/>
      <x:c r="M735" s="2"/>
      <x:c r="N735" s="2"/>
    </x:row>
    <x:row r="736" ht="23" customHeight="1">
      <x:c r="A736" s="9"/>
      <x:c r="B736" s="10"/>
      <x:c r="C736" s="14"/>
      <x:c r="D736" s="9"/>
      <x:c r="E736" s="9"/>
      <x:c r="F736" s="9"/>
      <x:c r="G736" s="9" t="str">
        <x:f>IF(A736="","",INDEX('입고대장'!$M$7:$M$1006,MATCH(A736,'입고대장'!$A$7:$A$1006,0)))</x:f>
      </x:c>
      <x:c r="H736" s="9"/>
      <x:c r="I736" s="2"/>
      <x:c r="J736" s="2"/>
      <x:c r="K736" s="2"/>
      <x:c r="L736" s="2"/>
      <x:c r="M736" s="2"/>
      <x:c r="N736" s="2"/>
    </x:row>
    <x:row r="737" ht="23" customHeight="1">
      <x:c r="A737" s="9"/>
      <x:c r="B737" s="10"/>
      <x:c r="C737" s="14"/>
      <x:c r="D737" s="9"/>
      <x:c r="E737" s="9"/>
      <x:c r="F737" s="9"/>
      <x:c r="G737" s="9" t="str">
        <x:f>IF(A737="","",INDEX('입고대장'!$M$7:$M$1006,MATCH(A737,'입고대장'!$A$7:$A$1006,0)))</x:f>
      </x:c>
      <x:c r="H737" s="9"/>
      <x:c r="I737" s="2"/>
      <x:c r="J737" s="2"/>
      <x:c r="K737" s="2"/>
      <x:c r="L737" s="2"/>
      <x:c r="M737" s="2"/>
      <x:c r="N737" s="2"/>
    </x:row>
    <x:row r="738" ht="23" customHeight="1">
      <x:c r="A738" s="9"/>
      <x:c r="B738" s="10"/>
      <x:c r="C738" s="14"/>
      <x:c r="D738" s="9"/>
      <x:c r="E738" s="9"/>
      <x:c r="F738" s="9"/>
      <x:c r="G738" s="9" t="str">
        <x:f>IF(A738="","",INDEX('입고대장'!$M$7:$M$1006,MATCH(A738,'입고대장'!$A$7:$A$1006,0)))</x:f>
      </x:c>
      <x:c r="H738" s="9"/>
      <x:c r="I738" s="2"/>
      <x:c r="J738" s="2"/>
      <x:c r="K738" s="2"/>
      <x:c r="L738" s="2"/>
      <x:c r="M738" s="2"/>
      <x:c r="N738" s="2"/>
    </x:row>
    <x:row r="739" ht="23" customHeight="1">
      <x:c r="A739" s="9"/>
      <x:c r="B739" s="10"/>
      <x:c r="C739" s="14"/>
      <x:c r="D739" s="9"/>
      <x:c r="E739" s="9"/>
      <x:c r="F739" s="9"/>
      <x:c r="G739" s="9" t="str">
        <x:f>IF(A739="","",INDEX('입고대장'!$M$7:$M$1006,MATCH(A739,'입고대장'!$A$7:$A$1006,0)))</x:f>
      </x:c>
      <x:c r="H739" s="9"/>
      <x:c r="I739" s="2"/>
      <x:c r="J739" s="2"/>
      <x:c r="K739" s="2"/>
      <x:c r="L739" s="2"/>
      <x:c r="M739" s="2"/>
      <x:c r="N739" s="2"/>
    </x:row>
    <x:row r="740" ht="23" customHeight="1">
      <x:c r="A740" s="9"/>
      <x:c r="B740" s="10"/>
      <x:c r="C740" s="14"/>
      <x:c r="D740" s="9"/>
      <x:c r="E740" s="9"/>
      <x:c r="F740" s="9"/>
      <x:c r="G740" s="9" t="str">
        <x:f>IF(A740="","",INDEX('입고대장'!$M$7:$M$1006,MATCH(A740,'입고대장'!$A$7:$A$1006,0)))</x:f>
      </x:c>
      <x:c r="H740" s="9"/>
      <x:c r="I740" s="2"/>
      <x:c r="J740" s="2"/>
      <x:c r="K740" s="2"/>
      <x:c r="L740" s="2"/>
      <x:c r="M740" s="2"/>
      <x:c r="N740" s="2"/>
    </x:row>
    <x:row r="741" ht="23" customHeight="1">
      <x:c r="A741" s="9"/>
      <x:c r="B741" s="10"/>
      <x:c r="C741" s="14"/>
      <x:c r="D741" s="9"/>
      <x:c r="E741" s="9"/>
      <x:c r="F741" s="9"/>
      <x:c r="G741" s="9" t="str">
        <x:f>IF(A741="","",INDEX('입고대장'!$M$7:$M$1006,MATCH(A741,'입고대장'!$A$7:$A$1006,0)))</x:f>
      </x:c>
      <x:c r="H741" s="9"/>
      <x:c r="I741" s="2"/>
      <x:c r="J741" s="2"/>
      <x:c r="K741" s="2"/>
      <x:c r="L741" s="2"/>
      <x:c r="M741" s="2"/>
      <x:c r="N741" s="2"/>
    </x:row>
    <x:row r="742" ht="23" customHeight="1">
      <x:c r="A742" s="9"/>
      <x:c r="B742" s="10"/>
      <x:c r="C742" s="14"/>
      <x:c r="D742" s="9"/>
      <x:c r="E742" s="9"/>
      <x:c r="F742" s="9"/>
      <x:c r="G742" s="9" t="str">
        <x:f>IF(A742="","",INDEX('입고대장'!$M$7:$M$1006,MATCH(A742,'입고대장'!$A$7:$A$1006,0)))</x:f>
      </x:c>
      <x:c r="H742" s="9"/>
      <x:c r="I742" s="2"/>
      <x:c r="J742" s="2"/>
      <x:c r="K742" s="2"/>
      <x:c r="L742" s="2"/>
      <x:c r="M742" s="2"/>
      <x:c r="N742" s="2"/>
    </x:row>
    <x:row r="743" ht="23" customHeight="1">
      <x:c r="A743" s="9"/>
      <x:c r="B743" s="10"/>
      <x:c r="C743" s="14"/>
      <x:c r="D743" s="9"/>
      <x:c r="E743" s="9"/>
      <x:c r="F743" s="9"/>
      <x:c r="G743" s="9" t="str">
        <x:f>IF(A743="","",INDEX('입고대장'!$M$7:$M$1006,MATCH(A743,'입고대장'!$A$7:$A$1006,0)))</x:f>
      </x:c>
      <x:c r="H743" s="9"/>
      <x:c r="I743" s="2"/>
      <x:c r="J743" s="2"/>
      <x:c r="K743" s="2"/>
      <x:c r="L743" s="2"/>
      <x:c r="M743" s="2"/>
      <x:c r="N743" s="2"/>
    </x:row>
    <x:row r="744" ht="23" customHeight="1">
      <x:c r="A744" s="9"/>
      <x:c r="B744" s="10"/>
      <x:c r="C744" s="14"/>
      <x:c r="D744" s="9"/>
      <x:c r="E744" s="9"/>
      <x:c r="F744" s="9"/>
      <x:c r="G744" s="9" t="str">
        <x:f>IF(A744="","",INDEX('입고대장'!$M$7:$M$1006,MATCH(A744,'입고대장'!$A$7:$A$1006,0)))</x:f>
      </x:c>
      <x:c r="H744" s="9"/>
      <x:c r="I744" s="2"/>
      <x:c r="J744" s="2"/>
      <x:c r="K744" s="2"/>
      <x:c r="L744" s="2"/>
      <x:c r="M744" s="2"/>
      <x:c r="N744" s="2"/>
    </x:row>
    <x:row r="745" ht="23" customHeight="1">
      <x:c r="A745" s="9"/>
      <x:c r="B745" s="10"/>
      <x:c r="C745" s="14"/>
      <x:c r="D745" s="9"/>
      <x:c r="E745" s="9"/>
      <x:c r="F745" s="9"/>
      <x:c r="G745" s="9" t="str">
        <x:f>IF(A745="","",INDEX('입고대장'!$M$7:$M$1006,MATCH(A745,'입고대장'!$A$7:$A$1006,0)))</x:f>
      </x:c>
      <x:c r="H745" s="9"/>
      <x:c r="I745" s="2"/>
      <x:c r="J745" s="2"/>
      <x:c r="K745" s="2"/>
      <x:c r="L745" s="2"/>
      <x:c r="M745" s="2"/>
      <x:c r="N745" s="2"/>
    </x:row>
    <x:row r="746" ht="23" customHeight="1">
      <x:c r="A746" s="9"/>
      <x:c r="B746" s="10"/>
      <x:c r="C746" s="14"/>
      <x:c r="D746" s="9"/>
      <x:c r="E746" s="9"/>
      <x:c r="F746" s="9"/>
      <x:c r="G746" s="9" t="str">
        <x:f>IF(A746="","",INDEX('입고대장'!$M$7:$M$1006,MATCH(A746,'입고대장'!$A$7:$A$1006,0)))</x:f>
      </x:c>
      <x:c r="H746" s="9"/>
      <x:c r="I746" s="2"/>
      <x:c r="J746" s="2"/>
      <x:c r="K746" s="2"/>
      <x:c r="L746" s="2"/>
      <x:c r="M746" s="2"/>
      <x:c r="N746" s="2"/>
    </x:row>
    <x:row r="747" ht="23" customHeight="1">
      <x:c r="A747" s="9"/>
      <x:c r="B747" s="10"/>
      <x:c r="C747" s="14"/>
      <x:c r="D747" s="9"/>
      <x:c r="E747" s="9"/>
      <x:c r="F747" s="9"/>
      <x:c r="G747" s="9" t="str">
        <x:f>IF(A747="","",INDEX('입고대장'!$M$7:$M$1006,MATCH(A747,'입고대장'!$A$7:$A$1006,0)))</x:f>
      </x:c>
      <x:c r="H747" s="9"/>
      <x:c r="I747" s="2"/>
      <x:c r="J747" s="2"/>
      <x:c r="K747" s="2"/>
      <x:c r="L747" s="2"/>
      <x:c r="M747" s="2"/>
      <x:c r="N747" s="2"/>
    </x:row>
    <x:row r="748" ht="23" customHeight="1">
      <x:c r="A748" s="9"/>
      <x:c r="B748" s="10"/>
      <x:c r="C748" s="14"/>
      <x:c r="D748" s="9"/>
      <x:c r="E748" s="9"/>
      <x:c r="F748" s="9"/>
      <x:c r="G748" s="9" t="str">
        <x:f>IF(A748="","",INDEX('입고대장'!$M$7:$M$1006,MATCH(A748,'입고대장'!$A$7:$A$1006,0)))</x:f>
      </x:c>
      <x:c r="H748" s="9"/>
      <x:c r="I748" s="2"/>
      <x:c r="J748" s="2"/>
      <x:c r="K748" s="2"/>
      <x:c r="L748" s="2"/>
      <x:c r="M748" s="2"/>
      <x:c r="N748" s="2"/>
    </x:row>
    <x:row r="749" ht="23" customHeight="1">
      <x:c r="A749" s="9"/>
      <x:c r="B749" s="10"/>
      <x:c r="C749" s="14"/>
      <x:c r="D749" s="9"/>
      <x:c r="E749" s="9"/>
      <x:c r="F749" s="9"/>
      <x:c r="G749" s="9" t="str">
        <x:f>IF(A749="","",INDEX('입고대장'!$M$7:$M$1006,MATCH(A749,'입고대장'!$A$7:$A$1006,0)))</x:f>
      </x:c>
      <x:c r="H749" s="9"/>
      <x:c r="I749" s="2"/>
      <x:c r="J749" s="2"/>
      <x:c r="K749" s="2"/>
      <x:c r="L749" s="2"/>
      <x:c r="M749" s="2"/>
      <x:c r="N749" s="2"/>
    </x:row>
    <x:row r="750" ht="23" customHeight="1">
      <x:c r="A750" s="9"/>
      <x:c r="B750" s="10"/>
      <x:c r="C750" s="14"/>
      <x:c r="D750" s="9"/>
      <x:c r="E750" s="9"/>
      <x:c r="F750" s="9"/>
      <x:c r="G750" s="9" t="str">
        <x:f>IF(A750="","",INDEX('입고대장'!$M$7:$M$1006,MATCH(A750,'입고대장'!$A$7:$A$1006,0)))</x:f>
      </x:c>
      <x:c r="H750" s="9"/>
      <x:c r="I750" s="2"/>
      <x:c r="J750" s="2"/>
      <x:c r="K750" s="2"/>
      <x:c r="L750" s="2"/>
      <x:c r="M750" s="2"/>
      <x:c r="N750" s="2"/>
    </x:row>
    <x:row r="751" ht="23" customHeight="1">
      <x:c r="A751" s="9"/>
      <x:c r="B751" s="10"/>
      <x:c r="C751" s="14"/>
      <x:c r="D751" s="9"/>
      <x:c r="E751" s="9"/>
      <x:c r="F751" s="9"/>
      <x:c r="G751" s="9" t="str">
        <x:f>IF(A751="","",INDEX('입고대장'!$M$7:$M$1006,MATCH(A751,'입고대장'!$A$7:$A$1006,0)))</x:f>
      </x:c>
      <x:c r="H751" s="9"/>
      <x:c r="I751" s="2"/>
      <x:c r="J751" s="2"/>
      <x:c r="K751" s="2"/>
      <x:c r="L751" s="2"/>
      <x:c r="M751" s="2"/>
      <x:c r="N751" s="2"/>
    </x:row>
    <x:row r="752" ht="23" customHeight="1">
      <x:c r="A752" s="9"/>
      <x:c r="B752" s="10"/>
      <x:c r="C752" s="14"/>
      <x:c r="D752" s="9"/>
      <x:c r="E752" s="9"/>
      <x:c r="F752" s="9"/>
      <x:c r="G752" s="9" t="str">
        <x:f>IF(A752="","",INDEX('입고대장'!$M$7:$M$1006,MATCH(A752,'입고대장'!$A$7:$A$1006,0)))</x:f>
      </x:c>
      <x:c r="H752" s="9"/>
      <x:c r="I752" s="2"/>
      <x:c r="J752" s="2"/>
      <x:c r="K752" s="2"/>
      <x:c r="L752" s="2"/>
      <x:c r="M752" s="2"/>
      <x:c r="N752" s="2"/>
    </x:row>
    <x:row r="753" ht="23" customHeight="1">
      <x:c r="A753" s="9"/>
      <x:c r="B753" s="10"/>
      <x:c r="C753" s="14"/>
      <x:c r="D753" s="9"/>
      <x:c r="E753" s="9"/>
      <x:c r="F753" s="9"/>
      <x:c r="G753" s="9" t="str">
        <x:f>IF(A753="","",INDEX('입고대장'!$M$7:$M$1006,MATCH(A753,'입고대장'!$A$7:$A$1006,0)))</x:f>
      </x:c>
      <x:c r="H753" s="9"/>
      <x:c r="I753" s="2"/>
      <x:c r="J753" s="2"/>
      <x:c r="K753" s="2"/>
      <x:c r="L753" s="2"/>
      <x:c r="M753" s="2"/>
      <x:c r="N753" s="2"/>
    </x:row>
    <x:row r="754" ht="23" customHeight="1">
      <x:c r="A754" s="9"/>
      <x:c r="B754" s="10"/>
      <x:c r="C754" s="14"/>
      <x:c r="D754" s="9"/>
      <x:c r="E754" s="9"/>
      <x:c r="F754" s="9"/>
      <x:c r="G754" s="9" t="str">
        <x:f>IF(A754="","",INDEX('입고대장'!$M$7:$M$1006,MATCH(A754,'입고대장'!$A$7:$A$1006,0)))</x:f>
      </x:c>
      <x:c r="H754" s="9"/>
      <x:c r="I754" s="2"/>
      <x:c r="J754" s="2"/>
      <x:c r="K754" s="2"/>
      <x:c r="L754" s="2"/>
      <x:c r="M754" s="2"/>
      <x:c r="N754" s="2"/>
    </x:row>
    <x:row r="755" ht="23" customHeight="1">
      <x:c r="A755" s="9"/>
      <x:c r="B755" s="10"/>
      <x:c r="C755" s="14"/>
      <x:c r="D755" s="9"/>
      <x:c r="E755" s="9"/>
      <x:c r="F755" s="9"/>
      <x:c r="G755" s="9" t="str">
        <x:f>IF(A755="","",INDEX('입고대장'!$M$7:$M$1006,MATCH(A755,'입고대장'!$A$7:$A$1006,0)))</x:f>
      </x:c>
      <x:c r="H755" s="9"/>
      <x:c r="I755" s="2"/>
      <x:c r="J755" s="2"/>
      <x:c r="K755" s="2"/>
      <x:c r="L755" s="2"/>
      <x:c r="M755" s="2"/>
      <x:c r="N755" s="2"/>
    </x:row>
    <x:row r="756" ht="23" customHeight="1">
      <x:c r="A756" s="9"/>
      <x:c r="B756" s="10"/>
      <x:c r="C756" s="14"/>
      <x:c r="D756" s="9"/>
      <x:c r="E756" s="9"/>
      <x:c r="F756" s="9"/>
      <x:c r="G756" s="9" t="str">
        <x:f>IF(A756="","",INDEX('입고대장'!$M$7:$M$1006,MATCH(A756,'입고대장'!$A$7:$A$1006,0)))</x:f>
      </x:c>
      <x:c r="H756" s="9"/>
      <x:c r="I756" s="2"/>
      <x:c r="J756" s="2"/>
      <x:c r="K756" s="2"/>
      <x:c r="L756" s="2"/>
      <x:c r="M756" s="2"/>
      <x:c r="N756" s="2"/>
    </x:row>
    <x:row r="757" ht="23" customHeight="1">
      <x:c r="A757" s="9"/>
      <x:c r="B757" s="10"/>
      <x:c r="C757" s="14"/>
      <x:c r="D757" s="9"/>
      <x:c r="E757" s="9"/>
      <x:c r="F757" s="9"/>
      <x:c r="G757" s="9" t="str">
        <x:f>IF(A757="","",INDEX('입고대장'!$M$7:$M$1006,MATCH(A757,'입고대장'!$A$7:$A$1006,0)))</x:f>
      </x:c>
      <x:c r="H757" s="9"/>
      <x:c r="I757" s="2"/>
      <x:c r="J757" s="2"/>
      <x:c r="K757" s="2"/>
      <x:c r="L757" s="2"/>
      <x:c r="M757" s="2"/>
      <x:c r="N757" s="2"/>
    </x:row>
    <x:row r="758" ht="23" customHeight="1">
      <x:c r="A758" s="9"/>
      <x:c r="B758" s="10"/>
      <x:c r="C758" s="14"/>
      <x:c r="D758" s="9"/>
      <x:c r="E758" s="9"/>
      <x:c r="F758" s="9"/>
      <x:c r="G758" s="9" t="str">
        <x:f>IF(A758="","",INDEX('입고대장'!$M$7:$M$1006,MATCH(A758,'입고대장'!$A$7:$A$1006,0)))</x:f>
      </x:c>
      <x:c r="H758" s="9"/>
      <x:c r="I758" s="2"/>
      <x:c r="J758" s="2"/>
      <x:c r="K758" s="2"/>
      <x:c r="L758" s="2"/>
      <x:c r="M758" s="2"/>
      <x:c r="N758" s="2"/>
    </x:row>
    <x:row r="759" ht="23" customHeight="1">
      <x:c r="A759" s="9"/>
      <x:c r="B759" s="10"/>
      <x:c r="C759" s="14"/>
      <x:c r="D759" s="9"/>
      <x:c r="E759" s="9"/>
      <x:c r="F759" s="9"/>
      <x:c r="G759" s="9" t="str">
        <x:f>IF(A759="","",INDEX('입고대장'!$M$7:$M$1006,MATCH(A759,'입고대장'!$A$7:$A$1006,0)))</x:f>
      </x:c>
      <x:c r="H759" s="9"/>
      <x:c r="I759" s="2"/>
      <x:c r="J759" s="2"/>
      <x:c r="K759" s="2"/>
      <x:c r="L759" s="2"/>
      <x:c r="M759" s="2"/>
      <x:c r="N759" s="2"/>
    </x:row>
    <x:row r="760" ht="23" customHeight="1">
      <x:c r="A760" s="9"/>
      <x:c r="B760" s="10"/>
      <x:c r="C760" s="14"/>
      <x:c r="D760" s="9"/>
      <x:c r="E760" s="9"/>
      <x:c r="F760" s="9"/>
      <x:c r="G760" s="9" t="str">
        <x:f>IF(A760="","",INDEX('입고대장'!$M$7:$M$1006,MATCH(A760,'입고대장'!$A$7:$A$1006,0)))</x:f>
      </x:c>
      <x:c r="H760" s="9"/>
      <x:c r="I760" s="2"/>
      <x:c r="J760" s="2"/>
      <x:c r="K760" s="2"/>
      <x:c r="L760" s="2"/>
      <x:c r="M760" s="2"/>
      <x:c r="N760" s="2"/>
    </x:row>
    <x:row r="761" ht="23" customHeight="1">
      <x:c r="A761" s="9"/>
      <x:c r="B761" s="10"/>
      <x:c r="C761" s="14"/>
      <x:c r="D761" s="9"/>
      <x:c r="E761" s="9"/>
      <x:c r="F761" s="9"/>
      <x:c r="G761" s="9" t="str">
        <x:f>IF(A761="","",INDEX('입고대장'!$M$7:$M$1006,MATCH(A761,'입고대장'!$A$7:$A$1006,0)))</x:f>
      </x:c>
      <x:c r="H761" s="9"/>
      <x:c r="I761" s="2"/>
      <x:c r="J761" s="2"/>
      <x:c r="K761" s="2"/>
      <x:c r="L761" s="2"/>
      <x:c r="M761" s="2"/>
      <x:c r="N761" s="2"/>
    </x:row>
    <x:row r="762" ht="23" customHeight="1">
      <x:c r="A762" s="9"/>
      <x:c r="B762" s="10"/>
      <x:c r="C762" s="14"/>
      <x:c r="D762" s="9"/>
      <x:c r="E762" s="9"/>
      <x:c r="F762" s="9"/>
      <x:c r="G762" s="9" t="str">
        <x:f>IF(A762="","",INDEX('입고대장'!$M$7:$M$1006,MATCH(A762,'입고대장'!$A$7:$A$1006,0)))</x:f>
      </x:c>
      <x:c r="H762" s="9"/>
      <x:c r="I762" s="2"/>
      <x:c r="J762" s="2"/>
      <x:c r="K762" s="2"/>
      <x:c r="L762" s="2"/>
      <x:c r="M762" s="2"/>
      <x:c r="N762" s="2"/>
    </x:row>
    <x:row r="763" ht="23" customHeight="1">
      <x:c r="A763" s="9"/>
      <x:c r="B763" s="10"/>
      <x:c r="C763" s="14"/>
      <x:c r="D763" s="9"/>
      <x:c r="E763" s="9"/>
      <x:c r="F763" s="9"/>
      <x:c r="G763" s="9" t="str">
        <x:f>IF(A763="","",INDEX('입고대장'!$M$7:$M$1006,MATCH(A763,'입고대장'!$A$7:$A$1006,0)))</x:f>
      </x:c>
      <x:c r="H763" s="9"/>
      <x:c r="I763" s="2"/>
      <x:c r="J763" s="2"/>
      <x:c r="K763" s="2"/>
      <x:c r="L763" s="2"/>
      <x:c r="M763" s="2"/>
      <x:c r="N763" s="2"/>
    </x:row>
    <x:row r="764" ht="23" customHeight="1">
      <x:c r="A764" s="9"/>
      <x:c r="B764" s="10"/>
      <x:c r="C764" s="14"/>
      <x:c r="D764" s="9"/>
      <x:c r="E764" s="9"/>
      <x:c r="F764" s="9"/>
      <x:c r="G764" s="9" t="str">
        <x:f>IF(A764="","",INDEX('입고대장'!$M$7:$M$1006,MATCH(A764,'입고대장'!$A$7:$A$1006,0)))</x:f>
      </x:c>
      <x:c r="H764" s="9"/>
      <x:c r="I764" s="2"/>
      <x:c r="J764" s="2"/>
      <x:c r="K764" s="2"/>
      <x:c r="L764" s="2"/>
      <x:c r="M764" s="2"/>
      <x:c r="N764" s="2"/>
    </x:row>
    <x:row r="765" ht="23" customHeight="1">
      <x:c r="A765" s="9"/>
      <x:c r="B765" s="10"/>
      <x:c r="C765" s="14"/>
      <x:c r="D765" s="9"/>
      <x:c r="E765" s="9"/>
      <x:c r="F765" s="9"/>
      <x:c r="G765" s="9" t="str">
        <x:f>IF(A765="","",INDEX('입고대장'!$M$7:$M$1006,MATCH(A765,'입고대장'!$A$7:$A$1006,0)))</x:f>
      </x:c>
      <x:c r="H765" s="9"/>
      <x:c r="I765" s="2"/>
      <x:c r="J765" s="2"/>
      <x:c r="K765" s="2"/>
      <x:c r="L765" s="2"/>
      <x:c r="M765" s="2"/>
      <x:c r="N765" s="2"/>
    </x:row>
    <x:row r="766" ht="23" customHeight="1">
      <x:c r="A766" s="9"/>
      <x:c r="B766" s="10"/>
      <x:c r="C766" s="14"/>
      <x:c r="D766" s="9"/>
      <x:c r="E766" s="9"/>
      <x:c r="F766" s="9"/>
      <x:c r="G766" s="9" t="str">
        <x:f>IF(A766="","",INDEX('입고대장'!$M$7:$M$1006,MATCH(A766,'입고대장'!$A$7:$A$1006,0)))</x:f>
      </x:c>
      <x:c r="H766" s="9"/>
      <x:c r="I766" s="2"/>
      <x:c r="J766" s="2"/>
      <x:c r="K766" s="2"/>
      <x:c r="L766" s="2"/>
      <x:c r="M766" s="2"/>
      <x:c r="N766" s="2"/>
    </x:row>
    <x:row r="767" ht="23" customHeight="1">
      <x:c r="A767" s="9"/>
      <x:c r="B767" s="10"/>
      <x:c r="C767" s="14"/>
      <x:c r="D767" s="9"/>
      <x:c r="E767" s="9"/>
      <x:c r="F767" s="9"/>
      <x:c r="G767" s="9" t="str">
        <x:f>IF(A767="","",INDEX('입고대장'!$M$7:$M$1006,MATCH(A767,'입고대장'!$A$7:$A$1006,0)))</x:f>
      </x:c>
      <x:c r="H767" s="9"/>
      <x:c r="I767" s="2"/>
      <x:c r="J767" s="2"/>
      <x:c r="K767" s="2"/>
      <x:c r="L767" s="2"/>
      <x:c r="M767" s="2"/>
      <x:c r="N767" s="2"/>
    </x:row>
    <x:row r="768" ht="23" customHeight="1">
      <x:c r="A768" s="9"/>
      <x:c r="B768" s="10"/>
      <x:c r="C768" s="14"/>
      <x:c r="D768" s="9"/>
      <x:c r="E768" s="9"/>
      <x:c r="F768" s="9"/>
      <x:c r="G768" s="9" t="str">
        <x:f>IF(A768="","",INDEX('입고대장'!$M$7:$M$1006,MATCH(A768,'입고대장'!$A$7:$A$1006,0)))</x:f>
      </x:c>
      <x:c r="H768" s="9"/>
      <x:c r="I768" s="2"/>
      <x:c r="J768" s="2"/>
      <x:c r="K768" s="2"/>
      <x:c r="L768" s="2"/>
      <x:c r="M768" s="2"/>
      <x:c r="N768" s="2"/>
    </x:row>
    <x:row r="769" ht="23" customHeight="1">
      <x:c r="A769" s="9"/>
      <x:c r="B769" s="10"/>
      <x:c r="C769" s="14"/>
      <x:c r="D769" s="9"/>
      <x:c r="E769" s="9"/>
      <x:c r="F769" s="9"/>
      <x:c r="G769" s="9" t="str">
        <x:f>IF(A769="","",INDEX('입고대장'!$M$7:$M$1006,MATCH(A769,'입고대장'!$A$7:$A$1006,0)))</x:f>
      </x:c>
      <x:c r="H769" s="9"/>
      <x:c r="I769" s="2"/>
      <x:c r="J769" s="2"/>
      <x:c r="K769" s="2"/>
      <x:c r="L769" s="2"/>
      <x:c r="M769" s="2"/>
      <x:c r="N769" s="2"/>
    </x:row>
    <x:row r="770" ht="23" customHeight="1">
      <x:c r="A770" s="9"/>
      <x:c r="B770" s="10"/>
      <x:c r="C770" s="14"/>
      <x:c r="D770" s="9"/>
      <x:c r="E770" s="9"/>
      <x:c r="F770" s="9"/>
      <x:c r="G770" s="9" t="str">
        <x:f>IF(A770="","",INDEX('입고대장'!$M$7:$M$1006,MATCH(A770,'입고대장'!$A$7:$A$1006,0)))</x:f>
      </x:c>
      <x:c r="H770" s="9"/>
      <x:c r="I770" s="2"/>
      <x:c r="J770" s="2"/>
      <x:c r="K770" s="2"/>
      <x:c r="L770" s="2"/>
      <x:c r="M770" s="2"/>
      <x:c r="N770" s="2"/>
    </x:row>
    <x:row r="771" ht="23" customHeight="1">
      <x:c r="A771" s="9"/>
      <x:c r="B771" s="10"/>
      <x:c r="C771" s="14"/>
      <x:c r="D771" s="9"/>
      <x:c r="E771" s="9"/>
      <x:c r="F771" s="9"/>
      <x:c r="G771" s="9" t="str">
        <x:f>IF(A771="","",INDEX('입고대장'!$M$7:$M$1006,MATCH(A771,'입고대장'!$A$7:$A$1006,0)))</x:f>
      </x:c>
      <x:c r="H771" s="9"/>
      <x:c r="I771" s="2"/>
      <x:c r="J771" s="2"/>
      <x:c r="K771" s="2"/>
      <x:c r="L771" s="2"/>
      <x:c r="M771" s="2"/>
      <x:c r="N771" s="2"/>
    </x:row>
    <x:row r="772" ht="23" customHeight="1">
      <x:c r="A772" s="9"/>
      <x:c r="B772" s="10"/>
      <x:c r="C772" s="14"/>
      <x:c r="D772" s="9"/>
      <x:c r="E772" s="9"/>
      <x:c r="F772" s="9"/>
      <x:c r="G772" s="9" t="str">
        <x:f>IF(A772="","",INDEX('입고대장'!$M$7:$M$1006,MATCH(A772,'입고대장'!$A$7:$A$1006,0)))</x:f>
      </x:c>
      <x:c r="H772" s="9"/>
      <x:c r="I772" s="2"/>
      <x:c r="J772" s="2"/>
      <x:c r="K772" s="2"/>
      <x:c r="L772" s="2"/>
      <x:c r="M772" s="2"/>
      <x:c r="N772" s="2"/>
    </x:row>
    <x:row r="773" ht="23" customHeight="1">
      <x:c r="A773" s="9"/>
      <x:c r="B773" s="10"/>
      <x:c r="C773" s="14"/>
      <x:c r="D773" s="9"/>
      <x:c r="E773" s="9"/>
      <x:c r="F773" s="9"/>
      <x:c r="G773" s="9" t="str">
        <x:f>IF(A773="","",INDEX('입고대장'!$M$7:$M$1006,MATCH(A773,'입고대장'!$A$7:$A$1006,0)))</x:f>
      </x:c>
      <x:c r="H773" s="9"/>
      <x:c r="I773" s="2"/>
      <x:c r="J773" s="2"/>
      <x:c r="K773" s="2"/>
      <x:c r="L773" s="2"/>
      <x:c r="M773" s="2"/>
      <x:c r="N773" s="2"/>
    </x:row>
    <x:row r="774" ht="23" customHeight="1">
      <x:c r="A774" s="9"/>
      <x:c r="B774" s="10"/>
      <x:c r="C774" s="14"/>
      <x:c r="D774" s="9"/>
      <x:c r="E774" s="9"/>
      <x:c r="F774" s="9"/>
      <x:c r="G774" s="9" t="str">
        <x:f>IF(A774="","",INDEX('입고대장'!$M$7:$M$1006,MATCH(A774,'입고대장'!$A$7:$A$1006,0)))</x:f>
      </x:c>
      <x:c r="H774" s="9"/>
      <x:c r="I774" s="2"/>
      <x:c r="J774" s="2"/>
      <x:c r="K774" s="2"/>
      <x:c r="L774" s="2"/>
      <x:c r="M774" s="2"/>
      <x:c r="N774" s="2"/>
    </x:row>
    <x:row r="775" ht="23" customHeight="1">
      <x:c r="A775" s="9"/>
      <x:c r="B775" s="10"/>
      <x:c r="C775" s="14"/>
      <x:c r="D775" s="9"/>
      <x:c r="E775" s="9"/>
      <x:c r="F775" s="9"/>
      <x:c r="G775" s="9" t="str">
        <x:f>IF(A775="","",INDEX('입고대장'!$M$7:$M$1006,MATCH(A775,'입고대장'!$A$7:$A$1006,0)))</x:f>
      </x:c>
      <x:c r="H775" s="9"/>
      <x:c r="I775" s="2"/>
      <x:c r="J775" s="2"/>
      <x:c r="K775" s="2"/>
      <x:c r="L775" s="2"/>
      <x:c r="M775" s="2"/>
      <x:c r="N775" s="2"/>
    </x:row>
    <x:row r="776" ht="23" customHeight="1">
      <x:c r="A776" s="9"/>
      <x:c r="B776" s="10"/>
      <x:c r="C776" s="14"/>
      <x:c r="D776" s="9"/>
      <x:c r="E776" s="9"/>
      <x:c r="F776" s="9"/>
      <x:c r="G776" s="9" t="str">
        <x:f>IF(A776="","",INDEX('입고대장'!$M$7:$M$1006,MATCH(A776,'입고대장'!$A$7:$A$1006,0)))</x:f>
      </x:c>
      <x:c r="H776" s="9"/>
      <x:c r="I776" s="2"/>
      <x:c r="J776" s="2"/>
      <x:c r="K776" s="2"/>
      <x:c r="L776" s="2"/>
      <x:c r="M776" s="2"/>
      <x:c r="N776" s="2"/>
    </x:row>
    <x:row r="777" ht="23" customHeight="1">
      <x:c r="A777" s="9"/>
      <x:c r="B777" s="10"/>
      <x:c r="C777" s="14"/>
      <x:c r="D777" s="9"/>
      <x:c r="E777" s="9"/>
      <x:c r="F777" s="9"/>
      <x:c r="G777" s="9" t="str">
        <x:f>IF(A777="","",INDEX('입고대장'!$M$7:$M$1006,MATCH(A777,'입고대장'!$A$7:$A$1006,0)))</x:f>
      </x:c>
      <x:c r="H777" s="9"/>
      <x:c r="I777" s="2"/>
      <x:c r="J777" s="2"/>
      <x:c r="K777" s="2"/>
      <x:c r="L777" s="2"/>
      <x:c r="M777" s="2"/>
      <x:c r="N777" s="2"/>
    </x:row>
    <x:row r="778" ht="23" customHeight="1">
      <x:c r="A778" s="9"/>
      <x:c r="B778" s="10"/>
      <x:c r="C778" s="14"/>
      <x:c r="D778" s="9"/>
      <x:c r="E778" s="9"/>
      <x:c r="F778" s="9"/>
      <x:c r="G778" s="9" t="str">
        <x:f>IF(A778="","",INDEX('입고대장'!$M$7:$M$1006,MATCH(A778,'입고대장'!$A$7:$A$1006,0)))</x:f>
      </x:c>
      <x:c r="H778" s="9"/>
      <x:c r="I778" s="2"/>
      <x:c r="J778" s="2"/>
      <x:c r="K778" s="2"/>
      <x:c r="L778" s="2"/>
      <x:c r="M778" s="2"/>
      <x:c r="N778" s="2"/>
    </x:row>
    <x:row r="779" ht="23" customHeight="1">
      <x:c r="A779" s="9"/>
      <x:c r="B779" s="10"/>
      <x:c r="C779" s="14"/>
      <x:c r="D779" s="9"/>
      <x:c r="E779" s="9"/>
      <x:c r="F779" s="9"/>
      <x:c r="G779" s="9" t="str">
        <x:f>IF(A779="","",INDEX('입고대장'!$M$7:$M$1006,MATCH(A779,'입고대장'!$A$7:$A$1006,0)))</x:f>
      </x:c>
      <x:c r="H779" s="9"/>
      <x:c r="I779" s="2"/>
      <x:c r="J779" s="2"/>
      <x:c r="K779" s="2"/>
      <x:c r="L779" s="2"/>
      <x:c r="M779" s="2"/>
      <x:c r="N779" s="2"/>
    </x:row>
    <x:row r="780" ht="23" customHeight="1">
      <x:c r="A780" s="9"/>
      <x:c r="B780" s="10"/>
      <x:c r="C780" s="14"/>
      <x:c r="D780" s="9"/>
      <x:c r="E780" s="9"/>
      <x:c r="F780" s="9"/>
      <x:c r="G780" s="9" t="str">
        <x:f>IF(A780="","",INDEX('입고대장'!$M$7:$M$1006,MATCH(A780,'입고대장'!$A$7:$A$1006,0)))</x:f>
      </x:c>
      <x:c r="H780" s="9"/>
      <x:c r="I780" s="2"/>
      <x:c r="J780" s="2"/>
      <x:c r="K780" s="2"/>
      <x:c r="L780" s="2"/>
      <x:c r="M780" s="2"/>
      <x:c r="N780" s="2"/>
    </x:row>
    <x:row r="781" ht="23" customHeight="1">
      <x:c r="A781" s="9"/>
      <x:c r="B781" s="10"/>
      <x:c r="C781" s="14"/>
      <x:c r="D781" s="9"/>
      <x:c r="E781" s="9"/>
      <x:c r="F781" s="9"/>
      <x:c r="G781" s="9" t="str">
        <x:f>IF(A781="","",INDEX('입고대장'!$M$7:$M$1006,MATCH(A781,'입고대장'!$A$7:$A$1006,0)))</x:f>
      </x:c>
      <x:c r="H781" s="9"/>
      <x:c r="I781" s="2"/>
      <x:c r="J781" s="2"/>
      <x:c r="K781" s="2"/>
      <x:c r="L781" s="2"/>
      <x:c r="M781" s="2"/>
      <x:c r="N781" s="2"/>
    </x:row>
    <x:row r="782" ht="23" customHeight="1">
      <x:c r="A782" s="9"/>
      <x:c r="B782" s="10"/>
      <x:c r="C782" s="14"/>
      <x:c r="D782" s="9"/>
      <x:c r="E782" s="9"/>
      <x:c r="F782" s="9"/>
      <x:c r="G782" s="9" t="str">
        <x:f>IF(A782="","",INDEX('입고대장'!$M$7:$M$1006,MATCH(A782,'입고대장'!$A$7:$A$1006,0)))</x:f>
      </x:c>
      <x:c r="H782" s="9"/>
      <x:c r="I782" s="2"/>
      <x:c r="J782" s="2"/>
      <x:c r="K782" s="2"/>
      <x:c r="L782" s="2"/>
      <x:c r="M782" s="2"/>
      <x:c r="N782" s="2"/>
    </x:row>
    <x:row r="783" ht="23" customHeight="1">
      <x:c r="A783" s="9"/>
      <x:c r="B783" s="10"/>
      <x:c r="C783" s="14"/>
      <x:c r="D783" s="9"/>
      <x:c r="E783" s="9"/>
      <x:c r="F783" s="9"/>
      <x:c r="G783" s="9" t="str">
        <x:f>IF(A783="","",INDEX('입고대장'!$M$7:$M$1006,MATCH(A783,'입고대장'!$A$7:$A$1006,0)))</x:f>
      </x:c>
      <x:c r="H783" s="9"/>
      <x:c r="I783" s="2"/>
      <x:c r="J783" s="2"/>
      <x:c r="K783" s="2"/>
      <x:c r="L783" s="2"/>
      <x:c r="M783" s="2"/>
      <x:c r="N783" s="2"/>
    </x:row>
    <x:row r="784" ht="23" customHeight="1">
      <x:c r="A784" s="9"/>
      <x:c r="B784" s="10"/>
      <x:c r="C784" s="14"/>
      <x:c r="D784" s="9"/>
      <x:c r="E784" s="9"/>
      <x:c r="F784" s="9"/>
      <x:c r="G784" s="9" t="str">
        <x:f>IF(A784="","",INDEX('입고대장'!$M$7:$M$1006,MATCH(A784,'입고대장'!$A$7:$A$1006,0)))</x:f>
      </x:c>
      <x:c r="H784" s="9"/>
      <x:c r="I784" s="2"/>
      <x:c r="J784" s="2"/>
      <x:c r="K784" s="2"/>
      <x:c r="L784" s="2"/>
      <x:c r="M784" s="2"/>
      <x:c r="N784" s="2"/>
    </x:row>
    <x:row r="785" ht="23" customHeight="1">
      <x:c r="A785" s="9"/>
      <x:c r="B785" s="10"/>
      <x:c r="C785" s="14"/>
      <x:c r="D785" s="9"/>
      <x:c r="E785" s="9"/>
      <x:c r="F785" s="9"/>
      <x:c r="G785" s="9" t="str">
        <x:f>IF(A785="","",INDEX('입고대장'!$M$7:$M$1006,MATCH(A785,'입고대장'!$A$7:$A$1006,0)))</x:f>
      </x:c>
      <x:c r="H785" s="9"/>
      <x:c r="I785" s="2"/>
      <x:c r="J785" s="2"/>
      <x:c r="K785" s="2"/>
      <x:c r="L785" s="2"/>
      <x:c r="M785" s="2"/>
      <x:c r="N785" s="2"/>
    </x:row>
    <x:row r="786" ht="23" customHeight="1">
      <x:c r="A786" s="9"/>
      <x:c r="B786" s="10"/>
      <x:c r="C786" s="14"/>
      <x:c r="D786" s="9"/>
      <x:c r="E786" s="9"/>
      <x:c r="F786" s="9"/>
      <x:c r="G786" s="9" t="str">
        <x:f>IF(A786="","",INDEX('입고대장'!$M$7:$M$1006,MATCH(A786,'입고대장'!$A$7:$A$1006,0)))</x:f>
      </x:c>
      <x:c r="H786" s="9"/>
      <x:c r="I786" s="2"/>
      <x:c r="J786" s="2"/>
      <x:c r="K786" s="2"/>
      <x:c r="L786" s="2"/>
      <x:c r="M786" s="2"/>
      <x:c r="N786" s="2"/>
    </x:row>
    <x:row r="787" ht="23" customHeight="1">
      <x:c r="A787" s="9"/>
      <x:c r="B787" s="10"/>
      <x:c r="C787" s="14"/>
      <x:c r="D787" s="9"/>
      <x:c r="E787" s="9"/>
      <x:c r="F787" s="9"/>
      <x:c r="G787" s="9" t="str">
        <x:f>IF(A787="","",INDEX('입고대장'!$M$7:$M$1006,MATCH(A787,'입고대장'!$A$7:$A$1006,0)))</x:f>
      </x:c>
      <x:c r="H787" s="9"/>
      <x:c r="I787" s="2"/>
      <x:c r="J787" s="2"/>
      <x:c r="K787" s="2"/>
      <x:c r="L787" s="2"/>
      <x:c r="M787" s="2"/>
      <x:c r="N787" s="2"/>
    </x:row>
    <x:row r="788" ht="23" customHeight="1">
      <x:c r="A788" s="9"/>
      <x:c r="B788" s="10"/>
      <x:c r="C788" s="14"/>
      <x:c r="D788" s="9"/>
      <x:c r="E788" s="9"/>
      <x:c r="F788" s="9"/>
      <x:c r="G788" s="9" t="str">
        <x:f>IF(A788="","",INDEX('입고대장'!$M$7:$M$1006,MATCH(A788,'입고대장'!$A$7:$A$1006,0)))</x:f>
      </x:c>
      <x:c r="H788" s="9"/>
      <x:c r="I788" s="2"/>
      <x:c r="J788" s="2"/>
      <x:c r="K788" s="2"/>
      <x:c r="L788" s="2"/>
      <x:c r="M788" s="2"/>
      <x:c r="N788" s="2"/>
    </x:row>
    <x:row r="789" ht="23" customHeight="1">
      <x:c r="A789" s="9"/>
      <x:c r="B789" s="10"/>
      <x:c r="C789" s="14"/>
      <x:c r="D789" s="9"/>
      <x:c r="E789" s="9"/>
      <x:c r="F789" s="9"/>
      <x:c r="G789" s="9" t="str">
        <x:f>IF(A789="","",INDEX('입고대장'!$M$7:$M$1006,MATCH(A789,'입고대장'!$A$7:$A$1006,0)))</x:f>
      </x:c>
      <x:c r="H789" s="9"/>
      <x:c r="I789" s="2"/>
      <x:c r="J789" s="2"/>
      <x:c r="K789" s="2"/>
      <x:c r="L789" s="2"/>
      <x:c r="M789" s="2"/>
      <x:c r="N789" s="2"/>
    </x:row>
    <x:row r="790" ht="23" customHeight="1">
      <x:c r="A790" s="9"/>
      <x:c r="B790" s="10"/>
      <x:c r="C790" s="14"/>
      <x:c r="D790" s="9"/>
      <x:c r="E790" s="9"/>
      <x:c r="F790" s="9"/>
      <x:c r="G790" s="9" t="str">
        <x:f>IF(A790="","",INDEX('입고대장'!$M$7:$M$1006,MATCH(A790,'입고대장'!$A$7:$A$1006,0)))</x:f>
      </x:c>
      <x:c r="H790" s="9"/>
      <x:c r="I790" s="2"/>
      <x:c r="J790" s="2"/>
      <x:c r="K790" s="2"/>
      <x:c r="L790" s="2"/>
      <x:c r="M790" s="2"/>
      <x:c r="N790" s="2"/>
    </x:row>
    <x:row r="791" ht="23" customHeight="1">
      <x:c r="A791" s="9"/>
      <x:c r="B791" s="10"/>
      <x:c r="C791" s="14"/>
      <x:c r="D791" s="9"/>
      <x:c r="E791" s="9"/>
      <x:c r="F791" s="9"/>
      <x:c r="G791" s="9" t="str">
        <x:f>IF(A791="","",INDEX('입고대장'!$M$7:$M$1006,MATCH(A791,'입고대장'!$A$7:$A$1006,0)))</x:f>
      </x:c>
      <x:c r="H791" s="9"/>
      <x:c r="I791" s="2"/>
      <x:c r="J791" s="2"/>
      <x:c r="K791" s="2"/>
      <x:c r="L791" s="2"/>
      <x:c r="M791" s="2"/>
      <x:c r="N791" s="2"/>
    </x:row>
    <x:row r="792" ht="23" customHeight="1">
      <x:c r="A792" s="9"/>
      <x:c r="B792" s="10"/>
      <x:c r="C792" s="14"/>
      <x:c r="D792" s="9"/>
      <x:c r="E792" s="9"/>
      <x:c r="F792" s="9"/>
      <x:c r="G792" s="9" t="str">
        <x:f>IF(A792="","",INDEX('입고대장'!$M$7:$M$1006,MATCH(A792,'입고대장'!$A$7:$A$1006,0)))</x:f>
      </x:c>
      <x:c r="H792" s="9"/>
      <x:c r="I792" s="2"/>
      <x:c r="J792" s="2"/>
      <x:c r="K792" s="2"/>
      <x:c r="L792" s="2"/>
      <x:c r="M792" s="2"/>
      <x:c r="N792" s="2"/>
    </x:row>
    <x:row r="793" ht="23" customHeight="1">
      <x:c r="A793" s="9"/>
      <x:c r="B793" s="10"/>
      <x:c r="C793" s="14"/>
      <x:c r="D793" s="9"/>
      <x:c r="E793" s="9"/>
      <x:c r="F793" s="9"/>
      <x:c r="G793" s="9" t="str">
        <x:f>IF(A793="","",INDEX('입고대장'!$M$7:$M$1006,MATCH(A793,'입고대장'!$A$7:$A$1006,0)))</x:f>
      </x:c>
      <x:c r="H793" s="9"/>
      <x:c r="I793" s="2"/>
      <x:c r="J793" s="2"/>
      <x:c r="K793" s="2"/>
      <x:c r="L793" s="2"/>
      <x:c r="M793" s="2"/>
      <x:c r="N793" s="2"/>
    </x:row>
    <x:row r="794" ht="23" customHeight="1">
      <x:c r="A794" s="9"/>
      <x:c r="B794" s="10"/>
      <x:c r="C794" s="14"/>
      <x:c r="D794" s="9"/>
      <x:c r="E794" s="9"/>
      <x:c r="F794" s="9"/>
      <x:c r="G794" s="9" t="str">
        <x:f>IF(A794="","",INDEX('입고대장'!$M$7:$M$1006,MATCH(A794,'입고대장'!$A$7:$A$1006,0)))</x:f>
      </x:c>
      <x:c r="H794" s="9"/>
      <x:c r="I794" s="2"/>
      <x:c r="J794" s="2"/>
      <x:c r="K794" s="2"/>
      <x:c r="L794" s="2"/>
      <x:c r="M794" s="2"/>
      <x:c r="N794" s="2"/>
    </x:row>
    <x:row r="795" ht="23" customHeight="1">
      <x:c r="A795" s="9"/>
      <x:c r="B795" s="10"/>
      <x:c r="C795" s="14"/>
      <x:c r="D795" s="9"/>
      <x:c r="E795" s="9"/>
      <x:c r="F795" s="9"/>
      <x:c r="G795" s="9" t="str">
        <x:f>IF(A795="","",INDEX('입고대장'!$M$7:$M$1006,MATCH(A795,'입고대장'!$A$7:$A$1006,0)))</x:f>
      </x:c>
      <x:c r="H795" s="9"/>
      <x:c r="I795" s="2"/>
      <x:c r="J795" s="2"/>
      <x:c r="K795" s="2"/>
      <x:c r="L795" s="2"/>
      <x:c r="M795" s="2"/>
      <x:c r="N795" s="2"/>
    </x:row>
    <x:row r="796" ht="23" customHeight="1">
      <x:c r="A796" s="9"/>
      <x:c r="B796" s="10"/>
      <x:c r="C796" s="14"/>
      <x:c r="D796" s="9"/>
      <x:c r="E796" s="9"/>
      <x:c r="F796" s="9"/>
      <x:c r="G796" s="9" t="str">
        <x:f>IF(A796="","",INDEX('입고대장'!$M$7:$M$1006,MATCH(A796,'입고대장'!$A$7:$A$1006,0)))</x:f>
      </x:c>
      <x:c r="H796" s="9"/>
      <x:c r="I796" s="2"/>
      <x:c r="J796" s="2"/>
      <x:c r="K796" s="2"/>
      <x:c r="L796" s="2"/>
      <x:c r="M796" s="2"/>
      <x:c r="N796" s="2"/>
    </x:row>
    <x:row r="797" ht="23" customHeight="1">
      <x:c r="A797" s="9"/>
      <x:c r="B797" s="10"/>
      <x:c r="C797" s="14"/>
      <x:c r="D797" s="9"/>
      <x:c r="E797" s="9"/>
      <x:c r="F797" s="9"/>
      <x:c r="G797" s="9" t="str">
        <x:f>IF(A797="","",INDEX('입고대장'!$M$7:$M$1006,MATCH(A797,'입고대장'!$A$7:$A$1006,0)))</x:f>
      </x:c>
      <x:c r="H797" s="9"/>
      <x:c r="I797" s="2"/>
      <x:c r="J797" s="2"/>
      <x:c r="K797" s="2"/>
      <x:c r="L797" s="2"/>
      <x:c r="M797" s="2"/>
      <x:c r="N797" s="2"/>
    </x:row>
    <x:row r="798" ht="23" customHeight="1">
      <x:c r="A798" s="9"/>
      <x:c r="B798" s="10"/>
      <x:c r="C798" s="14"/>
      <x:c r="D798" s="9"/>
      <x:c r="E798" s="9"/>
      <x:c r="F798" s="9"/>
      <x:c r="G798" s="9" t="str">
        <x:f>IF(A798="","",INDEX('입고대장'!$M$7:$M$1006,MATCH(A798,'입고대장'!$A$7:$A$1006,0)))</x:f>
      </x:c>
      <x:c r="H798" s="9"/>
      <x:c r="I798" s="2"/>
      <x:c r="J798" s="2"/>
      <x:c r="K798" s="2"/>
      <x:c r="L798" s="2"/>
      <x:c r="M798" s="2"/>
      <x:c r="N798" s="2"/>
    </x:row>
    <x:row r="799" ht="23" customHeight="1">
      <x:c r="A799" s="9"/>
      <x:c r="B799" s="10"/>
      <x:c r="C799" s="14"/>
      <x:c r="D799" s="9"/>
      <x:c r="E799" s="9"/>
      <x:c r="F799" s="9"/>
      <x:c r="G799" s="9" t="str">
        <x:f>IF(A799="","",INDEX('입고대장'!$M$7:$M$1006,MATCH(A799,'입고대장'!$A$7:$A$1006,0)))</x:f>
      </x:c>
      <x:c r="H799" s="9"/>
      <x:c r="I799" s="2"/>
      <x:c r="J799" s="2"/>
      <x:c r="K799" s="2"/>
      <x:c r="L799" s="2"/>
      <x:c r="M799" s="2"/>
      <x:c r="N799" s="2"/>
    </x:row>
    <x:row r="800" ht="23" customHeight="1">
      <x:c r="A800" s="9"/>
      <x:c r="B800" s="10"/>
      <x:c r="C800" s="14"/>
      <x:c r="D800" s="9"/>
      <x:c r="E800" s="9"/>
      <x:c r="F800" s="9"/>
      <x:c r="G800" s="9" t="str">
        <x:f>IF(A800="","",INDEX('입고대장'!$M$7:$M$1006,MATCH(A800,'입고대장'!$A$7:$A$1006,0)))</x:f>
      </x:c>
      <x:c r="H800" s="9"/>
      <x:c r="I800" s="2"/>
      <x:c r="J800" s="2"/>
      <x:c r="K800" s="2"/>
      <x:c r="L800" s="2"/>
      <x:c r="M800" s="2"/>
      <x:c r="N800" s="2"/>
    </x:row>
    <x:row r="801" ht="23" customHeight="1">
      <x:c r="A801" s="9"/>
      <x:c r="B801" s="10"/>
      <x:c r="C801" s="14"/>
      <x:c r="D801" s="9"/>
      <x:c r="E801" s="9"/>
      <x:c r="F801" s="9"/>
      <x:c r="G801" s="9" t="str">
        <x:f>IF(A801="","",INDEX('입고대장'!$M$7:$M$1006,MATCH(A801,'입고대장'!$A$7:$A$1006,0)))</x:f>
      </x:c>
      <x:c r="H801" s="9"/>
      <x:c r="I801" s="2"/>
      <x:c r="J801" s="2"/>
      <x:c r="K801" s="2"/>
      <x:c r="L801" s="2"/>
      <x:c r="M801" s="2"/>
      <x:c r="N801" s="2"/>
    </x:row>
    <x:row r="802" ht="23" customHeight="1">
      <x:c r="A802" s="9"/>
      <x:c r="B802" s="10"/>
      <x:c r="C802" s="14"/>
      <x:c r="D802" s="9"/>
      <x:c r="E802" s="9"/>
      <x:c r="F802" s="9"/>
      <x:c r="G802" s="9" t="str">
        <x:f>IF(A802="","",INDEX('입고대장'!$M$7:$M$1006,MATCH(A802,'입고대장'!$A$7:$A$1006,0)))</x:f>
      </x:c>
      <x:c r="H802" s="9"/>
      <x:c r="I802" s="2"/>
      <x:c r="J802" s="2"/>
      <x:c r="K802" s="2"/>
      <x:c r="L802" s="2"/>
      <x:c r="M802" s="2"/>
      <x:c r="N802" s="2"/>
    </x:row>
    <x:row r="803" ht="23" customHeight="1">
      <x:c r="A803" s="9"/>
      <x:c r="B803" s="10"/>
      <x:c r="C803" s="14"/>
      <x:c r="D803" s="9"/>
      <x:c r="E803" s="9"/>
      <x:c r="F803" s="9"/>
      <x:c r="G803" s="9" t="str">
        <x:f>IF(A803="","",INDEX('입고대장'!$M$7:$M$1006,MATCH(A803,'입고대장'!$A$7:$A$1006,0)))</x:f>
      </x:c>
      <x:c r="H803" s="9"/>
      <x:c r="I803" s="2"/>
      <x:c r="J803" s="2"/>
      <x:c r="K803" s="2"/>
      <x:c r="L803" s="2"/>
      <x:c r="M803" s="2"/>
      <x:c r="N803" s="2"/>
    </x:row>
    <x:row r="804" ht="23" customHeight="1">
      <x:c r="A804" s="9"/>
      <x:c r="B804" s="10"/>
      <x:c r="C804" s="14"/>
      <x:c r="D804" s="9"/>
      <x:c r="E804" s="9"/>
      <x:c r="F804" s="9"/>
      <x:c r="G804" s="9" t="str">
        <x:f>IF(A804="","",INDEX('입고대장'!$M$7:$M$1006,MATCH(A804,'입고대장'!$A$7:$A$1006,0)))</x:f>
      </x:c>
      <x:c r="H804" s="9"/>
      <x:c r="I804" s="2"/>
      <x:c r="J804" s="2"/>
      <x:c r="K804" s="2"/>
      <x:c r="L804" s="2"/>
      <x:c r="M804" s="2"/>
      <x:c r="N804" s="2"/>
    </x:row>
    <x:row r="805" ht="23" customHeight="1">
      <x:c r="A805" s="9"/>
      <x:c r="B805" s="10"/>
      <x:c r="C805" s="14"/>
      <x:c r="D805" s="9"/>
      <x:c r="E805" s="9"/>
      <x:c r="F805" s="9"/>
      <x:c r="G805" s="9" t="str">
        <x:f>IF(A805="","",INDEX('입고대장'!$M$7:$M$1006,MATCH(A805,'입고대장'!$A$7:$A$1006,0)))</x:f>
      </x:c>
      <x:c r="H805" s="9"/>
      <x:c r="I805" s="2"/>
      <x:c r="J805" s="2"/>
      <x:c r="K805" s="2"/>
      <x:c r="L805" s="2"/>
      <x:c r="M805" s="2"/>
      <x:c r="N805" s="2"/>
    </x:row>
    <x:row r="806" ht="23" customHeight="1">
      <x:c r="A806" s="9"/>
      <x:c r="B806" s="10"/>
      <x:c r="C806" s="14"/>
      <x:c r="D806" s="9"/>
      <x:c r="E806" s="9"/>
      <x:c r="F806" s="9"/>
      <x:c r="G806" s="9" t="str">
        <x:f>IF(A806="","",INDEX('입고대장'!$M$7:$M$1006,MATCH(A806,'입고대장'!$A$7:$A$1006,0)))</x:f>
      </x:c>
      <x:c r="H806" s="9"/>
      <x:c r="I806" s="2"/>
      <x:c r="J806" s="2"/>
      <x:c r="K806" s="2"/>
      <x:c r="L806" s="2"/>
      <x:c r="M806" s="2"/>
      <x:c r="N806" s="2"/>
    </x:row>
    <x:row r="807" ht="23" customHeight="1">
      <x:c r="A807" s="9"/>
      <x:c r="B807" s="10"/>
      <x:c r="C807" s="14"/>
      <x:c r="D807" s="9"/>
      <x:c r="E807" s="9"/>
      <x:c r="F807" s="9"/>
      <x:c r="G807" s="9" t="str">
        <x:f>IF(A807="","",INDEX('입고대장'!$M$7:$M$1006,MATCH(A807,'입고대장'!$A$7:$A$1006,0)))</x:f>
      </x:c>
      <x:c r="H807" s="9"/>
      <x:c r="I807" s="2"/>
      <x:c r="J807" s="2"/>
      <x:c r="K807" s="2"/>
      <x:c r="L807" s="2"/>
      <x:c r="M807" s="2"/>
      <x:c r="N807" s="2"/>
    </x:row>
    <x:row r="808" ht="23" customHeight="1">
      <x:c r="A808" s="9"/>
      <x:c r="B808" s="10"/>
      <x:c r="C808" s="14"/>
      <x:c r="D808" s="9"/>
      <x:c r="E808" s="9"/>
      <x:c r="F808" s="9"/>
      <x:c r="G808" s="9" t="str">
        <x:f>IF(A808="","",INDEX('입고대장'!$M$7:$M$1006,MATCH(A808,'입고대장'!$A$7:$A$1006,0)))</x:f>
      </x:c>
      <x:c r="H808" s="9"/>
      <x:c r="I808" s="2"/>
      <x:c r="J808" s="2"/>
      <x:c r="K808" s="2"/>
      <x:c r="L808" s="2"/>
      <x:c r="M808" s="2"/>
      <x:c r="N808" s="2"/>
    </x:row>
    <x:row r="809" ht="23" customHeight="1">
      <x:c r="A809" s="9"/>
      <x:c r="B809" s="10"/>
      <x:c r="C809" s="14"/>
      <x:c r="D809" s="9"/>
      <x:c r="E809" s="9"/>
      <x:c r="F809" s="9"/>
      <x:c r="G809" s="9" t="str">
        <x:f>IF(A809="","",INDEX('입고대장'!$M$7:$M$1006,MATCH(A809,'입고대장'!$A$7:$A$1006,0)))</x:f>
      </x:c>
      <x:c r="H809" s="9"/>
      <x:c r="I809" s="2"/>
      <x:c r="J809" s="2"/>
      <x:c r="K809" s="2"/>
      <x:c r="L809" s="2"/>
      <x:c r="M809" s="2"/>
      <x:c r="N809" s="2"/>
    </x:row>
    <x:row r="810" ht="23" customHeight="1">
      <x:c r="A810" s="9"/>
      <x:c r="B810" s="10"/>
      <x:c r="C810" s="14"/>
      <x:c r="D810" s="9"/>
      <x:c r="E810" s="9"/>
      <x:c r="F810" s="9"/>
      <x:c r="G810" s="9" t="str">
        <x:f>IF(A810="","",INDEX('입고대장'!$M$7:$M$1006,MATCH(A810,'입고대장'!$A$7:$A$1006,0)))</x:f>
      </x:c>
      <x:c r="H810" s="9"/>
      <x:c r="I810" s="2"/>
      <x:c r="J810" s="2"/>
      <x:c r="K810" s="2"/>
      <x:c r="L810" s="2"/>
      <x:c r="M810" s="2"/>
      <x:c r="N810" s="2"/>
    </x:row>
    <x:row r="811" ht="23" customHeight="1">
      <x:c r="A811" s="9"/>
      <x:c r="B811" s="10"/>
      <x:c r="C811" s="14"/>
      <x:c r="D811" s="9"/>
      <x:c r="E811" s="9"/>
      <x:c r="F811" s="9"/>
      <x:c r="G811" s="9" t="str">
        <x:f>IF(A811="","",INDEX('입고대장'!$M$7:$M$1006,MATCH(A811,'입고대장'!$A$7:$A$1006,0)))</x:f>
      </x:c>
      <x:c r="H811" s="9"/>
      <x:c r="I811" s="2"/>
      <x:c r="J811" s="2"/>
      <x:c r="K811" s="2"/>
      <x:c r="L811" s="2"/>
      <x:c r="M811" s="2"/>
      <x:c r="N811" s="2"/>
    </x:row>
    <x:row r="812" ht="23" customHeight="1">
      <x:c r="A812" s="9"/>
      <x:c r="B812" s="10"/>
      <x:c r="C812" s="14"/>
      <x:c r="D812" s="9"/>
      <x:c r="E812" s="9"/>
      <x:c r="F812" s="9"/>
      <x:c r="G812" s="9" t="str">
        <x:f>IF(A812="","",INDEX('입고대장'!$M$7:$M$1006,MATCH(A812,'입고대장'!$A$7:$A$1006,0)))</x:f>
      </x:c>
      <x:c r="H812" s="9"/>
      <x:c r="I812" s="2"/>
      <x:c r="J812" s="2"/>
      <x:c r="K812" s="2"/>
      <x:c r="L812" s="2"/>
      <x:c r="M812" s="2"/>
      <x:c r="N812" s="2"/>
    </x:row>
    <x:row r="813" ht="23" customHeight="1">
      <x:c r="A813" s="9"/>
      <x:c r="B813" s="10"/>
      <x:c r="C813" s="14"/>
      <x:c r="D813" s="9"/>
      <x:c r="E813" s="9"/>
      <x:c r="F813" s="9"/>
      <x:c r="G813" s="9" t="str">
        <x:f>IF(A813="","",INDEX('입고대장'!$M$7:$M$1006,MATCH(A813,'입고대장'!$A$7:$A$1006,0)))</x:f>
      </x:c>
      <x:c r="H813" s="9"/>
      <x:c r="I813" s="2"/>
      <x:c r="J813" s="2"/>
      <x:c r="K813" s="2"/>
      <x:c r="L813" s="2"/>
      <x:c r="M813" s="2"/>
      <x:c r="N813" s="2"/>
    </x:row>
    <x:row r="814" ht="23" customHeight="1">
      <x:c r="A814" s="9"/>
      <x:c r="B814" s="10"/>
      <x:c r="C814" s="14"/>
      <x:c r="D814" s="9"/>
      <x:c r="E814" s="9"/>
      <x:c r="F814" s="9"/>
      <x:c r="G814" s="9" t="str">
        <x:f>IF(A814="","",INDEX('입고대장'!$M$7:$M$1006,MATCH(A814,'입고대장'!$A$7:$A$1006,0)))</x:f>
      </x:c>
      <x:c r="H814" s="9"/>
      <x:c r="I814" s="2"/>
      <x:c r="J814" s="2"/>
      <x:c r="K814" s="2"/>
      <x:c r="L814" s="2"/>
      <x:c r="M814" s="2"/>
      <x:c r="N814" s="2"/>
    </x:row>
    <x:row r="815" ht="23" customHeight="1">
      <x:c r="A815" s="9"/>
      <x:c r="B815" s="10"/>
      <x:c r="C815" s="14"/>
      <x:c r="D815" s="9"/>
      <x:c r="E815" s="9"/>
      <x:c r="F815" s="9"/>
      <x:c r="G815" s="9" t="str">
        <x:f>IF(A815="","",INDEX('입고대장'!$M$7:$M$1006,MATCH(A815,'입고대장'!$A$7:$A$1006,0)))</x:f>
      </x:c>
      <x:c r="H815" s="9"/>
      <x:c r="I815" s="2"/>
      <x:c r="J815" s="2"/>
      <x:c r="K815" s="2"/>
      <x:c r="L815" s="2"/>
      <x:c r="M815" s="2"/>
      <x:c r="N815" s="2"/>
    </x:row>
    <x:row r="816" ht="23" customHeight="1">
      <x:c r="A816" s="9"/>
      <x:c r="B816" s="10"/>
      <x:c r="C816" s="14"/>
      <x:c r="D816" s="9"/>
      <x:c r="E816" s="9"/>
      <x:c r="F816" s="9"/>
      <x:c r="G816" s="9" t="str">
        <x:f>IF(A816="","",INDEX('입고대장'!$M$7:$M$1006,MATCH(A816,'입고대장'!$A$7:$A$1006,0)))</x:f>
      </x:c>
      <x:c r="H816" s="9"/>
      <x:c r="I816" s="2"/>
      <x:c r="J816" s="2"/>
      <x:c r="K816" s="2"/>
      <x:c r="L816" s="2"/>
      <x:c r="M816" s="2"/>
      <x:c r="N816" s="2"/>
    </x:row>
    <x:row r="817" ht="23" customHeight="1">
      <x:c r="A817" s="9"/>
      <x:c r="B817" s="10"/>
      <x:c r="C817" s="14"/>
      <x:c r="D817" s="9"/>
      <x:c r="E817" s="9"/>
      <x:c r="F817" s="9"/>
      <x:c r="G817" s="9" t="str">
        <x:f>IF(A817="","",INDEX('입고대장'!$M$7:$M$1006,MATCH(A817,'입고대장'!$A$7:$A$1006,0)))</x:f>
      </x:c>
      <x:c r="H817" s="9"/>
      <x:c r="I817" s="2"/>
      <x:c r="J817" s="2"/>
      <x:c r="K817" s="2"/>
      <x:c r="L817" s="2"/>
      <x:c r="M817" s="2"/>
      <x:c r="N817" s="2"/>
    </x:row>
    <x:row r="818" ht="23" customHeight="1">
      <x:c r="A818" s="9"/>
      <x:c r="B818" s="10"/>
      <x:c r="C818" s="14"/>
      <x:c r="D818" s="9"/>
      <x:c r="E818" s="9"/>
      <x:c r="F818" s="9"/>
      <x:c r="G818" s="9" t="str">
        <x:f>IF(A818="","",INDEX('입고대장'!$M$7:$M$1006,MATCH(A818,'입고대장'!$A$7:$A$1006,0)))</x:f>
      </x:c>
      <x:c r="H818" s="9"/>
      <x:c r="I818" s="2"/>
      <x:c r="J818" s="2"/>
      <x:c r="K818" s="2"/>
      <x:c r="L818" s="2"/>
      <x:c r="M818" s="2"/>
      <x:c r="N818" s="2"/>
    </x:row>
    <x:row r="819" ht="23" customHeight="1">
      <x:c r="A819" s="9"/>
      <x:c r="B819" s="10"/>
      <x:c r="C819" s="14"/>
      <x:c r="D819" s="9"/>
      <x:c r="E819" s="9"/>
      <x:c r="F819" s="9"/>
      <x:c r="G819" s="9" t="str">
        <x:f>IF(A819="","",INDEX('입고대장'!$M$7:$M$1006,MATCH(A819,'입고대장'!$A$7:$A$1006,0)))</x:f>
      </x:c>
      <x:c r="H819" s="9"/>
      <x:c r="I819" s="2"/>
      <x:c r="J819" s="2"/>
      <x:c r="K819" s="2"/>
      <x:c r="L819" s="2"/>
      <x:c r="M819" s="2"/>
      <x:c r="N819" s="2"/>
    </x:row>
    <x:row r="820" ht="23" customHeight="1">
      <x:c r="A820" s="9"/>
      <x:c r="B820" s="10"/>
      <x:c r="C820" s="14"/>
      <x:c r="D820" s="9"/>
      <x:c r="E820" s="9"/>
      <x:c r="F820" s="9"/>
      <x:c r="G820" s="9" t="str">
        <x:f>IF(A820="","",INDEX('입고대장'!$M$7:$M$1006,MATCH(A820,'입고대장'!$A$7:$A$1006,0)))</x:f>
      </x:c>
      <x:c r="H820" s="9"/>
      <x:c r="I820" s="2"/>
      <x:c r="J820" s="2"/>
      <x:c r="K820" s="2"/>
      <x:c r="L820" s="2"/>
      <x:c r="M820" s="2"/>
      <x:c r="N820" s="2"/>
    </x:row>
    <x:row r="821" ht="23" customHeight="1">
      <x:c r="A821" s="9"/>
      <x:c r="B821" s="10"/>
      <x:c r="C821" s="14"/>
      <x:c r="D821" s="9"/>
      <x:c r="E821" s="9"/>
      <x:c r="F821" s="9"/>
      <x:c r="G821" s="9" t="str">
        <x:f>IF(A821="","",INDEX('입고대장'!$M$7:$M$1006,MATCH(A821,'입고대장'!$A$7:$A$1006,0)))</x:f>
      </x:c>
      <x:c r="H821" s="9"/>
      <x:c r="I821" s="2"/>
      <x:c r="J821" s="2"/>
      <x:c r="K821" s="2"/>
      <x:c r="L821" s="2"/>
      <x:c r="M821" s="2"/>
      <x:c r="N821" s="2"/>
    </x:row>
    <x:row r="822" ht="23" customHeight="1">
      <x:c r="A822" s="9"/>
      <x:c r="B822" s="10"/>
      <x:c r="C822" s="14"/>
      <x:c r="D822" s="9"/>
      <x:c r="E822" s="9"/>
      <x:c r="F822" s="9"/>
      <x:c r="G822" s="9" t="str">
        <x:f>IF(A822="","",INDEX('입고대장'!$M$7:$M$1006,MATCH(A822,'입고대장'!$A$7:$A$1006,0)))</x:f>
      </x:c>
      <x:c r="H822" s="9"/>
      <x:c r="I822" s="2"/>
      <x:c r="J822" s="2"/>
      <x:c r="K822" s="2"/>
      <x:c r="L822" s="2"/>
      <x:c r="M822" s="2"/>
      <x:c r="N822" s="2"/>
    </x:row>
    <x:row r="823" ht="23" customHeight="1">
      <x:c r="A823" s="9"/>
      <x:c r="B823" s="10"/>
      <x:c r="C823" s="14"/>
      <x:c r="D823" s="9"/>
      <x:c r="E823" s="9"/>
      <x:c r="F823" s="9"/>
      <x:c r="G823" s="9" t="str">
        <x:f>IF(A823="","",INDEX('입고대장'!$M$7:$M$1006,MATCH(A823,'입고대장'!$A$7:$A$1006,0)))</x:f>
      </x:c>
      <x:c r="H823" s="9"/>
      <x:c r="I823" s="2"/>
      <x:c r="J823" s="2"/>
      <x:c r="K823" s="2"/>
      <x:c r="L823" s="2"/>
      <x:c r="M823" s="2"/>
      <x:c r="N823" s="2"/>
    </x:row>
    <x:row r="824" ht="23" customHeight="1">
      <x:c r="A824" s="9"/>
      <x:c r="B824" s="10"/>
      <x:c r="C824" s="14"/>
      <x:c r="D824" s="9"/>
      <x:c r="E824" s="9"/>
      <x:c r="F824" s="9"/>
      <x:c r="G824" s="9" t="str">
        <x:f>IF(A824="","",INDEX('입고대장'!$M$7:$M$1006,MATCH(A824,'입고대장'!$A$7:$A$1006,0)))</x:f>
      </x:c>
      <x:c r="H824" s="9"/>
      <x:c r="I824" s="2"/>
      <x:c r="J824" s="2"/>
      <x:c r="K824" s="2"/>
      <x:c r="L824" s="2"/>
      <x:c r="M824" s="2"/>
      <x:c r="N824" s="2"/>
    </x:row>
    <x:row r="825" ht="23" customHeight="1">
      <x:c r="A825" s="9"/>
      <x:c r="B825" s="10"/>
      <x:c r="C825" s="14"/>
      <x:c r="D825" s="9"/>
      <x:c r="E825" s="9"/>
      <x:c r="F825" s="9"/>
      <x:c r="G825" s="9" t="str">
        <x:f>IF(A825="","",INDEX('입고대장'!$M$7:$M$1006,MATCH(A825,'입고대장'!$A$7:$A$1006,0)))</x:f>
      </x:c>
      <x:c r="H825" s="9"/>
      <x:c r="I825" s="2"/>
      <x:c r="J825" s="2"/>
      <x:c r="K825" s="2"/>
      <x:c r="L825" s="2"/>
      <x:c r="M825" s="2"/>
      <x:c r="N825" s="2"/>
    </x:row>
    <x:row r="826" ht="23" customHeight="1">
      <x:c r="A826" s="9"/>
      <x:c r="B826" s="10"/>
      <x:c r="C826" s="14"/>
      <x:c r="D826" s="9"/>
      <x:c r="E826" s="9"/>
      <x:c r="F826" s="9"/>
      <x:c r="G826" s="9" t="str">
        <x:f>IF(A826="","",INDEX('입고대장'!$M$7:$M$1006,MATCH(A826,'입고대장'!$A$7:$A$1006,0)))</x:f>
      </x:c>
      <x:c r="H826" s="9"/>
      <x:c r="I826" s="2"/>
      <x:c r="J826" s="2"/>
      <x:c r="K826" s="2"/>
      <x:c r="L826" s="2"/>
      <x:c r="M826" s="2"/>
      <x:c r="N826" s="2"/>
    </x:row>
    <x:row r="827" ht="23" customHeight="1">
      <x:c r="A827" s="9"/>
      <x:c r="B827" s="10"/>
      <x:c r="C827" s="14"/>
      <x:c r="D827" s="9"/>
      <x:c r="E827" s="9"/>
      <x:c r="F827" s="9"/>
      <x:c r="G827" s="9" t="str">
        <x:f>IF(A827="","",INDEX('입고대장'!$M$7:$M$1006,MATCH(A827,'입고대장'!$A$7:$A$1006,0)))</x:f>
      </x:c>
      <x:c r="H827" s="9"/>
      <x:c r="I827" s="2"/>
      <x:c r="J827" s="2"/>
      <x:c r="K827" s="2"/>
      <x:c r="L827" s="2"/>
      <x:c r="M827" s="2"/>
      <x:c r="N827" s="2"/>
    </x:row>
    <x:row r="828" ht="23" customHeight="1">
      <x:c r="A828" s="9"/>
      <x:c r="B828" s="10"/>
      <x:c r="C828" s="14"/>
      <x:c r="D828" s="9"/>
      <x:c r="E828" s="9"/>
      <x:c r="F828" s="9"/>
      <x:c r="G828" s="9" t="str">
        <x:f>IF(A828="","",INDEX('입고대장'!$M$7:$M$1006,MATCH(A828,'입고대장'!$A$7:$A$1006,0)))</x:f>
      </x:c>
      <x:c r="H828" s="9"/>
      <x:c r="I828" s="2"/>
      <x:c r="J828" s="2"/>
      <x:c r="K828" s="2"/>
      <x:c r="L828" s="2"/>
      <x:c r="M828" s="2"/>
      <x:c r="N828" s="2"/>
    </x:row>
    <x:row r="829" ht="23" customHeight="1">
      <x:c r="A829" s="9"/>
      <x:c r="B829" s="10"/>
      <x:c r="C829" s="14"/>
      <x:c r="D829" s="9"/>
      <x:c r="E829" s="9"/>
      <x:c r="F829" s="9"/>
      <x:c r="G829" s="9" t="str">
        <x:f>IF(A829="","",INDEX('입고대장'!$M$7:$M$1006,MATCH(A829,'입고대장'!$A$7:$A$1006,0)))</x:f>
      </x:c>
      <x:c r="H829" s="9"/>
      <x:c r="I829" s="2"/>
      <x:c r="J829" s="2"/>
      <x:c r="K829" s="2"/>
      <x:c r="L829" s="2"/>
      <x:c r="M829" s="2"/>
      <x:c r="N829" s="2"/>
    </x:row>
    <x:row r="830" ht="23" customHeight="1">
      <x:c r="A830" s="9"/>
      <x:c r="B830" s="10"/>
      <x:c r="C830" s="14"/>
      <x:c r="D830" s="9"/>
      <x:c r="E830" s="9"/>
      <x:c r="F830" s="9"/>
      <x:c r="G830" s="9" t="str">
        <x:f>IF(A830="","",INDEX('입고대장'!$M$7:$M$1006,MATCH(A830,'입고대장'!$A$7:$A$1006,0)))</x:f>
      </x:c>
      <x:c r="H830" s="9"/>
      <x:c r="I830" s="2"/>
      <x:c r="J830" s="2"/>
      <x:c r="K830" s="2"/>
      <x:c r="L830" s="2"/>
      <x:c r="M830" s="2"/>
      <x:c r="N830" s="2"/>
    </x:row>
    <x:row r="831" ht="23" customHeight="1">
      <x:c r="A831" s="9"/>
      <x:c r="B831" s="10"/>
      <x:c r="C831" s="14"/>
      <x:c r="D831" s="9"/>
      <x:c r="E831" s="9"/>
      <x:c r="F831" s="9"/>
      <x:c r="G831" s="9" t="str">
        <x:f>IF(A831="","",INDEX('입고대장'!$M$7:$M$1006,MATCH(A831,'입고대장'!$A$7:$A$1006,0)))</x:f>
      </x:c>
      <x:c r="H831" s="9"/>
      <x:c r="I831" s="2"/>
      <x:c r="J831" s="2"/>
      <x:c r="K831" s="2"/>
      <x:c r="L831" s="2"/>
      <x:c r="M831" s="2"/>
      <x:c r="N831" s="2"/>
    </x:row>
    <x:row r="832" ht="23" customHeight="1">
      <x:c r="A832" s="9"/>
      <x:c r="B832" s="10"/>
      <x:c r="C832" s="14"/>
      <x:c r="D832" s="9"/>
      <x:c r="E832" s="9"/>
      <x:c r="F832" s="9"/>
      <x:c r="G832" s="9" t="str">
        <x:f>IF(A832="","",INDEX('입고대장'!$M$7:$M$1006,MATCH(A832,'입고대장'!$A$7:$A$1006,0)))</x:f>
      </x:c>
      <x:c r="H832" s="9"/>
      <x:c r="I832" s="2"/>
      <x:c r="J832" s="2"/>
      <x:c r="K832" s="2"/>
      <x:c r="L832" s="2"/>
      <x:c r="M832" s="2"/>
      <x:c r="N832" s="2"/>
    </x:row>
    <x:row r="833" ht="23" customHeight="1">
      <x:c r="A833" s="9"/>
      <x:c r="B833" s="10"/>
      <x:c r="C833" s="14"/>
      <x:c r="D833" s="9"/>
      <x:c r="E833" s="9"/>
      <x:c r="F833" s="9"/>
      <x:c r="G833" s="9" t="str">
        <x:f>IF(A833="","",INDEX('입고대장'!$M$7:$M$1006,MATCH(A833,'입고대장'!$A$7:$A$1006,0)))</x:f>
      </x:c>
      <x:c r="H833" s="9"/>
      <x:c r="I833" s="2"/>
      <x:c r="J833" s="2"/>
      <x:c r="K833" s="2"/>
      <x:c r="L833" s="2"/>
      <x:c r="M833" s="2"/>
      <x:c r="N833" s="2"/>
    </x:row>
    <x:row r="834" ht="23" customHeight="1">
      <x:c r="A834" s="9"/>
      <x:c r="B834" s="10"/>
      <x:c r="C834" s="14"/>
      <x:c r="D834" s="9"/>
      <x:c r="E834" s="9"/>
      <x:c r="F834" s="9"/>
      <x:c r="G834" s="9" t="str">
        <x:f>IF(A834="","",INDEX('입고대장'!$M$7:$M$1006,MATCH(A834,'입고대장'!$A$7:$A$1006,0)))</x:f>
      </x:c>
      <x:c r="H834" s="9"/>
      <x:c r="I834" s="2"/>
      <x:c r="J834" s="2"/>
      <x:c r="K834" s="2"/>
      <x:c r="L834" s="2"/>
      <x:c r="M834" s="2"/>
      <x:c r="N834" s="2"/>
    </x:row>
    <x:row r="835" ht="23" customHeight="1">
      <x:c r="A835" s="9"/>
      <x:c r="B835" s="10"/>
      <x:c r="C835" s="14"/>
      <x:c r="D835" s="9"/>
      <x:c r="E835" s="9"/>
      <x:c r="F835" s="9"/>
      <x:c r="G835" s="9" t="str">
        <x:f>IF(A835="","",INDEX('입고대장'!$M$7:$M$1006,MATCH(A835,'입고대장'!$A$7:$A$1006,0)))</x:f>
      </x:c>
      <x:c r="H835" s="9"/>
      <x:c r="I835" s="2"/>
      <x:c r="J835" s="2"/>
      <x:c r="K835" s="2"/>
      <x:c r="L835" s="2"/>
      <x:c r="M835" s="2"/>
      <x:c r="N835" s="2"/>
    </x:row>
    <x:row r="836" ht="23" customHeight="1">
      <x:c r="A836" s="9"/>
      <x:c r="B836" s="10"/>
      <x:c r="C836" s="14"/>
      <x:c r="D836" s="9"/>
      <x:c r="E836" s="9"/>
      <x:c r="F836" s="9"/>
      <x:c r="G836" s="9" t="str">
        <x:f>IF(A836="","",INDEX('입고대장'!$M$7:$M$1006,MATCH(A836,'입고대장'!$A$7:$A$1006,0)))</x:f>
      </x:c>
      <x:c r="H836" s="9"/>
      <x:c r="I836" s="2"/>
      <x:c r="J836" s="2"/>
      <x:c r="K836" s="2"/>
      <x:c r="L836" s="2"/>
      <x:c r="M836" s="2"/>
      <x:c r="N836" s="2"/>
    </x:row>
    <x:row r="837" ht="23" customHeight="1">
      <x:c r="A837" s="9"/>
      <x:c r="B837" s="10"/>
      <x:c r="C837" s="14"/>
      <x:c r="D837" s="9"/>
      <x:c r="E837" s="9"/>
      <x:c r="F837" s="9"/>
      <x:c r="G837" s="9" t="str">
        <x:f>IF(A837="","",INDEX('입고대장'!$M$7:$M$1006,MATCH(A837,'입고대장'!$A$7:$A$1006,0)))</x:f>
      </x:c>
      <x:c r="H837" s="9"/>
      <x:c r="I837" s="2"/>
      <x:c r="J837" s="2"/>
      <x:c r="K837" s="2"/>
      <x:c r="L837" s="2"/>
      <x:c r="M837" s="2"/>
      <x:c r="N837" s="2"/>
    </x:row>
    <x:row r="838" ht="23" customHeight="1">
      <x:c r="A838" s="9"/>
      <x:c r="B838" s="10"/>
      <x:c r="C838" s="14"/>
      <x:c r="D838" s="9"/>
      <x:c r="E838" s="9"/>
      <x:c r="F838" s="9"/>
      <x:c r="G838" s="9" t="str">
        <x:f>IF(A838="","",INDEX('입고대장'!$M$7:$M$1006,MATCH(A838,'입고대장'!$A$7:$A$1006,0)))</x:f>
      </x:c>
      <x:c r="H838" s="9"/>
      <x:c r="I838" s="2"/>
      <x:c r="J838" s="2"/>
      <x:c r="K838" s="2"/>
      <x:c r="L838" s="2"/>
      <x:c r="M838" s="2"/>
      <x:c r="N838" s="2"/>
    </x:row>
    <x:row r="839" ht="23" customHeight="1">
      <x:c r="A839" s="9"/>
      <x:c r="B839" s="10"/>
      <x:c r="C839" s="14"/>
      <x:c r="D839" s="9"/>
      <x:c r="E839" s="9"/>
      <x:c r="F839" s="9"/>
      <x:c r="G839" s="9" t="str">
        <x:f>IF(A839="","",INDEX('입고대장'!$M$7:$M$1006,MATCH(A839,'입고대장'!$A$7:$A$1006,0)))</x:f>
      </x:c>
      <x:c r="H839" s="9"/>
      <x:c r="I839" s="2"/>
      <x:c r="J839" s="2"/>
      <x:c r="K839" s="2"/>
      <x:c r="L839" s="2"/>
      <x:c r="M839" s="2"/>
      <x:c r="N839" s="2"/>
    </x:row>
    <x:row r="840" ht="23" customHeight="1">
      <x:c r="A840" s="9"/>
      <x:c r="B840" s="10"/>
      <x:c r="C840" s="14"/>
      <x:c r="D840" s="9"/>
      <x:c r="E840" s="9"/>
      <x:c r="F840" s="9"/>
      <x:c r="G840" s="9" t="str">
        <x:f>IF(A840="","",INDEX('입고대장'!$M$7:$M$1006,MATCH(A840,'입고대장'!$A$7:$A$1006,0)))</x:f>
      </x:c>
      <x:c r="H840" s="9"/>
      <x:c r="I840" s="2"/>
      <x:c r="J840" s="2"/>
      <x:c r="K840" s="2"/>
      <x:c r="L840" s="2"/>
      <x:c r="M840" s="2"/>
      <x:c r="N840" s="2"/>
    </x:row>
    <x:row r="841" ht="23" customHeight="1">
      <x:c r="A841" s="9"/>
      <x:c r="B841" s="10"/>
      <x:c r="C841" s="14"/>
      <x:c r="D841" s="9"/>
      <x:c r="E841" s="9"/>
      <x:c r="F841" s="9"/>
      <x:c r="G841" s="9" t="str">
        <x:f>IF(A841="","",INDEX('입고대장'!$M$7:$M$1006,MATCH(A841,'입고대장'!$A$7:$A$1006,0)))</x:f>
      </x:c>
      <x:c r="H841" s="9"/>
      <x:c r="I841" s="2"/>
      <x:c r="J841" s="2"/>
      <x:c r="K841" s="2"/>
      <x:c r="L841" s="2"/>
      <x:c r="M841" s="2"/>
      <x:c r="N841" s="2"/>
    </x:row>
    <x:row r="842" ht="23" customHeight="1">
      <x:c r="A842" s="9"/>
      <x:c r="B842" s="10"/>
      <x:c r="C842" s="14"/>
      <x:c r="D842" s="9"/>
      <x:c r="E842" s="9"/>
      <x:c r="F842" s="9"/>
      <x:c r="G842" s="9" t="str">
        <x:f>IF(A842="","",INDEX('입고대장'!$M$7:$M$1006,MATCH(A842,'입고대장'!$A$7:$A$1006,0)))</x:f>
      </x:c>
      <x:c r="H842" s="9"/>
      <x:c r="I842" s="2"/>
      <x:c r="J842" s="2"/>
      <x:c r="K842" s="2"/>
      <x:c r="L842" s="2"/>
      <x:c r="M842" s="2"/>
      <x:c r="N842" s="2"/>
    </x:row>
    <x:row r="843" ht="23" customHeight="1">
      <x:c r="A843" s="9"/>
      <x:c r="B843" s="10"/>
      <x:c r="C843" s="14"/>
      <x:c r="D843" s="9"/>
      <x:c r="E843" s="9"/>
      <x:c r="F843" s="9"/>
      <x:c r="G843" s="9" t="str">
        <x:f>IF(A843="","",INDEX('입고대장'!$M$7:$M$1006,MATCH(A843,'입고대장'!$A$7:$A$1006,0)))</x:f>
      </x:c>
      <x:c r="H843" s="9"/>
      <x:c r="I843" s="2"/>
      <x:c r="J843" s="2"/>
      <x:c r="K843" s="2"/>
      <x:c r="L843" s="2"/>
      <x:c r="M843" s="2"/>
      <x:c r="N843" s="2"/>
    </x:row>
    <x:row r="844" ht="23" customHeight="1">
      <x:c r="A844" s="9"/>
      <x:c r="B844" s="10"/>
      <x:c r="C844" s="14"/>
      <x:c r="D844" s="9"/>
      <x:c r="E844" s="9"/>
      <x:c r="F844" s="9"/>
      <x:c r="G844" s="9" t="str">
        <x:f>IF(A844="","",INDEX('입고대장'!$M$7:$M$1006,MATCH(A844,'입고대장'!$A$7:$A$1006,0)))</x:f>
      </x:c>
      <x:c r="H844" s="9"/>
      <x:c r="I844" s="2"/>
      <x:c r="J844" s="2"/>
      <x:c r="K844" s="2"/>
      <x:c r="L844" s="2"/>
      <x:c r="M844" s="2"/>
      <x:c r="N844" s="2"/>
    </x:row>
    <x:row r="845" ht="23" customHeight="1">
      <x:c r="A845" s="9"/>
      <x:c r="B845" s="10"/>
      <x:c r="C845" s="14"/>
      <x:c r="D845" s="9"/>
      <x:c r="E845" s="9"/>
      <x:c r="F845" s="9"/>
      <x:c r="G845" s="9" t="str">
        <x:f>IF(A845="","",INDEX('입고대장'!$M$7:$M$1006,MATCH(A845,'입고대장'!$A$7:$A$1006,0)))</x:f>
      </x:c>
      <x:c r="H845" s="9"/>
      <x:c r="I845" s="2"/>
      <x:c r="J845" s="2"/>
      <x:c r="K845" s="2"/>
      <x:c r="L845" s="2"/>
      <x:c r="M845" s="2"/>
      <x:c r="N845" s="2"/>
    </x:row>
    <x:row r="846" ht="23" customHeight="1">
      <x:c r="A846" s="9"/>
      <x:c r="B846" s="10"/>
      <x:c r="C846" s="14"/>
      <x:c r="D846" s="9"/>
      <x:c r="E846" s="9"/>
      <x:c r="F846" s="9"/>
      <x:c r="G846" s="9" t="str">
        <x:f>IF(A846="","",INDEX('입고대장'!$M$7:$M$1006,MATCH(A846,'입고대장'!$A$7:$A$1006,0)))</x:f>
      </x:c>
      <x:c r="H846" s="9"/>
      <x:c r="I846" s="2"/>
      <x:c r="J846" s="2"/>
      <x:c r="K846" s="2"/>
      <x:c r="L846" s="2"/>
      <x:c r="M846" s="2"/>
      <x:c r="N846" s="2"/>
    </x:row>
    <x:row r="847" ht="23" customHeight="1">
      <x:c r="A847" s="9"/>
      <x:c r="B847" s="10"/>
      <x:c r="C847" s="14"/>
      <x:c r="D847" s="9"/>
      <x:c r="E847" s="9"/>
      <x:c r="F847" s="9"/>
      <x:c r="G847" s="9" t="str">
        <x:f>IF(A847="","",INDEX('입고대장'!$M$7:$M$1006,MATCH(A847,'입고대장'!$A$7:$A$1006,0)))</x:f>
      </x:c>
      <x:c r="H847" s="9"/>
      <x:c r="I847" s="2"/>
      <x:c r="J847" s="2"/>
      <x:c r="K847" s="2"/>
      <x:c r="L847" s="2"/>
      <x:c r="M847" s="2"/>
      <x:c r="N847" s="2"/>
    </x:row>
    <x:row r="848" ht="23" customHeight="1">
      <x:c r="A848" s="9"/>
      <x:c r="B848" s="10"/>
      <x:c r="C848" s="14"/>
      <x:c r="D848" s="9"/>
      <x:c r="E848" s="9"/>
      <x:c r="F848" s="9"/>
      <x:c r="G848" s="9" t="str">
        <x:f>IF(A848="","",INDEX('입고대장'!$M$7:$M$1006,MATCH(A848,'입고대장'!$A$7:$A$1006,0)))</x:f>
      </x:c>
      <x:c r="H848" s="9"/>
      <x:c r="I848" s="2"/>
      <x:c r="J848" s="2"/>
      <x:c r="K848" s="2"/>
      <x:c r="L848" s="2"/>
      <x:c r="M848" s="2"/>
      <x:c r="N848" s="2"/>
    </x:row>
    <x:row r="849" ht="23" customHeight="1">
      <x:c r="A849" s="9"/>
      <x:c r="B849" s="10"/>
      <x:c r="C849" s="14"/>
      <x:c r="D849" s="9"/>
      <x:c r="E849" s="9"/>
      <x:c r="F849" s="9"/>
      <x:c r="G849" s="9" t="str">
        <x:f>IF(A849="","",INDEX('입고대장'!$M$7:$M$1006,MATCH(A849,'입고대장'!$A$7:$A$1006,0)))</x:f>
      </x:c>
      <x:c r="H849" s="9"/>
      <x:c r="I849" s="2"/>
      <x:c r="J849" s="2"/>
      <x:c r="K849" s="2"/>
      <x:c r="L849" s="2"/>
      <x:c r="M849" s="2"/>
      <x:c r="N849" s="2"/>
    </x:row>
    <x:row r="850" ht="23" customHeight="1">
      <x:c r="A850" s="9"/>
      <x:c r="B850" s="10"/>
      <x:c r="C850" s="14"/>
      <x:c r="D850" s="9"/>
      <x:c r="E850" s="9"/>
      <x:c r="F850" s="9"/>
      <x:c r="G850" s="9" t="str">
        <x:f>IF(A850="","",INDEX('입고대장'!$M$7:$M$1006,MATCH(A850,'입고대장'!$A$7:$A$1006,0)))</x:f>
      </x:c>
      <x:c r="H850" s="9"/>
      <x:c r="I850" s="2"/>
      <x:c r="J850" s="2"/>
      <x:c r="K850" s="2"/>
      <x:c r="L850" s="2"/>
      <x:c r="M850" s="2"/>
      <x:c r="N850" s="2"/>
    </x:row>
    <x:row r="851" ht="23" customHeight="1">
      <x:c r="A851" s="9"/>
      <x:c r="B851" s="10"/>
      <x:c r="C851" s="14"/>
      <x:c r="D851" s="9"/>
      <x:c r="E851" s="9"/>
      <x:c r="F851" s="9"/>
      <x:c r="G851" s="9" t="str">
        <x:f>IF(A851="","",INDEX('입고대장'!$M$7:$M$1006,MATCH(A851,'입고대장'!$A$7:$A$1006,0)))</x:f>
      </x:c>
      <x:c r="H851" s="9"/>
      <x:c r="I851" s="2"/>
      <x:c r="J851" s="2"/>
      <x:c r="K851" s="2"/>
      <x:c r="L851" s="2"/>
      <x:c r="M851" s="2"/>
      <x:c r="N851" s="2"/>
    </x:row>
    <x:row r="852" ht="23" customHeight="1">
      <x:c r="A852" s="9"/>
      <x:c r="B852" s="10"/>
      <x:c r="C852" s="14"/>
      <x:c r="D852" s="9"/>
      <x:c r="E852" s="9"/>
      <x:c r="F852" s="9"/>
      <x:c r="G852" s="9" t="str">
        <x:f>IF(A852="","",INDEX('입고대장'!$M$7:$M$1006,MATCH(A852,'입고대장'!$A$7:$A$1006,0)))</x:f>
      </x:c>
      <x:c r="H852" s="9"/>
      <x:c r="I852" s="2"/>
      <x:c r="J852" s="2"/>
      <x:c r="K852" s="2"/>
      <x:c r="L852" s="2"/>
      <x:c r="M852" s="2"/>
      <x:c r="N852" s="2"/>
    </x:row>
    <x:row r="853" ht="23" customHeight="1">
      <x:c r="A853" s="9"/>
      <x:c r="B853" s="10"/>
      <x:c r="C853" s="14"/>
      <x:c r="D853" s="9"/>
      <x:c r="E853" s="9"/>
      <x:c r="F853" s="9"/>
      <x:c r="G853" s="9" t="str">
        <x:f>IF(A853="","",INDEX('입고대장'!$M$7:$M$1006,MATCH(A853,'입고대장'!$A$7:$A$1006,0)))</x:f>
      </x:c>
      <x:c r="H853" s="9"/>
      <x:c r="I853" s="2"/>
      <x:c r="J853" s="2"/>
      <x:c r="K853" s="2"/>
      <x:c r="L853" s="2"/>
      <x:c r="M853" s="2"/>
      <x:c r="N853" s="2"/>
    </x:row>
    <x:row r="854" ht="23" customHeight="1">
      <x:c r="A854" s="9"/>
      <x:c r="B854" s="10"/>
      <x:c r="C854" s="14"/>
      <x:c r="D854" s="9"/>
      <x:c r="E854" s="9"/>
      <x:c r="F854" s="9"/>
      <x:c r="G854" s="9" t="str">
        <x:f>IF(A854="","",INDEX('입고대장'!$M$7:$M$1006,MATCH(A854,'입고대장'!$A$7:$A$1006,0)))</x:f>
      </x:c>
      <x:c r="H854" s="9"/>
      <x:c r="I854" s="2"/>
      <x:c r="J854" s="2"/>
      <x:c r="K854" s="2"/>
      <x:c r="L854" s="2"/>
      <x:c r="M854" s="2"/>
      <x:c r="N854" s="2"/>
    </x:row>
    <x:row r="855" ht="23" customHeight="1">
      <x:c r="A855" s="9"/>
      <x:c r="B855" s="10"/>
      <x:c r="C855" s="14"/>
      <x:c r="D855" s="9"/>
      <x:c r="E855" s="9"/>
      <x:c r="F855" s="9"/>
      <x:c r="G855" s="9" t="str">
        <x:f>IF(A855="","",INDEX('입고대장'!$M$7:$M$1006,MATCH(A855,'입고대장'!$A$7:$A$1006,0)))</x:f>
      </x:c>
      <x:c r="H855" s="9"/>
      <x:c r="I855" s="2"/>
      <x:c r="J855" s="2"/>
      <x:c r="K855" s="2"/>
      <x:c r="L855" s="2"/>
      <x:c r="M855" s="2"/>
      <x:c r="N855" s="2"/>
    </x:row>
    <x:row r="856" ht="23" customHeight="1">
      <x:c r="A856" s="9"/>
      <x:c r="B856" s="10"/>
      <x:c r="C856" s="14"/>
      <x:c r="D856" s="9"/>
      <x:c r="E856" s="9"/>
      <x:c r="F856" s="9"/>
      <x:c r="G856" s="9" t="str">
        <x:f>IF(A856="","",INDEX('입고대장'!$M$7:$M$1006,MATCH(A856,'입고대장'!$A$7:$A$1006,0)))</x:f>
      </x:c>
      <x:c r="H856" s="9"/>
      <x:c r="I856" s="2"/>
      <x:c r="J856" s="2"/>
      <x:c r="K856" s="2"/>
      <x:c r="L856" s="2"/>
      <x:c r="M856" s="2"/>
      <x:c r="N856" s="2"/>
    </x:row>
    <x:row r="857" ht="23" customHeight="1">
      <x:c r="A857" s="9"/>
      <x:c r="B857" s="10"/>
      <x:c r="C857" s="14"/>
      <x:c r="D857" s="9"/>
      <x:c r="E857" s="9"/>
      <x:c r="F857" s="9"/>
      <x:c r="G857" s="9" t="str">
        <x:f>IF(A857="","",INDEX('입고대장'!$M$7:$M$1006,MATCH(A857,'입고대장'!$A$7:$A$1006,0)))</x:f>
      </x:c>
      <x:c r="H857" s="9"/>
      <x:c r="I857" s="2"/>
      <x:c r="J857" s="2"/>
      <x:c r="K857" s="2"/>
      <x:c r="L857" s="2"/>
      <x:c r="M857" s="2"/>
      <x:c r="N857" s="2"/>
    </x:row>
    <x:row r="858" ht="23" customHeight="1">
      <x:c r="A858" s="9"/>
      <x:c r="B858" s="10"/>
      <x:c r="C858" s="14"/>
      <x:c r="D858" s="9"/>
      <x:c r="E858" s="9"/>
      <x:c r="F858" s="9"/>
      <x:c r="G858" s="9" t="str">
        <x:f>IF(A858="","",INDEX('입고대장'!$M$7:$M$1006,MATCH(A858,'입고대장'!$A$7:$A$1006,0)))</x:f>
      </x:c>
      <x:c r="H858" s="9"/>
      <x:c r="I858" s="2"/>
      <x:c r="J858" s="2"/>
      <x:c r="K858" s="2"/>
      <x:c r="L858" s="2"/>
      <x:c r="M858" s="2"/>
      <x:c r="N858" s="2"/>
    </x:row>
    <x:row r="859" ht="23" customHeight="1">
      <x:c r="A859" s="9"/>
      <x:c r="B859" s="10"/>
      <x:c r="C859" s="14"/>
      <x:c r="D859" s="9"/>
      <x:c r="E859" s="9"/>
      <x:c r="F859" s="9"/>
      <x:c r="G859" s="9" t="str">
        <x:f>IF(A859="","",INDEX('입고대장'!$M$7:$M$1006,MATCH(A859,'입고대장'!$A$7:$A$1006,0)))</x:f>
      </x:c>
      <x:c r="H859" s="9"/>
      <x:c r="I859" s="2"/>
      <x:c r="J859" s="2"/>
      <x:c r="K859" s="2"/>
      <x:c r="L859" s="2"/>
      <x:c r="M859" s="2"/>
      <x:c r="N859" s="2"/>
    </x:row>
    <x:row r="860" ht="23" customHeight="1">
      <x:c r="A860" s="9"/>
      <x:c r="B860" s="10"/>
      <x:c r="C860" s="14"/>
      <x:c r="D860" s="9"/>
      <x:c r="E860" s="9"/>
      <x:c r="F860" s="9"/>
      <x:c r="G860" s="9" t="str">
        <x:f>IF(A860="","",INDEX('입고대장'!$M$7:$M$1006,MATCH(A860,'입고대장'!$A$7:$A$1006,0)))</x:f>
      </x:c>
      <x:c r="H860" s="9"/>
      <x:c r="I860" s="2"/>
      <x:c r="J860" s="2"/>
      <x:c r="K860" s="2"/>
      <x:c r="L860" s="2"/>
      <x:c r="M860" s="2"/>
      <x:c r="N860" s="2"/>
    </x:row>
    <x:row r="861" ht="23" customHeight="1">
      <x:c r="A861" s="9"/>
      <x:c r="B861" s="10"/>
      <x:c r="C861" s="14"/>
      <x:c r="D861" s="9"/>
      <x:c r="E861" s="9"/>
      <x:c r="F861" s="9"/>
      <x:c r="G861" s="9" t="str">
        <x:f>IF(A861="","",INDEX('입고대장'!$M$7:$M$1006,MATCH(A861,'입고대장'!$A$7:$A$1006,0)))</x:f>
      </x:c>
      <x:c r="H861" s="9"/>
      <x:c r="I861" s="2"/>
      <x:c r="J861" s="2"/>
      <x:c r="K861" s="2"/>
      <x:c r="L861" s="2"/>
      <x:c r="M861" s="2"/>
      <x:c r="N861" s="2"/>
    </x:row>
    <x:row r="862" ht="23" customHeight="1">
      <x:c r="A862" s="9"/>
      <x:c r="B862" s="10"/>
      <x:c r="C862" s="14"/>
      <x:c r="D862" s="9"/>
      <x:c r="E862" s="9"/>
      <x:c r="F862" s="9"/>
      <x:c r="G862" s="9" t="str">
        <x:f>IF(A862="","",INDEX('입고대장'!$M$7:$M$1006,MATCH(A862,'입고대장'!$A$7:$A$1006,0)))</x:f>
      </x:c>
      <x:c r="H862" s="9"/>
      <x:c r="I862" s="2"/>
      <x:c r="J862" s="2"/>
      <x:c r="K862" s="2"/>
      <x:c r="L862" s="2"/>
      <x:c r="M862" s="2"/>
      <x:c r="N862" s="2"/>
    </x:row>
    <x:row r="863" ht="23" customHeight="1">
      <x:c r="A863" s="9"/>
      <x:c r="B863" s="10"/>
      <x:c r="C863" s="14"/>
      <x:c r="D863" s="9"/>
      <x:c r="E863" s="9"/>
      <x:c r="F863" s="9"/>
      <x:c r="G863" s="9" t="str">
        <x:f>IF(A863="","",INDEX('입고대장'!$M$7:$M$1006,MATCH(A863,'입고대장'!$A$7:$A$1006,0)))</x:f>
      </x:c>
      <x:c r="H863" s="9"/>
      <x:c r="I863" s="2"/>
      <x:c r="J863" s="2"/>
      <x:c r="K863" s="2"/>
      <x:c r="L863" s="2"/>
      <x:c r="M863" s="2"/>
      <x:c r="N863" s="2"/>
    </x:row>
    <x:row r="864" ht="23" customHeight="1">
      <x:c r="A864" s="9"/>
      <x:c r="B864" s="10"/>
      <x:c r="C864" s="14"/>
      <x:c r="D864" s="9"/>
      <x:c r="E864" s="9"/>
      <x:c r="F864" s="9"/>
      <x:c r="G864" s="9" t="str">
        <x:f>IF(A864="","",INDEX('입고대장'!$M$7:$M$1006,MATCH(A864,'입고대장'!$A$7:$A$1006,0)))</x:f>
      </x:c>
      <x:c r="H864" s="9"/>
      <x:c r="I864" s="2"/>
      <x:c r="J864" s="2"/>
      <x:c r="K864" s="2"/>
      <x:c r="L864" s="2"/>
      <x:c r="M864" s="2"/>
      <x:c r="N864" s="2"/>
    </x:row>
    <x:row r="865" ht="23" customHeight="1">
      <x:c r="A865" s="9"/>
      <x:c r="B865" s="10"/>
      <x:c r="C865" s="14"/>
      <x:c r="D865" s="9"/>
      <x:c r="E865" s="9"/>
      <x:c r="F865" s="9"/>
      <x:c r="G865" s="9" t="str">
        <x:f>IF(A865="","",INDEX('입고대장'!$M$7:$M$1006,MATCH(A865,'입고대장'!$A$7:$A$1006,0)))</x:f>
      </x:c>
      <x:c r="H865" s="9"/>
      <x:c r="I865" s="2"/>
      <x:c r="J865" s="2"/>
      <x:c r="K865" s="2"/>
      <x:c r="L865" s="2"/>
      <x:c r="M865" s="2"/>
      <x:c r="N865" s="2"/>
    </x:row>
    <x:row r="866" ht="23" customHeight="1">
      <x:c r="A866" s="9"/>
      <x:c r="B866" s="10"/>
      <x:c r="C866" s="14"/>
      <x:c r="D866" s="9"/>
      <x:c r="E866" s="9"/>
      <x:c r="F866" s="9"/>
      <x:c r="G866" s="9" t="str">
        <x:f>IF(A866="","",INDEX('입고대장'!$M$7:$M$1006,MATCH(A866,'입고대장'!$A$7:$A$1006,0)))</x:f>
      </x:c>
      <x:c r="H866" s="9"/>
      <x:c r="I866" s="2"/>
      <x:c r="J866" s="2"/>
      <x:c r="K866" s="2"/>
      <x:c r="L866" s="2"/>
      <x:c r="M866" s="2"/>
      <x:c r="N866" s="2"/>
    </x:row>
    <x:row r="867" ht="23" customHeight="1">
      <x:c r="A867" s="9"/>
      <x:c r="B867" s="10"/>
      <x:c r="C867" s="14"/>
      <x:c r="D867" s="9"/>
      <x:c r="E867" s="9"/>
      <x:c r="F867" s="9"/>
      <x:c r="G867" s="9" t="str">
        <x:f>IF(A867="","",INDEX('입고대장'!$M$7:$M$1006,MATCH(A867,'입고대장'!$A$7:$A$1006,0)))</x:f>
      </x:c>
      <x:c r="H867" s="9"/>
      <x:c r="I867" s="2"/>
      <x:c r="J867" s="2"/>
      <x:c r="K867" s="2"/>
      <x:c r="L867" s="2"/>
      <x:c r="M867" s="2"/>
      <x:c r="N867" s="2"/>
    </x:row>
    <x:row r="868" ht="23" customHeight="1">
      <x:c r="A868" s="9"/>
      <x:c r="B868" s="10"/>
      <x:c r="C868" s="14"/>
      <x:c r="D868" s="9"/>
      <x:c r="E868" s="9"/>
      <x:c r="F868" s="9"/>
      <x:c r="G868" s="9" t="str">
        <x:f>IF(A868="","",INDEX('입고대장'!$M$7:$M$1006,MATCH(A868,'입고대장'!$A$7:$A$1006,0)))</x:f>
      </x:c>
      <x:c r="H868" s="9"/>
      <x:c r="I868" s="2"/>
      <x:c r="J868" s="2"/>
      <x:c r="K868" s="2"/>
      <x:c r="L868" s="2"/>
      <x:c r="M868" s="2"/>
      <x:c r="N868" s="2"/>
    </x:row>
    <x:row r="869" ht="23" customHeight="1">
      <x:c r="A869" s="9"/>
      <x:c r="B869" s="10"/>
      <x:c r="C869" s="14"/>
      <x:c r="D869" s="9"/>
      <x:c r="E869" s="9"/>
      <x:c r="F869" s="9"/>
      <x:c r="G869" s="9" t="str">
        <x:f>IF(A869="","",INDEX('입고대장'!$M$7:$M$1006,MATCH(A869,'입고대장'!$A$7:$A$1006,0)))</x:f>
      </x:c>
      <x:c r="H869" s="9"/>
      <x:c r="I869" s="2"/>
      <x:c r="J869" s="2"/>
      <x:c r="K869" s="2"/>
      <x:c r="L869" s="2"/>
      <x:c r="M869" s="2"/>
      <x:c r="N869" s="2"/>
    </x:row>
    <x:row r="870" ht="23" customHeight="1">
      <x:c r="A870" s="9"/>
      <x:c r="B870" s="10"/>
      <x:c r="C870" s="14"/>
      <x:c r="D870" s="9"/>
      <x:c r="E870" s="9"/>
      <x:c r="F870" s="9"/>
      <x:c r="G870" s="9" t="str">
        <x:f>IF(A870="","",INDEX('입고대장'!$M$7:$M$1006,MATCH(A870,'입고대장'!$A$7:$A$1006,0)))</x:f>
      </x:c>
      <x:c r="H870" s="9"/>
      <x:c r="I870" s="2"/>
      <x:c r="J870" s="2"/>
      <x:c r="K870" s="2"/>
      <x:c r="L870" s="2"/>
      <x:c r="M870" s="2"/>
      <x:c r="N870" s="2"/>
    </x:row>
    <x:row r="871" ht="23" customHeight="1">
      <x:c r="A871" s="9"/>
      <x:c r="B871" s="10"/>
      <x:c r="C871" s="14"/>
      <x:c r="D871" s="9"/>
      <x:c r="E871" s="9"/>
      <x:c r="F871" s="9"/>
      <x:c r="G871" s="9" t="str">
        <x:f>IF(A871="","",INDEX('입고대장'!$M$7:$M$1006,MATCH(A871,'입고대장'!$A$7:$A$1006,0)))</x:f>
      </x:c>
      <x:c r="H871" s="9"/>
      <x:c r="I871" s="2"/>
      <x:c r="J871" s="2"/>
      <x:c r="K871" s="2"/>
      <x:c r="L871" s="2"/>
      <x:c r="M871" s="2"/>
      <x:c r="N871" s="2"/>
    </x:row>
    <x:row r="872" ht="23" customHeight="1">
      <x:c r="A872" s="9"/>
      <x:c r="B872" s="10"/>
      <x:c r="C872" s="14"/>
      <x:c r="D872" s="9"/>
      <x:c r="E872" s="9"/>
      <x:c r="F872" s="9"/>
      <x:c r="G872" s="9" t="str">
        <x:f>IF(A872="","",INDEX('입고대장'!$M$7:$M$1006,MATCH(A872,'입고대장'!$A$7:$A$1006,0)))</x:f>
      </x:c>
      <x:c r="H872" s="9"/>
      <x:c r="I872" s="2"/>
      <x:c r="J872" s="2"/>
      <x:c r="K872" s="2"/>
      <x:c r="L872" s="2"/>
      <x:c r="M872" s="2"/>
      <x:c r="N872" s="2"/>
    </x:row>
    <x:row r="873" ht="23" customHeight="1">
      <x:c r="A873" s="9"/>
      <x:c r="B873" s="10"/>
      <x:c r="C873" s="14"/>
      <x:c r="D873" s="9"/>
      <x:c r="E873" s="9"/>
      <x:c r="F873" s="9"/>
      <x:c r="G873" s="9" t="str">
        <x:f>IF(A873="","",INDEX('입고대장'!$M$7:$M$1006,MATCH(A873,'입고대장'!$A$7:$A$1006,0)))</x:f>
      </x:c>
      <x:c r="H873" s="9"/>
      <x:c r="I873" s="2"/>
      <x:c r="J873" s="2"/>
      <x:c r="K873" s="2"/>
      <x:c r="L873" s="2"/>
      <x:c r="M873" s="2"/>
      <x:c r="N873" s="2"/>
    </x:row>
    <x:row r="874" ht="23" customHeight="1">
      <x:c r="A874" s="9"/>
      <x:c r="B874" s="10"/>
      <x:c r="C874" s="14"/>
      <x:c r="D874" s="9"/>
      <x:c r="E874" s="9"/>
      <x:c r="F874" s="9"/>
      <x:c r="G874" s="9" t="str">
        <x:f>IF(A874="","",INDEX('입고대장'!$M$7:$M$1006,MATCH(A874,'입고대장'!$A$7:$A$1006,0)))</x:f>
      </x:c>
      <x:c r="H874" s="9"/>
      <x:c r="I874" s="2"/>
      <x:c r="J874" s="2"/>
      <x:c r="K874" s="2"/>
      <x:c r="L874" s="2"/>
      <x:c r="M874" s="2"/>
      <x:c r="N874" s="2"/>
    </x:row>
    <x:row r="875" ht="23" customHeight="1">
      <x:c r="A875" s="9"/>
      <x:c r="B875" s="10"/>
      <x:c r="C875" s="14"/>
      <x:c r="D875" s="9"/>
      <x:c r="E875" s="9"/>
      <x:c r="F875" s="9"/>
      <x:c r="G875" s="9" t="str">
        <x:f>IF(A875="","",INDEX('입고대장'!$M$7:$M$1006,MATCH(A875,'입고대장'!$A$7:$A$1006,0)))</x:f>
      </x:c>
      <x:c r="H875" s="9"/>
      <x:c r="I875" s="2"/>
      <x:c r="J875" s="2"/>
      <x:c r="K875" s="2"/>
      <x:c r="L875" s="2"/>
      <x:c r="M875" s="2"/>
      <x:c r="N875" s="2"/>
    </x:row>
    <x:row r="876" ht="23" customHeight="1">
      <x:c r="A876" s="9"/>
      <x:c r="B876" s="10"/>
      <x:c r="C876" s="14"/>
      <x:c r="D876" s="9"/>
      <x:c r="E876" s="9"/>
      <x:c r="F876" s="9"/>
      <x:c r="G876" s="9" t="str">
        <x:f>IF(A876="","",INDEX('입고대장'!$M$7:$M$1006,MATCH(A876,'입고대장'!$A$7:$A$1006,0)))</x:f>
      </x:c>
      <x:c r="H876" s="9"/>
      <x:c r="I876" s="2"/>
      <x:c r="J876" s="2"/>
      <x:c r="K876" s="2"/>
      <x:c r="L876" s="2"/>
      <x:c r="M876" s="2"/>
      <x:c r="N876" s="2"/>
    </x:row>
    <x:row r="877" ht="23" customHeight="1">
      <x:c r="A877" s="9"/>
      <x:c r="B877" s="10"/>
      <x:c r="C877" s="14"/>
      <x:c r="D877" s="9"/>
      <x:c r="E877" s="9"/>
      <x:c r="F877" s="9"/>
      <x:c r="G877" s="9" t="str">
        <x:f>IF(A877="","",INDEX('입고대장'!$M$7:$M$1006,MATCH(A877,'입고대장'!$A$7:$A$1006,0)))</x:f>
      </x:c>
      <x:c r="H877" s="9"/>
      <x:c r="I877" s="2"/>
      <x:c r="J877" s="2"/>
      <x:c r="K877" s="2"/>
      <x:c r="L877" s="2"/>
      <x:c r="M877" s="2"/>
      <x:c r="N877" s="2"/>
    </x:row>
    <x:row r="878" ht="23" customHeight="1">
      <x:c r="A878" s="9"/>
      <x:c r="B878" s="10"/>
      <x:c r="C878" s="14"/>
      <x:c r="D878" s="9"/>
      <x:c r="E878" s="9"/>
      <x:c r="F878" s="9"/>
      <x:c r="G878" s="9" t="str">
        <x:f>IF(A878="","",INDEX('입고대장'!$M$7:$M$1006,MATCH(A878,'입고대장'!$A$7:$A$1006,0)))</x:f>
      </x:c>
      <x:c r="H878" s="9"/>
      <x:c r="I878" s="2"/>
      <x:c r="J878" s="2"/>
      <x:c r="K878" s="2"/>
      <x:c r="L878" s="2"/>
      <x:c r="M878" s="2"/>
      <x:c r="N878" s="2"/>
    </x:row>
    <x:row r="879" ht="23" customHeight="1">
      <x:c r="A879" s="9"/>
      <x:c r="B879" s="10"/>
      <x:c r="C879" s="14"/>
      <x:c r="D879" s="9"/>
      <x:c r="E879" s="9"/>
      <x:c r="F879" s="9"/>
      <x:c r="G879" s="9" t="str">
        <x:f>IF(A879="","",INDEX('입고대장'!$M$7:$M$1006,MATCH(A879,'입고대장'!$A$7:$A$1006,0)))</x:f>
      </x:c>
      <x:c r="H879" s="9"/>
      <x:c r="I879" s="2"/>
      <x:c r="J879" s="2"/>
      <x:c r="K879" s="2"/>
      <x:c r="L879" s="2"/>
      <x:c r="M879" s="2"/>
      <x:c r="N879" s="2"/>
    </x:row>
    <x:row r="880" ht="23" customHeight="1">
      <x:c r="A880" s="9"/>
      <x:c r="B880" s="10"/>
      <x:c r="C880" s="14"/>
      <x:c r="D880" s="9"/>
      <x:c r="E880" s="9"/>
      <x:c r="F880" s="9"/>
      <x:c r="G880" s="9" t="str">
        <x:f>IF(A880="","",INDEX('입고대장'!$M$7:$M$1006,MATCH(A880,'입고대장'!$A$7:$A$1006,0)))</x:f>
      </x:c>
      <x:c r="H880" s="9"/>
      <x:c r="I880" s="2"/>
      <x:c r="J880" s="2"/>
      <x:c r="K880" s="2"/>
      <x:c r="L880" s="2"/>
      <x:c r="M880" s="2"/>
      <x:c r="N880" s="2"/>
    </x:row>
    <x:row r="881" ht="23" customHeight="1">
      <x:c r="A881" s="9"/>
      <x:c r="B881" s="10"/>
      <x:c r="C881" s="14"/>
      <x:c r="D881" s="9"/>
      <x:c r="E881" s="9"/>
      <x:c r="F881" s="9"/>
      <x:c r="G881" s="9" t="str">
        <x:f>IF(A881="","",INDEX('입고대장'!$M$7:$M$1006,MATCH(A881,'입고대장'!$A$7:$A$1006,0)))</x:f>
      </x:c>
      <x:c r="H881" s="9"/>
      <x:c r="I881" s="2"/>
      <x:c r="J881" s="2"/>
      <x:c r="K881" s="2"/>
      <x:c r="L881" s="2"/>
      <x:c r="M881" s="2"/>
      <x:c r="N881" s="2"/>
    </x:row>
    <x:row r="882" ht="23" customHeight="1">
      <x:c r="A882" s="9"/>
      <x:c r="B882" s="10"/>
      <x:c r="C882" s="14"/>
      <x:c r="D882" s="9"/>
      <x:c r="E882" s="9"/>
      <x:c r="F882" s="9"/>
      <x:c r="G882" s="9" t="str">
        <x:f>IF(A882="","",INDEX('입고대장'!$M$7:$M$1006,MATCH(A882,'입고대장'!$A$7:$A$1006,0)))</x:f>
      </x:c>
      <x:c r="H882" s="9"/>
      <x:c r="I882" s="2"/>
      <x:c r="J882" s="2"/>
      <x:c r="K882" s="2"/>
      <x:c r="L882" s="2"/>
      <x:c r="M882" s="2"/>
      <x:c r="N882" s="2"/>
    </x:row>
    <x:row r="883" ht="23" customHeight="1">
      <x:c r="A883" s="9"/>
      <x:c r="B883" s="10"/>
      <x:c r="C883" s="14"/>
      <x:c r="D883" s="9"/>
      <x:c r="E883" s="9"/>
      <x:c r="F883" s="9"/>
      <x:c r="G883" s="9" t="str">
        <x:f>IF(A883="","",INDEX('입고대장'!$M$7:$M$1006,MATCH(A883,'입고대장'!$A$7:$A$1006,0)))</x:f>
      </x:c>
      <x:c r="H883" s="9"/>
      <x:c r="I883" s="2"/>
      <x:c r="J883" s="2"/>
      <x:c r="K883" s="2"/>
      <x:c r="L883" s="2"/>
      <x:c r="M883" s="2"/>
      <x:c r="N883" s="2"/>
    </x:row>
    <x:row r="884" ht="23" customHeight="1">
      <x:c r="A884" s="9"/>
      <x:c r="B884" s="10"/>
      <x:c r="C884" s="14"/>
      <x:c r="D884" s="9"/>
      <x:c r="E884" s="9"/>
      <x:c r="F884" s="9"/>
      <x:c r="G884" s="9" t="str">
        <x:f>IF(A884="","",INDEX('입고대장'!$M$7:$M$1006,MATCH(A884,'입고대장'!$A$7:$A$1006,0)))</x:f>
      </x:c>
      <x:c r="H884" s="9"/>
      <x:c r="I884" s="2"/>
      <x:c r="J884" s="2"/>
      <x:c r="K884" s="2"/>
      <x:c r="L884" s="2"/>
      <x:c r="M884" s="2"/>
      <x:c r="N884" s="2"/>
    </x:row>
    <x:row r="885" ht="23" customHeight="1">
      <x:c r="A885" s="9"/>
      <x:c r="B885" s="10"/>
      <x:c r="C885" s="14"/>
      <x:c r="D885" s="9"/>
      <x:c r="E885" s="9"/>
      <x:c r="F885" s="9"/>
      <x:c r="G885" s="9" t="str">
        <x:f>IF(A885="","",INDEX('입고대장'!$M$7:$M$1006,MATCH(A885,'입고대장'!$A$7:$A$1006,0)))</x:f>
      </x:c>
      <x:c r="H885" s="9"/>
      <x:c r="I885" s="2"/>
      <x:c r="J885" s="2"/>
      <x:c r="K885" s="2"/>
      <x:c r="L885" s="2"/>
      <x:c r="M885" s="2"/>
      <x:c r="N885" s="2"/>
    </x:row>
    <x:row r="886" ht="23" customHeight="1">
      <x:c r="A886" s="9"/>
      <x:c r="B886" s="10"/>
      <x:c r="C886" s="14"/>
      <x:c r="D886" s="9"/>
      <x:c r="E886" s="9"/>
      <x:c r="F886" s="9"/>
      <x:c r="G886" s="9" t="str">
        <x:f>IF(A886="","",INDEX('입고대장'!$M$7:$M$1006,MATCH(A886,'입고대장'!$A$7:$A$1006,0)))</x:f>
      </x:c>
      <x:c r="H886" s="9"/>
      <x:c r="I886" s="2"/>
      <x:c r="J886" s="2"/>
      <x:c r="K886" s="2"/>
      <x:c r="L886" s="2"/>
      <x:c r="M886" s="2"/>
      <x:c r="N886" s="2"/>
    </x:row>
    <x:row r="887" ht="23" customHeight="1">
      <x:c r="A887" s="9"/>
      <x:c r="B887" s="10"/>
      <x:c r="C887" s="14"/>
      <x:c r="D887" s="9"/>
      <x:c r="E887" s="9"/>
      <x:c r="F887" s="9"/>
      <x:c r="G887" s="9" t="str">
        <x:f>IF(A887="","",INDEX('입고대장'!$M$7:$M$1006,MATCH(A887,'입고대장'!$A$7:$A$1006,0)))</x:f>
      </x:c>
      <x:c r="H887" s="9"/>
      <x:c r="I887" s="2"/>
      <x:c r="J887" s="2"/>
      <x:c r="K887" s="2"/>
      <x:c r="L887" s="2"/>
      <x:c r="M887" s="2"/>
      <x:c r="N887" s="2"/>
    </x:row>
    <x:row r="888" ht="23" customHeight="1">
      <x:c r="A888" s="9"/>
      <x:c r="B888" s="10"/>
      <x:c r="C888" s="14"/>
      <x:c r="D888" s="9"/>
      <x:c r="E888" s="9"/>
      <x:c r="F888" s="9"/>
      <x:c r="G888" s="9" t="str">
        <x:f>IF(A888="","",INDEX('입고대장'!$M$7:$M$1006,MATCH(A888,'입고대장'!$A$7:$A$1006,0)))</x:f>
      </x:c>
      <x:c r="H888" s="9"/>
      <x:c r="I888" s="2"/>
      <x:c r="J888" s="2"/>
      <x:c r="K888" s="2"/>
      <x:c r="L888" s="2"/>
      <x:c r="M888" s="2"/>
      <x:c r="N888" s="2"/>
    </x:row>
    <x:row r="889" ht="23" customHeight="1">
      <x:c r="A889" s="9"/>
      <x:c r="B889" s="10"/>
      <x:c r="C889" s="14"/>
      <x:c r="D889" s="9"/>
      <x:c r="E889" s="9"/>
      <x:c r="F889" s="9"/>
      <x:c r="G889" s="9" t="str">
        <x:f>IF(A889="","",INDEX('입고대장'!$M$7:$M$1006,MATCH(A889,'입고대장'!$A$7:$A$1006,0)))</x:f>
      </x:c>
      <x:c r="H889" s="9"/>
      <x:c r="I889" s="2"/>
      <x:c r="J889" s="2"/>
      <x:c r="K889" s="2"/>
      <x:c r="L889" s="2"/>
      <x:c r="M889" s="2"/>
      <x:c r="N889" s="2"/>
    </x:row>
    <x:row r="890" ht="23" customHeight="1">
      <x:c r="A890" s="9"/>
      <x:c r="B890" s="10"/>
      <x:c r="C890" s="14"/>
      <x:c r="D890" s="9"/>
      <x:c r="E890" s="9"/>
      <x:c r="F890" s="9"/>
      <x:c r="G890" s="9" t="str">
        <x:f>IF(A890="","",INDEX('입고대장'!$M$7:$M$1006,MATCH(A890,'입고대장'!$A$7:$A$1006,0)))</x:f>
      </x:c>
      <x:c r="H890" s="9"/>
      <x:c r="I890" s="2"/>
      <x:c r="J890" s="2"/>
      <x:c r="K890" s="2"/>
      <x:c r="L890" s="2"/>
      <x:c r="M890" s="2"/>
      <x:c r="N890" s="2"/>
    </x:row>
    <x:row r="891" ht="23" customHeight="1">
      <x:c r="A891" s="9"/>
      <x:c r="B891" s="10"/>
      <x:c r="C891" s="14"/>
      <x:c r="D891" s="9"/>
      <x:c r="E891" s="9"/>
      <x:c r="F891" s="9"/>
      <x:c r="G891" s="9" t="str">
        <x:f>IF(A891="","",INDEX('입고대장'!$M$7:$M$1006,MATCH(A891,'입고대장'!$A$7:$A$1006,0)))</x:f>
      </x:c>
      <x:c r="H891" s="9"/>
      <x:c r="I891" s="2"/>
      <x:c r="J891" s="2"/>
      <x:c r="K891" s="2"/>
      <x:c r="L891" s="2"/>
      <x:c r="M891" s="2"/>
      <x:c r="N891" s="2"/>
    </x:row>
    <x:row r="892" ht="23" customHeight="1">
      <x:c r="A892" s="9"/>
      <x:c r="B892" s="10"/>
      <x:c r="C892" s="14"/>
      <x:c r="D892" s="9"/>
      <x:c r="E892" s="9"/>
      <x:c r="F892" s="9"/>
      <x:c r="G892" s="9" t="str">
        <x:f>IF(A892="","",INDEX('입고대장'!$M$7:$M$1006,MATCH(A892,'입고대장'!$A$7:$A$1006,0)))</x:f>
      </x:c>
      <x:c r="H892" s="9"/>
      <x:c r="I892" s="2"/>
      <x:c r="J892" s="2"/>
      <x:c r="K892" s="2"/>
      <x:c r="L892" s="2"/>
      <x:c r="M892" s="2"/>
      <x:c r="N892" s="2"/>
    </x:row>
    <x:row r="893" ht="23" customHeight="1">
      <x:c r="A893" s="9"/>
      <x:c r="B893" s="10"/>
      <x:c r="C893" s="14"/>
      <x:c r="D893" s="9"/>
      <x:c r="E893" s="9"/>
      <x:c r="F893" s="9"/>
      <x:c r="G893" s="9" t="str">
        <x:f>IF(A893="","",INDEX('입고대장'!$M$7:$M$1006,MATCH(A893,'입고대장'!$A$7:$A$1006,0)))</x:f>
      </x:c>
      <x:c r="H893" s="9"/>
      <x:c r="I893" s="2"/>
      <x:c r="J893" s="2"/>
      <x:c r="K893" s="2"/>
      <x:c r="L893" s="2"/>
      <x:c r="M893" s="2"/>
      <x:c r="N893" s="2"/>
    </x:row>
    <x:row r="894" ht="23" customHeight="1">
      <x:c r="A894" s="9"/>
      <x:c r="B894" s="10"/>
      <x:c r="C894" s="14"/>
      <x:c r="D894" s="9"/>
      <x:c r="E894" s="9"/>
      <x:c r="F894" s="9"/>
      <x:c r="G894" s="9" t="str">
        <x:f>IF(A894="","",INDEX('입고대장'!$M$7:$M$1006,MATCH(A894,'입고대장'!$A$7:$A$1006,0)))</x:f>
      </x:c>
      <x:c r="H894" s="9"/>
      <x:c r="I894" s="2"/>
      <x:c r="J894" s="2"/>
      <x:c r="K894" s="2"/>
      <x:c r="L894" s="2"/>
      <x:c r="M894" s="2"/>
      <x:c r="N894" s="2"/>
    </x:row>
    <x:row r="895" ht="23" customHeight="1">
      <x:c r="A895" s="9"/>
      <x:c r="B895" s="10"/>
      <x:c r="C895" s="14"/>
      <x:c r="D895" s="9"/>
      <x:c r="E895" s="9"/>
      <x:c r="F895" s="9"/>
      <x:c r="G895" s="9" t="str">
        <x:f>IF(A895="","",INDEX('입고대장'!$M$7:$M$1006,MATCH(A895,'입고대장'!$A$7:$A$1006,0)))</x:f>
      </x:c>
      <x:c r="H895" s="9"/>
      <x:c r="I895" s="2"/>
      <x:c r="J895" s="2"/>
      <x:c r="K895" s="2"/>
      <x:c r="L895" s="2"/>
      <x:c r="M895" s="2"/>
      <x:c r="N895" s="2"/>
    </x:row>
    <x:row r="896" ht="23" customHeight="1">
      <x:c r="A896" s="9"/>
      <x:c r="B896" s="10"/>
      <x:c r="C896" s="14"/>
      <x:c r="D896" s="9"/>
      <x:c r="E896" s="9"/>
      <x:c r="F896" s="9"/>
      <x:c r="G896" s="9" t="str">
        <x:f>IF(A896="","",INDEX('입고대장'!$M$7:$M$1006,MATCH(A896,'입고대장'!$A$7:$A$1006,0)))</x:f>
      </x:c>
      <x:c r="H896" s="9"/>
      <x:c r="I896" s="2"/>
      <x:c r="J896" s="2"/>
      <x:c r="K896" s="2"/>
      <x:c r="L896" s="2"/>
      <x:c r="M896" s="2"/>
      <x:c r="N896" s="2"/>
    </x:row>
    <x:row r="897" ht="23" customHeight="1">
      <x:c r="A897" s="9"/>
      <x:c r="B897" s="10"/>
      <x:c r="C897" s="14"/>
      <x:c r="D897" s="9"/>
      <x:c r="E897" s="9"/>
      <x:c r="F897" s="9"/>
      <x:c r="G897" s="9" t="str">
        <x:f>IF(A897="","",INDEX('입고대장'!$M$7:$M$1006,MATCH(A897,'입고대장'!$A$7:$A$1006,0)))</x:f>
      </x:c>
      <x:c r="H897" s="9"/>
      <x:c r="I897" s="2"/>
      <x:c r="J897" s="2"/>
      <x:c r="K897" s="2"/>
      <x:c r="L897" s="2"/>
      <x:c r="M897" s="2"/>
      <x:c r="N897" s="2"/>
    </x:row>
    <x:row r="898" ht="23" customHeight="1">
      <x:c r="A898" s="9"/>
      <x:c r="B898" s="10"/>
      <x:c r="C898" s="14"/>
      <x:c r="D898" s="9"/>
      <x:c r="E898" s="9"/>
      <x:c r="F898" s="9"/>
      <x:c r="G898" s="9" t="str">
        <x:f>IF(A898="","",INDEX('입고대장'!$M$7:$M$1006,MATCH(A898,'입고대장'!$A$7:$A$1006,0)))</x:f>
      </x:c>
      <x:c r="H898" s="9"/>
      <x:c r="I898" s="2"/>
      <x:c r="J898" s="2"/>
      <x:c r="K898" s="2"/>
      <x:c r="L898" s="2"/>
      <x:c r="M898" s="2"/>
      <x:c r="N898" s="2"/>
    </x:row>
    <x:row r="899" ht="23" customHeight="1">
      <x:c r="A899" s="9"/>
      <x:c r="B899" s="10"/>
      <x:c r="C899" s="14"/>
      <x:c r="D899" s="9"/>
      <x:c r="E899" s="9"/>
      <x:c r="F899" s="9"/>
      <x:c r="G899" s="9" t="str">
        <x:f>IF(A899="","",INDEX('입고대장'!$M$7:$M$1006,MATCH(A899,'입고대장'!$A$7:$A$1006,0)))</x:f>
      </x:c>
      <x:c r="H899" s="9"/>
      <x:c r="I899" s="2"/>
      <x:c r="J899" s="2"/>
      <x:c r="K899" s="2"/>
      <x:c r="L899" s="2"/>
      <x:c r="M899" s="2"/>
      <x:c r="N899" s="2"/>
    </x:row>
    <x:row r="900" ht="23" customHeight="1">
      <x:c r="A900" s="9"/>
      <x:c r="B900" s="10"/>
      <x:c r="C900" s="14"/>
      <x:c r="D900" s="9"/>
      <x:c r="E900" s="9"/>
      <x:c r="F900" s="9"/>
      <x:c r="G900" s="9" t="str">
        <x:f>IF(A900="","",INDEX('입고대장'!$M$7:$M$1006,MATCH(A900,'입고대장'!$A$7:$A$1006,0)))</x:f>
      </x:c>
      <x:c r="H900" s="9"/>
      <x:c r="I900" s="2"/>
      <x:c r="J900" s="2"/>
      <x:c r="K900" s="2"/>
      <x:c r="L900" s="2"/>
      <x:c r="M900" s="2"/>
      <x:c r="N900" s="2"/>
    </x:row>
    <x:row r="901" ht="23" customHeight="1">
      <x:c r="A901" s="9"/>
      <x:c r="B901" s="10"/>
      <x:c r="C901" s="14"/>
      <x:c r="D901" s="9"/>
      <x:c r="E901" s="9"/>
      <x:c r="F901" s="9"/>
      <x:c r="G901" s="9" t="str">
        <x:f>IF(A901="","",INDEX('입고대장'!$M$7:$M$1006,MATCH(A901,'입고대장'!$A$7:$A$1006,0)))</x:f>
      </x:c>
      <x:c r="H901" s="9"/>
      <x:c r="I901" s="2"/>
      <x:c r="J901" s="2"/>
      <x:c r="K901" s="2"/>
      <x:c r="L901" s="2"/>
      <x:c r="M901" s="2"/>
      <x:c r="N901" s="2"/>
    </x:row>
    <x:row r="902" ht="23" customHeight="1">
      <x:c r="A902" s="9"/>
      <x:c r="B902" s="10"/>
      <x:c r="C902" s="14"/>
      <x:c r="D902" s="9"/>
      <x:c r="E902" s="9"/>
      <x:c r="F902" s="9"/>
      <x:c r="G902" s="9" t="str">
        <x:f>IF(A902="","",INDEX('입고대장'!$M$7:$M$1006,MATCH(A902,'입고대장'!$A$7:$A$1006,0)))</x:f>
      </x:c>
      <x:c r="H902" s="9"/>
      <x:c r="I902" s="2"/>
      <x:c r="J902" s="2"/>
      <x:c r="K902" s="2"/>
      <x:c r="L902" s="2"/>
      <x:c r="M902" s="2"/>
      <x:c r="N902" s="2"/>
    </x:row>
    <x:row r="903" ht="23" customHeight="1">
      <x:c r="A903" s="9"/>
      <x:c r="B903" s="10"/>
      <x:c r="C903" s="14"/>
      <x:c r="D903" s="9"/>
      <x:c r="E903" s="9"/>
      <x:c r="F903" s="9"/>
      <x:c r="G903" s="9" t="str">
        <x:f>IF(A903="","",INDEX('입고대장'!$M$7:$M$1006,MATCH(A903,'입고대장'!$A$7:$A$1006,0)))</x:f>
      </x:c>
      <x:c r="H903" s="9"/>
      <x:c r="I903" s="2"/>
      <x:c r="J903" s="2"/>
      <x:c r="K903" s="2"/>
      <x:c r="L903" s="2"/>
      <x:c r="M903" s="2"/>
      <x:c r="N903" s="2"/>
    </x:row>
    <x:row r="904" ht="23" customHeight="1">
      <x:c r="A904" s="9"/>
      <x:c r="B904" s="10"/>
      <x:c r="C904" s="14"/>
      <x:c r="D904" s="9"/>
      <x:c r="E904" s="9"/>
      <x:c r="F904" s="9"/>
      <x:c r="G904" s="9" t="str">
        <x:f>IF(A904="","",INDEX('입고대장'!$M$7:$M$1006,MATCH(A904,'입고대장'!$A$7:$A$1006,0)))</x:f>
      </x:c>
      <x:c r="H904" s="9"/>
      <x:c r="I904" s="2"/>
      <x:c r="J904" s="2"/>
      <x:c r="K904" s="2"/>
      <x:c r="L904" s="2"/>
      <x:c r="M904" s="2"/>
      <x:c r="N904" s="2"/>
    </x:row>
    <x:row r="905" ht="23" customHeight="1">
      <x:c r="A905" s="9"/>
      <x:c r="B905" s="10"/>
      <x:c r="C905" s="14"/>
      <x:c r="D905" s="9"/>
      <x:c r="E905" s="9"/>
      <x:c r="F905" s="9"/>
      <x:c r="G905" s="9" t="str">
        <x:f>IF(A905="","",INDEX('입고대장'!$M$7:$M$1006,MATCH(A905,'입고대장'!$A$7:$A$1006,0)))</x:f>
      </x:c>
      <x:c r="H905" s="9"/>
      <x:c r="I905" s="2"/>
      <x:c r="J905" s="2"/>
      <x:c r="K905" s="2"/>
      <x:c r="L905" s="2"/>
      <x:c r="M905" s="2"/>
      <x:c r="N905" s="2"/>
    </x:row>
    <x:row r="906" ht="23" customHeight="1">
      <x:c r="A906" s="9"/>
      <x:c r="B906" s="10"/>
      <x:c r="C906" s="14"/>
      <x:c r="D906" s="9"/>
      <x:c r="E906" s="9"/>
      <x:c r="F906" s="9"/>
      <x:c r="G906" s="9" t="str">
        <x:f>IF(A906="","",INDEX('입고대장'!$M$7:$M$1006,MATCH(A906,'입고대장'!$A$7:$A$1006,0)))</x:f>
      </x:c>
      <x:c r="H906" s="9"/>
      <x:c r="I906" s="2"/>
      <x:c r="J906" s="2"/>
      <x:c r="K906" s="2"/>
      <x:c r="L906" s="2"/>
      <x:c r="M906" s="2"/>
      <x:c r="N906" s="2"/>
    </x:row>
    <x:row r="907" ht="23" customHeight="1">
      <x:c r="A907" s="9"/>
      <x:c r="B907" s="10"/>
      <x:c r="C907" s="14"/>
      <x:c r="D907" s="9"/>
      <x:c r="E907" s="9"/>
      <x:c r="F907" s="9"/>
      <x:c r="G907" s="9" t="str">
        <x:f>IF(A907="","",INDEX('입고대장'!$M$7:$M$1006,MATCH(A907,'입고대장'!$A$7:$A$1006,0)))</x:f>
      </x:c>
      <x:c r="H907" s="9"/>
      <x:c r="I907" s="2"/>
      <x:c r="J907" s="2"/>
      <x:c r="K907" s="2"/>
      <x:c r="L907" s="2"/>
      <x:c r="M907" s="2"/>
      <x:c r="N907" s="2"/>
    </x:row>
    <x:row r="908" ht="23" customHeight="1">
      <x:c r="A908" s="9"/>
      <x:c r="B908" s="10"/>
      <x:c r="C908" s="14"/>
      <x:c r="D908" s="9"/>
      <x:c r="E908" s="9"/>
      <x:c r="F908" s="9"/>
      <x:c r="G908" s="9" t="str">
        <x:f>IF(A908="","",INDEX('입고대장'!$M$7:$M$1006,MATCH(A908,'입고대장'!$A$7:$A$1006,0)))</x:f>
      </x:c>
      <x:c r="H908" s="9"/>
      <x:c r="I908" s="2"/>
      <x:c r="J908" s="2"/>
      <x:c r="K908" s="2"/>
      <x:c r="L908" s="2"/>
      <x:c r="M908" s="2"/>
      <x:c r="N908" s="2"/>
    </x:row>
    <x:row r="909" ht="23" customHeight="1">
      <x:c r="A909" s="9"/>
      <x:c r="B909" s="10"/>
      <x:c r="C909" s="14"/>
      <x:c r="D909" s="9"/>
      <x:c r="E909" s="9"/>
      <x:c r="F909" s="9"/>
      <x:c r="G909" s="9" t="str">
        <x:f>IF(A909="","",INDEX('입고대장'!$M$7:$M$1006,MATCH(A909,'입고대장'!$A$7:$A$1006,0)))</x:f>
      </x:c>
      <x:c r="H909" s="9"/>
      <x:c r="I909" s="2"/>
      <x:c r="J909" s="2"/>
      <x:c r="K909" s="2"/>
      <x:c r="L909" s="2"/>
      <x:c r="M909" s="2"/>
      <x:c r="N909" s="2"/>
    </x:row>
    <x:row r="910" ht="23" customHeight="1">
      <x:c r="A910" s="9"/>
      <x:c r="B910" s="10"/>
      <x:c r="C910" s="14"/>
      <x:c r="D910" s="9"/>
      <x:c r="E910" s="9"/>
      <x:c r="F910" s="9"/>
      <x:c r="G910" s="9" t="str">
        <x:f>IF(A910="","",INDEX('입고대장'!$M$7:$M$1006,MATCH(A910,'입고대장'!$A$7:$A$1006,0)))</x:f>
      </x:c>
      <x:c r="H910" s="9"/>
      <x:c r="I910" s="2"/>
      <x:c r="J910" s="2"/>
      <x:c r="K910" s="2"/>
      <x:c r="L910" s="2"/>
      <x:c r="M910" s="2"/>
      <x:c r="N910" s="2"/>
    </x:row>
    <x:row r="911" ht="23" customHeight="1">
      <x:c r="A911" s="9"/>
      <x:c r="B911" s="10"/>
      <x:c r="C911" s="14"/>
      <x:c r="D911" s="9"/>
      <x:c r="E911" s="9"/>
      <x:c r="F911" s="9"/>
      <x:c r="G911" s="9" t="str">
        <x:f>IF(A911="","",INDEX('입고대장'!$M$7:$M$1006,MATCH(A911,'입고대장'!$A$7:$A$1006,0)))</x:f>
      </x:c>
      <x:c r="H911" s="9"/>
      <x:c r="I911" s="2"/>
      <x:c r="J911" s="2"/>
      <x:c r="K911" s="2"/>
      <x:c r="L911" s="2"/>
      <x:c r="M911" s="2"/>
      <x:c r="N911" s="2"/>
    </x:row>
    <x:row r="912" ht="23" customHeight="1">
      <x:c r="A912" s="9"/>
      <x:c r="B912" s="10"/>
      <x:c r="C912" s="14"/>
      <x:c r="D912" s="9"/>
      <x:c r="E912" s="9"/>
      <x:c r="F912" s="9"/>
      <x:c r="G912" s="9" t="str">
        <x:f>IF(A912="","",INDEX('입고대장'!$M$7:$M$1006,MATCH(A912,'입고대장'!$A$7:$A$1006,0)))</x:f>
      </x:c>
      <x:c r="H912" s="9"/>
      <x:c r="I912" s="2"/>
      <x:c r="J912" s="2"/>
      <x:c r="K912" s="2"/>
      <x:c r="L912" s="2"/>
      <x:c r="M912" s="2"/>
      <x:c r="N912" s="2"/>
    </x:row>
    <x:row r="913" ht="23" customHeight="1">
      <x:c r="A913" s="9"/>
      <x:c r="B913" s="10"/>
      <x:c r="C913" s="14"/>
      <x:c r="D913" s="9"/>
      <x:c r="E913" s="9"/>
      <x:c r="F913" s="9"/>
      <x:c r="G913" s="9" t="str">
        <x:f>IF(A913="","",INDEX('입고대장'!$M$7:$M$1006,MATCH(A913,'입고대장'!$A$7:$A$1006,0)))</x:f>
      </x:c>
      <x:c r="H913" s="9"/>
      <x:c r="I913" s="2"/>
      <x:c r="J913" s="2"/>
      <x:c r="K913" s="2"/>
      <x:c r="L913" s="2"/>
      <x:c r="M913" s="2"/>
      <x:c r="N913" s="2"/>
    </x:row>
    <x:row r="914" ht="23" customHeight="1">
      <x:c r="A914" s="9"/>
      <x:c r="B914" s="10"/>
      <x:c r="C914" s="14"/>
      <x:c r="D914" s="9"/>
      <x:c r="E914" s="9"/>
      <x:c r="F914" s="9"/>
      <x:c r="G914" s="9" t="str">
        <x:f>IF(A914="","",INDEX('입고대장'!$M$7:$M$1006,MATCH(A914,'입고대장'!$A$7:$A$1006,0)))</x:f>
      </x:c>
      <x:c r="H914" s="9"/>
      <x:c r="I914" s="2"/>
      <x:c r="J914" s="2"/>
      <x:c r="K914" s="2"/>
      <x:c r="L914" s="2"/>
      <x:c r="M914" s="2"/>
      <x:c r="N914" s="2"/>
    </x:row>
    <x:row r="915" ht="23" customHeight="1">
      <x:c r="A915" s="9"/>
      <x:c r="B915" s="10"/>
      <x:c r="C915" s="14"/>
      <x:c r="D915" s="9"/>
      <x:c r="E915" s="9"/>
      <x:c r="F915" s="9"/>
      <x:c r="G915" s="9" t="str">
        <x:f>IF(A915="","",INDEX('입고대장'!$M$7:$M$1006,MATCH(A915,'입고대장'!$A$7:$A$1006,0)))</x:f>
      </x:c>
      <x:c r="H915" s="9"/>
      <x:c r="I915" s="2"/>
      <x:c r="J915" s="2"/>
      <x:c r="K915" s="2"/>
      <x:c r="L915" s="2"/>
      <x:c r="M915" s="2"/>
      <x:c r="N915" s="2"/>
    </x:row>
    <x:row r="916" ht="23" customHeight="1">
      <x:c r="A916" s="9"/>
      <x:c r="B916" s="10"/>
      <x:c r="C916" s="14"/>
      <x:c r="D916" s="9"/>
      <x:c r="E916" s="9"/>
      <x:c r="F916" s="9"/>
      <x:c r="G916" s="9" t="str">
        <x:f>IF(A916="","",INDEX('입고대장'!$M$7:$M$1006,MATCH(A916,'입고대장'!$A$7:$A$1006,0)))</x:f>
      </x:c>
      <x:c r="H916" s="9"/>
      <x:c r="I916" s="2"/>
      <x:c r="J916" s="2"/>
      <x:c r="K916" s="2"/>
      <x:c r="L916" s="2"/>
      <x:c r="M916" s="2"/>
      <x:c r="N916" s="2"/>
    </x:row>
    <x:row r="917" ht="23" customHeight="1">
      <x:c r="A917" s="9"/>
      <x:c r="B917" s="10"/>
      <x:c r="C917" s="14"/>
      <x:c r="D917" s="9"/>
      <x:c r="E917" s="9"/>
      <x:c r="F917" s="9"/>
      <x:c r="G917" s="9" t="str">
        <x:f>IF(A917="","",INDEX('입고대장'!$M$7:$M$1006,MATCH(A917,'입고대장'!$A$7:$A$1006,0)))</x:f>
      </x:c>
      <x:c r="H917" s="9"/>
      <x:c r="I917" s="2"/>
      <x:c r="J917" s="2"/>
      <x:c r="K917" s="2"/>
      <x:c r="L917" s="2"/>
      <x:c r="M917" s="2"/>
      <x:c r="N917" s="2"/>
    </x:row>
    <x:row r="918" ht="23" customHeight="1">
      <x:c r="A918" s="9"/>
      <x:c r="B918" s="10"/>
      <x:c r="C918" s="14"/>
      <x:c r="D918" s="9"/>
      <x:c r="E918" s="9"/>
      <x:c r="F918" s="9"/>
      <x:c r="G918" s="9" t="str">
        <x:f>IF(A918="","",INDEX('입고대장'!$M$7:$M$1006,MATCH(A918,'입고대장'!$A$7:$A$1006,0)))</x:f>
      </x:c>
      <x:c r="H918" s="9"/>
      <x:c r="I918" s="2"/>
      <x:c r="J918" s="2"/>
      <x:c r="K918" s="2"/>
      <x:c r="L918" s="2"/>
      <x:c r="M918" s="2"/>
      <x:c r="N918" s="2"/>
    </x:row>
    <x:row r="919" ht="23" customHeight="1">
      <x:c r="A919" s="9"/>
      <x:c r="B919" s="10"/>
      <x:c r="C919" s="14"/>
      <x:c r="D919" s="9"/>
      <x:c r="E919" s="9"/>
      <x:c r="F919" s="9"/>
      <x:c r="G919" s="9" t="str">
        <x:f>IF(A919="","",INDEX('입고대장'!$M$7:$M$1006,MATCH(A919,'입고대장'!$A$7:$A$1006,0)))</x:f>
      </x:c>
      <x:c r="H919" s="9"/>
      <x:c r="I919" s="2"/>
      <x:c r="J919" s="2"/>
      <x:c r="K919" s="2"/>
      <x:c r="L919" s="2"/>
      <x:c r="M919" s="2"/>
      <x:c r="N919" s="2"/>
    </x:row>
    <x:row r="920" ht="23" customHeight="1">
      <x:c r="A920" s="9"/>
      <x:c r="B920" s="10"/>
      <x:c r="C920" s="14"/>
      <x:c r="D920" s="9"/>
      <x:c r="E920" s="9"/>
      <x:c r="F920" s="9"/>
      <x:c r="G920" s="9" t="str">
        <x:f>IF(A920="","",INDEX('입고대장'!$M$7:$M$1006,MATCH(A920,'입고대장'!$A$7:$A$1006,0)))</x:f>
      </x:c>
      <x:c r="H920" s="9"/>
      <x:c r="I920" s="2"/>
      <x:c r="J920" s="2"/>
      <x:c r="K920" s="2"/>
      <x:c r="L920" s="2"/>
      <x:c r="M920" s="2"/>
      <x:c r="N920" s="2"/>
    </x:row>
    <x:row r="921" ht="23" customHeight="1">
      <x:c r="A921" s="9"/>
      <x:c r="B921" s="10"/>
      <x:c r="C921" s="14"/>
      <x:c r="D921" s="9"/>
      <x:c r="E921" s="9"/>
      <x:c r="F921" s="9"/>
      <x:c r="G921" s="9" t="str">
        <x:f>IF(A921="","",INDEX('입고대장'!$M$7:$M$1006,MATCH(A921,'입고대장'!$A$7:$A$1006,0)))</x:f>
      </x:c>
      <x:c r="H921" s="9"/>
      <x:c r="I921" s="2"/>
      <x:c r="J921" s="2"/>
      <x:c r="K921" s="2"/>
      <x:c r="L921" s="2"/>
      <x:c r="M921" s="2"/>
      <x:c r="N921" s="2"/>
    </x:row>
    <x:row r="922" ht="23" customHeight="1">
      <x:c r="A922" s="9"/>
      <x:c r="B922" s="10"/>
      <x:c r="C922" s="14"/>
      <x:c r="D922" s="9"/>
      <x:c r="E922" s="9"/>
      <x:c r="F922" s="9"/>
      <x:c r="G922" s="9" t="str">
        <x:f>IF(A922="","",INDEX('입고대장'!$M$7:$M$1006,MATCH(A922,'입고대장'!$A$7:$A$1006,0)))</x:f>
      </x:c>
      <x:c r="H922" s="9"/>
      <x:c r="I922" s="2"/>
      <x:c r="J922" s="2"/>
      <x:c r="K922" s="2"/>
      <x:c r="L922" s="2"/>
      <x:c r="M922" s="2"/>
      <x:c r="N922" s="2"/>
    </x:row>
    <x:row r="923" ht="23" customHeight="1">
      <x:c r="A923" s="9"/>
      <x:c r="B923" s="10"/>
      <x:c r="C923" s="14"/>
      <x:c r="D923" s="9"/>
      <x:c r="E923" s="9"/>
      <x:c r="F923" s="9"/>
      <x:c r="G923" s="9" t="str">
        <x:f>IF(A923="","",INDEX('입고대장'!$M$7:$M$1006,MATCH(A923,'입고대장'!$A$7:$A$1006,0)))</x:f>
      </x:c>
      <x:c r="H923" s="9"/>
      <x:c r="I923" s="2"/>
      <x:c r="J923" s="2"/>
      <x:c r="K923" s="2"/>
      <x:c r="L923" s="2"/>
      <x:c r="M923" s="2"/>
      <x:c r="N923" s="2"/>
    </x:row>
    <x:row r="924" ht="23" customHeight="1">
      <x:c r="A924" s="9"/>
      <x:c r="B924" s="10"/>
      <x:c r="C924" s="14"/>
      <x:c r="D924" s="9"/>
      <x:c r="E924" s="9"/>
      <x:c r="F924" s="9"/>
      <x:c r="G924" s="9" t="str">
        <x:f>IF(A924="","",INDEX('입고대장'!$M$7:$M$1006,MATCH(A924,'입고대장'!$A$7:$A$1006,0)))</x:f>
      </x:c>
      <x:c r="H924" s="9"/>
      <x:c r="I924" s="2"/>
      <x:c r="J924" s="2"/>
      <x:c r="K924" s="2"/>
      <x:c r="L924" s="2"/>
      <x:c r="M924" s="2"/>
      <x:c r="N924" s="2"/>
    </x:row>
    <x:row r="925" ht="23" customHeight="1">
      <x:c r="A925" s="9"/>
      <x:c r="B925" s="10"/>
      <x:c r="C925" s="14"/>
      <x:c r="D925" s="9"/>
      <x:c r="E925" s="9"/>
      <x:c r="F925" s="9"/>
      <x:c r="G925" s="9" t="str">
        <x:f>IF(A925="","",INDEX('입고대장'!$M$7:$M$1006,MATCH(A925,'입고대장'!$A$7:$A$1006,0)))</x:f>
      </x:c>
      <x:c r="H925" s="9"/>
      <x:c r="I925" s="2"/>
      <x:c r="J925" s="2"/>
      <x:c r="K925" s="2"/>
      <x:c r="L925" s="2"/>
      <x:c r="M925" s="2"/>
      <x:c r="N925" s="2"/>
    </x:row>
    <x:row r="926" ht="23" customHeight="1">
      <x:c r="A926" s="9"/>
      <x:c r="B926" s="10"/>
      <x:c r="C926" s="14"/>
      <x:c r="D926" s="9"/>
      <x:c r="E926" s="9"/>
      <x:c r="F926" s="9"/>
      <x:c r="G926" s="9" t="str">
        <x:f>IF(A926="","",INDEX('입고대장'!$M$7:$M$1006,MATCH(A926,'입고대장'!$A$7:$A$1006,0)))</x:f>
      </x:c>
      <x:c r="H926" s="9"/>
      <x:c r="I926" s="2"/>
      <x:c r="J926" s="2"/>
      <x:c r="K926" s="2"/>
      <x:c r="L926" s="2"/>
      <x:c r="M926" s="2"/>
      <x:c r="N926" s="2"/>
    </x:row>
    <x:row r="927" ht="23" customHeight="1">
      <x:c r="A927" s="9"/>
      <x:c r="B927" s="10"/>
      <x:c r="C927" s="14"/>
      <x:c r="D927" s="9"/>
      <x:c r="E927" s="9"/>
      <x:c r="F927" s="9"/>
      <x:c r="G927" s="9" t="str">
        <x:f>IF(A927="","",INDEX('입고대장'!$M$7:$M$1006,MATCH(A927,'입고대장'!$A$7:$A$1006,0)))</x:f>
      </x:c>
      <x:c r="H927" s="9"/>
      <x:c r="I927" s="2"/>
      <x:c r="J927" s="2"/>
      <x:c r="K927" s="2"/>
      <x:c r="L927" s="2"/>
      <x:c r="M927" s="2"/>
      <x:c r="N927" s="2"/>
    </x:row>
    <x:row r="928" ht="23" customHeight="1">
      <x:c r="A928" s="9"/>
      <x:c r="B928" s="10"/>
      <x:c r="C928" s="14"/>
      <x:c r="D928" s="9"/>
      <x:c r="E928" s="9"/>
      <x:c r="F928" s="9"/>
      <x:c r="G928" s="9" t="str">
        <x:f>IF(A928="","",INDEX('입고대장'!$M$7:$M$1006,MATCH(A928,'입고대장'!$A$7:$A$1006,0)))</x:f>
      </x:c>
      <x:c r="H928" s="9"/>
      <x:c r="I928" s="2"/>
      <x:c r="J928" s="2"/>
      <x:c r="K928" s="2"/>
      <x:c r="L928" s="2"/>
      <x:c r="M928" s="2"/>
      <x:c r="N928" s="2"/>
    </x:row>
    <x:row r="929" ht="23" customHeight="1">
      <x:c r="A929" s="9"/>
      <x:c r="B929" s="10"/>
      <x:c r="C929" s="14"/>
      <x:c r="D929" s="9"/>
      <x:c r="E929" s="9"/>
      <x:c r="F929" s="9"/>
      <x:c r="G929" s="9" t="str">
        <x:f>IF(A929="","",INDEX('입고대장'!$M$7:$M$1006,MATCH(A929,'입고대장'!$A$7:$A$1006,0)))</x:f>
      </x:c>
      <x:c r="H929" s="9"/>
      <x:c r="I929" s="2"/>
      <x:c r="J929" s="2"/>
      <x:c r="K929" s="2"/>
      <x:c r="L929" s="2"/>
      <x:c r="M929" s="2"/>
      <x:c r="N929" s="2"/>
    </x:row>
    <x:row r="930" ht="23" customHeight="1">
      <x:c r="A930" s="9"/>
      <x:c r="B930" s="10"/>
      <x:c r="C930" s="14"/>
      <x:c r="D930" s="9"/>
      <x:c r="E930" s="9"/>
      <x:c r="F930" s="9"/>
      <x:c r="G930" s="9" t="str">
        <x:f>IF(A930="","",INDEX('입고대장'!$M$7:$M$1006,MATCH(A930,'입고대장'!$A$7:$A$1006,0)))</x:f>
      </x:c>
      <x:c r="H930" s="9"/>
      <x:c r="I930" s="2"/>
      <x:c r="J930" s="2"/>
      <x:c r="K930" s="2"/>
      <x:c r="L930" s="2"/>
      <x:c r="M930" s="2"/>
      <x:c r="N930" s="2"/>
    </x:row>
    <x:row r="931" ht="23" customHeight="1">
      <x:c r="A931" s="9"/>
      <x:c r="B931" s="10"/>
      <x:c r="C931" s="14"/>
      <x:c r="D931" s="9"/>
      <x:c r="E931" s="9"/>
      <x:c r="F931" s="9"/>
      <x:c r="G931" s="9" t="str">
        <x:f>IF(A931="","",INDEX('입고대장'!$M$7:$M$1006,MATCH(A931,'입고대장'!$A$7:$A$1006,0)))</x:f>
      </x:c>
      <x:c r="H931" s="9"/>
      <x:c r="I931" s="2"/>
      <x:c r="J931" s="2"/>
      <x:c r="K931" s="2"/>
      <x:c r="L931" s="2"/>
      <x:c r="M931" s="2"/>
      <x:c r="N931" s="2"/>
    </x:row>
    <x:row r="932" ht="23" customHeight="1">
      <x:c r="A932" s="9"/>
      <x:c r="B932" s="10"/>
      <x:c r="C932" s="14"/>
      <x:c r="D932" s="9"/>
      <x:c r="E932" s="9"/>
      <x:c r="F932" s="9"/>
      <x:c r="G932" s="9" t="str">
        <x:f>IF(A932="","",INDEX('입고대장'!$M$7:$M$1006,MATCH(A932,'입고대장'!$A$7:$A$1006,0)))</x:f>
      </x:c>
      <x:c r="H932" s="9"/>
      <x:c r="I932" s="2"/>
      <x:c r="J932" s="2"/>
      <x:c r="K932" s="2"/>
      <x:c r="L932" s="2"/>
      <x:c r="M932" s="2"/>
      <x:c r="N932" s="2"/>
    </x:row>
    <x:row r="933" ht="23" customHeight="1">
      <x:c r="A933" s="9"/>
      <x:c r="B933" s="10"/>
      <x:c r="C933" s="14"/>
      <x:c r="D933" s="9"/>
      <x:c r="E933" s="9"/>
      <x:c r="F933" s="9"/>
      <x:c r="G933" s="9" t="str">
        <x:f>IF(A933="","",INDEX('입고대장'!$M$7:$M$1006,MATCH(A933,'입고대장'!$A$7:$A$1006,0)))</x:f>
      </x:c>
      <x:c r="H933" s="9"/>
      <x:c r="I933" s="2"/>
      <x:c r="J933" s="2"/>
      <x:c r="K933" s="2"/>
      <x:c r="L933" s="2"/>
      <x:c r="M933" s="2"/>
      <x:c r="N933" s="2"/>
    </x:row>
    <x:row r="934" ht="23" customHeight="1">
      <x:c r="A934" s="9"/>
      <x:c r="B934" s="10"/>
      <x:c r="C934" s="14"/>
      <x:c r="D934" s="9"/>
      <x:c r="E934" s="9"/>
      <x:c r="F934" s="9"/>
      <x:c r="G934" s="9" t="str">
        <x:f>IF(A934="","",INDEX('입고대장'!$M$7:$M$1006,MATCH(A934,'입고대장'!$A$7:$A$1006,0)))</x:f>
      </x:c>
      <x:c r="H934" s="9"/>
      <x:c r="I934" s="2"/>
      <x:c r="J934" s="2"/>
      <x:c r="K934" s="2"/>
      <x:c r="L934" s="2"/>
      <x:c r="M934" s="2"/>
      <x:c r="N934" s="2"/>
    </x:row>
    <x:row r="935" ht="23" customHeight="1">
      <x:c r="A935" s="9"/>
      <x:c r="B935" s="10"/>
      <x:c r="C935" s="14"/>
      <x:c r="D935" s="9"/>
      <x:c r="E935" s="9"/>
      <x:c r="F935" s="9"/>
      <x:c r="G935" s="9" t="str">
        <x:f>IF(A935="","",INDEX('입고대장'!$M$7:$M$1006,MATCH(A935,'입고대장'!$A$7:$A$1006,0)))</x:f>
      </x:c>
      <x:c r="H935" s="9"/>
      <x:c r="I935" s="2"/>
      <x:c r="J935" s="2"/>
      <x:c r="K935" s="2"/>
      <x:c r="L935" s="2"/>
      <x:c r="M935" s="2"/>
      <x:c r="N935" s="2"/>
    </x:row>
    <x:row r="936" ht="23" customHeight="1">
      <x:c r="A936" s="9"/>
      <x:c r="B936" s="10"/>
      <x:c r="C936" s="14"/>
      <x:c r="D936" s="9"/>
      <x:c r="E936" s="9"/>
      <x:c r="F936" s="9"/>
      <x:c r="G936" s="9" t="str">
        <x:f>IF(A936="","",INDEX('입고대장'!$M$7:$M$1006,MATCH(A936,'입고대장'!$A$7:$A$1006,0)))</x:f>
      </x:c>
      <x:c r="H936" s="9"/>
      <x:c r="I936" s="2"/>
      <x:c r="J936" s="2"/>
      <x:c r="K936" s="2"/>
      <x:c r="L936" s="2"/>
      <x:c r="M936" s="2"/>
      <x:c r="N936" s="2"/>
    </x:row>
    <x:row r="937" ht="23" customHeight="1">
      <x:c r="A937" s="9"/>
      <x:c r="B937" s="10"/>
      <x:c r="C937" s="14"/>
      <x:c r="D937" s="9"/>
      <x:c r="E937" s="9"/>
      <x:c r="F937" s="9"/>
      <x:c r="G937" s="9" t="str">
        <x:f>IF(A937="","",INDEX('입고대장'!$M$7:$M$1006,MATCH(A937,'입고대장'!$A$7:$A$1006,0)))</x:f>
      </x:c>
      <x:c r="H937" s="9"/>
      <x:c r="I937" s="2"/>
      <x:c r="J937" s="2"/>
      <x:c r="K937" s="2"/>
      <x:c r="L937" s="2"/>
      <x:c r="M937" s="2"/>
      <x:c r="N937" s="2"/>
    </x:row>
    <x:row r="938" ht="23" customHeight="1">
      <x:c r="A938" s="9"/>
      <x:c r="B938" s="10"/>
      <x:c r="C938" s="14"/>
      <x:c r="D938" s="9"/>
      <x:c r="E938" s="9"/>
      <x:c r="F938" s="9"/>
      <x:c r="G938" s="9" t="str">
        <x:f>IF(A938="","",INDEX('입고대장'!$M$7:$M$1006,MATCH(A938,'입고대장'!$A$7:$A$1006,0)))</x:f>
      </x:c>
      <x:c r="H938" s="9"/>
      <x:c r="I938" s="2"/>
      <x:c r="J938" s="2"/>
      <x:c r="K938" s="2"/>
      <x:c r="L938" s="2"/>
      <x:c r="M938" s="2"/>
      <x:c r="N938" s="2"/>
    </x:row>
    <x:row r="939" ht="23" customHeight="1">
      <x:c r="A939" s="9"/>
      <x:c r="B939" s="10"/>
      <x:c r="C939" s="14"/>
      <x:c r="D939" s="9"/>
      <x:c r="E939" s="9"/>
      <x:c r="F939" s="9"/>
      <x:c r="G939" s="9" t="str">
        <x:f>IF(A939="","",INDEX('입고대장'!$M$7:$M$1006,MATCH(A939,'입고대장'!$A$7:$A$1006,0)))</x:f>
      </x:c>
      <x:c r="H939" s="9"/>
      <x:c r="I939" s="2"/>
      <x:c r="J939" s="2"/>
      <x:c r="K939" s="2"/>
      <x:c r="L939" s="2"/>
      <x:c r="M939" s="2"/>
      <x:c r="N939" s="2"/>
    </x:row>
    <x:row r="940" ht="23" customHeight="1">
      <x:c r="A940" s="9"/>
      <x:c r="B940" s="10"/>
      <x:c r="C940" s="14"/>
      <x:c r="D940" s="9"/>
      <x:c r="E940" s="9"/>
      <x:c r="F940" s="9"/>
      <x:c r="G940" s="9" t="str">
        <x:f>IF(A940="","",INDEX('입고대장'!$M$7:$M$1006,MATCH(A940,'입고대장'!$A$7:$A$1006,0)))</x:f>
      </x:c>
      <x:c r="H940" s="9"/>
      <x:c r="I940" s="2"/>
      <x:c r="J940" s="2"/>
      <x:c r="K940" s="2"/>
      <x:c r="L940" s="2"/>
      <x:c r="M940" s="2"/>
      <x:c r="N940" s="2"/>
    </x:row>
    <x:row r="941" ht="23" customHeight="1">
      <x:c r="A941" s="9"/>
      <x:c r="B941" s="10"/>
      <x:c r="C941" s="14"/>
      <x:c r="D941" s="9"/>
      <x:c r="E941" s="9"/>
      <x:c r="F941" s="9"/>
      <x:c r="G941" s="9" t="str">
        <x:f>IF(A941="","",INDEX('입고대장'!$M$7:$M$1006,MATCH(A941,'입고대장'!$A$7:$A$1006,0)))</x:f>
      </x:c>
      <x:c r="H941" s="9"/>
      <x:c r="I941" s="2"/>
      <x:c r="J941" s="2"/>
      <x:c r="K941" s="2"/>
      <x:c r="L941" s="2"/>
      <x:c r="M941" s="2"/>
      <x:c r="N941" s="2"/>
    </x:row>
    <x:row r="942" ht="23" customHeight="1">
      <x:c r="A942" s="9"/>
      <x:c r="B942" s="10"/>
      <x:c r="C942" s="14"/>
      <x:c r="D942" s="9"/>
      <x:c r="E942" s="9"/>
      <x:c r="F942" s="9"/>
      <x:c r="G942" s="9" t="str">
        <x:f>IF(A942="","",INDEX('입고대장'!$M$7:$M$1006,MATCH(A942,'입고대장'!$A$7:$A$1006,0)))</x:f>
      </x:c>
      <x:c r="H942" s="9"/>
      <x:c r="I942" s="2"/>
      <x:c r="J942" s="2"/>
      <x:c r="K942" s="2"/>
      <x:c r="L942" s="2"/>
      <x:c r="M942" s="2"/>
      <x:c r="N942" s="2"/>
    </x:row>
    <x:row r="943" ht="23" customHeight="1">
      <x:c r="A943" s="9"/>
      <x:c r="B943" s="10"/>
      <x:c r="C943" s="14"/>
      <x:c r="D943" s="9"/>
      <x:c r="E943" s="9"/>
      <x:c r="F943" s="9"/>
      <x:c r="G943" s="9" t="str">
        <x:f>IF(A943="","",INDEX('입고대장'!$M$7:$M$1006,MATCH(A943,'입고대장'!$A$7:$A$1006,0)))</x:f>
      </x:c>
      <x:c r="H943" s="9"/>
      <x:c r="I943" s="2"/>
      <x:c r="J943" s="2"/>
      <x:c r="K943" s="2"/>
      <x:c r="L943" s="2"/>
      <x:c r="M943" s="2"/>
      <x:c r="N943" s="2"/>
    </x:row>
    <x:row r="944" ht="23" customHeight="1">
      <x:c r="A944" s="9"/>
      <x:c r="B944" s="10"/>
      <x:c r="C944" s="14"/>
      <x:c r="D944" s="9"/>
      <x:c r="E944" s="9"/>
      <x:c r="F944" s="9"/>
      <x:c r="G944" s="9" t="str">
        <x:f>IF(A944="","",INDEX('입고대장'!$M$7:$M$1006,MATCH(A944,'입고대장'!$A$7:$A$1006,0)))</x:f>
      </x:c>
      <x:c r="H944" s="9"/>
      <x:c r="I944" s="2"/>
      <x:c r="J944" s="2"/>
      <x:c r="K944" s="2"/>
      <x:c r="L944" s="2"/>
      <x:c r="M944" s="2"/>
      <x:c r="N944" s="2"/>
    </x:row>
    <x:row r="945" ht="23" customHeight="1">
      <x:c r="A945" s="9"/>
      <x:c r="B945" s="10"/>
      <x:c r="C945" s="14"/>
      <x:c r="D945" s="9"/>
      <x:c r="E945" s="9"/>
      <x:c r="F945" s="9"/>
      <x:c r="G945" s="9" t="str">
        <x:f>IF(A945="","",INDEX('입고대장'!$M$7:$M$1006,MATCH(A945,'입고대장'!$A$7:$A$1006,0)))</x:f>
      </x:c>
      <x:c r="H945" s="9"/>
      <x:c r="I945" s="2"/>
      <x:c r="J945" s="2"/>
      <x:c r="K945" s="2"/>
      <x:c r="L945" s="2"/>
      <x:c r="M945" s="2"/>
      <x:c r="N945" s="2"/>
    </x:row>
    <x:row r="946" ht="23" customHeight="1">
      <x:c r="A946" s="9"/>
      <x:c r="B946" s="10"/>
      <x:c r="C946" s="14"/>
      <x:c r="D946" s="9"/>
      <x:c r="E946" s="9"/>
      <x:c r="F946" s="9"/>
      <x:c r="G946" s="9" t="str">
        <x:f>IF(A946="","",INDEX('입고대장'!$M$7:$M$1006,MATCH(A946,'입고대장'!$A$7:$A$1006,0)))</x:f>
      </x:c>
      <x:c r="H946" s="9"/>
      <x:c r="I946" s="2"/>
      <x:c r="J946" s="2"/>
      <x:c r="K946" s="2"/>
      <x:c r="L946" s="2"/>
      <x:c r="M946" s="2"/>
      <x:c r="N946" s="2"/>
    </x:row>
    <x:row r="947" ht="23" customHeight="1">
      <x:c r="A947" s="9"/>
      <x:c r="B947" s="10"/>
      <x:c r="C947" s="14"/>
      <x:c r="D947" s="9"/>
      <x:c r="E947" s="9"/>
      <x:c r="F947" s="9"/>
      <x:c r="G947" s="9" t="str">
        <x:f>IF(A947="","",INDEX('입고대장'!$M$7:$M$1006,MATCH(A947,'입고대장'!$A$7:$A$1006,0)))</x:f>
      </x:c>
      <x:c r="H947" s="9"/>
      <x:c r="I947" s="2"/>
      <x:c r="J947" s="2"/>
      <x:c r="K947" s="2"/>
      <x:c r="L947" s="2"/>
      <x:c r="M947" s="2"/>
      <x:c r="N947" s="2"/>
    </x:row>
    <x:row r="948" ht="23" customHeight="1">
      <x:c r="A948" s="9"/>
      <x:c r="B948" s="10"/>
      <x:c r="C948" s="14"/>
      <x:c r="D948" s="9"/>
      <x:c r="E948" s="9"/>
      <x:c r="F948" s="9"/>
      <x:c r="G948" s="9" t="str">
        <x:f>IF(A948="","",INDEX('입고대장'!$M$7:$M$1006,MATCH(A948,'입고대장'!$A$7:$A$1006,0)))</x:f>
      </x:c>
      <x:c r="H948" s="9"/>
      <x:c r="I948" s="2"/>
      <x:c r="J948" s="2"/>
      <x:c r="K948" s="2"/>
      <x:c r="L948" s="2"/>
      <x:c r="M948" s="2"/>
      <x:c r="N948" s="2"/>
    </x:row>
    <x:row r="949" ht="23" customHeight="1">
      <x:c r="A949" s="9"/>
      <x:c r="B949" s="10"/>
      <x:c r="C949" s="14"/>
      <x:c r="D949" s="9"/>
      <x:c r="E949" s="9"/>
      <x:c r="F949" s="9"/>
      <x:c r="G949" s="9" t="str">
        <x:f>IF(A949="","",INDEX('입고대장'!$M$7:$M$1006,MATCH(A949,'입고대장'!$A$7:$A$1006,0)))</x:f>
      </x:c>
      <x:c r="H949" s="9"/>
      <x:c r="I949" s="2"/>
      <x:c r="J949" s="2"/>
      <x:c r="K949" s="2"/>
      <x:c r="L949" s="2"/>
      <x:c r="M949" s="2"/>
      <x:c r="N949" s="2"/>
    </x:row>
    <x:row r="950" ht="23" customHeight="1">
      <x:c r="A950" s="9"/>
      <x:c r="B950" s="10"/>
      <x:c r="C950" s="14"/>
      <x:c r="D950" s="9"/>
      <x:c r="E950" s="9"/>
      <x:c r="F950" s="9"/>
      <x:c r="G950" s="9" t="str">
        <x:f>IF(A950="","",INDEX('입고대장'!$M$7:$M$1006,MATCH(A950,'입고대장'!$A$7:$A$1006,0)))</x:f>
      </x:c>
      <x:c r="H950" s="9"/>
      <x:c r="I950" s="2"/>
      <x:c r="J950" s="2"/>
      <x:c r="K950" s="2"/>
      <x:c r="L950" s="2"/>
      <x:c r="M950" s="2"/>
      <x:c r="N950" s="2"/>
    </x:row>
    <x:row r="951" ht="23" customHeight="1">
      <x:c r="A951" s="9"/>
      <x:c r="B951" s="10"/>
      <x:c r="C951" s="14"/>
      <x:c r="D951" s="9"/>
      <x:c r="E951" s="9"/>
      <x:c r="F951" s="9"/>
      <x:c r="G951" s="9" t="str">
        <x:f>IF(A951="","",INDEX('입고대장'!$M$7:$M$1006,MATCH(A951,'입고대장'!$A$7:$A$1006,0)))</x:f>
      </x:c>
      <x:c r="H951" s="9"/>
      <x:c r="I951" s="2"/>
      <x:c r="J951" s="2"/>
      <x:c r="K951" s="2"/>
      <x:c r="L951" s="2"/>
      <x:c r="M951" s="2"/>
      <x:c r="N951" s="2"/>
    </x:row>
    <x:row r="952" ht="23" customHeight="1">
      <x:c r="A952" s="9"/>
      <x:c r="B952" s="10"/>
      <x:c r="C952" s="14"/>
      <x:c r="D952" s="9"/>
      <x:c r="E952" s="9"/>
      <x:c r="F952" s="9"/>
      <x:c r="G952" s="9" t="str">
        <x:f>IF(A952="","",INDEX('입고대장'!$M$7:$M$1006,MATCH(A952,'입고대장'!$A$7:$A$1006,0)))</x:f>
      </x:c>
      <x:c r="H952" s="9"/>
      <x:c r="I952" s="2"/>
      <x:c r="J952" s="2"/>
      <x:c r="K952" s="2"/>
      <x:c r="L952" s="2"/>
      <x:c r="M952" s="2"/>
      <x:c r="N952" s="2"/>
    </x:row>
    <x:row r="953" ht="23" customHeight="1">
      <x:c r="A953" s="9"/>
      <x:c r="B953" s="10"/>
      <x:c r="C953" s="14"/>
      <x:c r="D953" s="9"/>
      <x:c r="E953" s="9"/>
      <x:c r="F953" s="9"/>
      <x:c r="G953" s="9" t="str">
        <x:f>IF(A953="","",INDEX('입고대장'!$M$7:$M$1006,MATCH(A953,'입고대장'!$A$7:$A$1006,0)))</x:f>
      </x:c>
      <x:c r="H953" s="9"/>
      <x:c r="I953" s="2"/>
      <x:c r="J953" s="2"/>
      <x:c r="K953" s="2"/>
      <x:c r="L953" s="2"/>
      <x:c r="M953" s="2"/>
      <x:c r="N953" s="2"/>
    </x:row>
    <x:row r="954" ht="23" customHeight="1">
      <x:c r="A954" s="9"/>
      <x:c r="B954" s="10"/>
      <x:c r="C954" s="14"/>
      <x:c r="D954" s="9"/>
      <x:c r="E954" s="9"/>
      <x:c r="F954" s="9"/>
      <x:c r="G954" s="9" t="str">
        <x:f>IF(A954="","",INDEX('입고대장'!$M$7:$M$1006,MATCH(A954,'입고대장'!$A$7:$A$1006,0)))</x:f>
      </x:c>
      <x:c r="H954" s="9"/>
      <x:c r="I954" s="2"/>
      <x:c r="J954" s="2"/>
      <x:c r="K954" s="2"/>
      <x:c r="L954" s="2"/>
      <x:c r="M954" s="2"/>
      <x:c r="N954" s="2"/>
    </x:row>
    <x:row r="955" ht="23" customHeight="1">
      <x:c r="A955" s="9"/>
      <x:c r="B955" s="10"/>
      <x:c r="C955" s="14"/>
      <x:c r="D955" s="9"/>
      <x:c r="E955" s="9"/>
      <x:c r="F955" s="9"/>
      <x:c r="G955" s="9" t="str">
        <x:f>IF(A955="","",INDEX('입고대장'!$M$7:$M$1006,MATCH(A955,'입고대장'!$A$7:$A$1006,0)))</x:f>
      </x:c>
      <x:c r="H955" s="9"/>
      <x:c r="I955" s="2"/>
      <x:c r="J955" s="2"/>
      <x:c r="K955" s="2"/>
      <x:c r="L955" s="2"/>
      <x:c r="M955" s="2"/>
      <x:c r="N955" s="2"/>
    </x:row>
    <x:row r="956" ht="23" customHeight="1">
      <x:c r="A956" s="9"/>
      <x:c r="B956" s="10"/>
      <x:c r="C956" s="14"/>
      <x:c r="D956" s="9"/>
      <x:c r="E956" s="9"/>
      <x:c r="F956" s="9"/>
      <x:c r="G956" s="9" t="str">
        <x:f>IF(A956="","",INDEX('입고대장'!$M$7:$M$1006,MATCH(A956,'입고대장'!$A$7:$A$1006,0)))</x:f>
      </x:c>
      <x:c r="H956" s="9"/>
      <x:c r="I956" s="2"/>
      <x:c r="J956" s="2"/>
      <x:c r="K956" s="2"/>
      <x:c r="L956" s="2"/>
      <x:c r="M956" s="2"/>
      <x:c r="N956" s="2"/>
    </x:row>
    <x:row r="957" ht="23" customHeight="1">
      <x:c r="A957" s="9"/>
      <x:c r="B957" s="10"/>
      <x:c r="C957" s="14"/>
      <x:c r="D957" s="9"/>
      <x:c r="E957" s="9"/>
      <x:c r="F957" s="9"/>
      <x:c r="G957" s="9" t="str">
        <x:f>IF(A957="","",INDEX('입고대장'!$M$7:$M$1006,MATCH(A957,'입고대장'!$A$7:$A$1006,0)))</x:f>
      </x:c>
      <x:c r="H957" s="9"/>
      <x:c r="I957" s="2"/>
      <x:c r="J957" s="2"/>
      <x:c r="K957" s="2"/>
      <x:c r="L957" s="2"/>
      <x:c r="M957" s="2"/>
      <x:c r="N957" s="2"/>
    </x:row>
    <x:row r="958" ht="23" customHeight="1">
      <x:c r="A958" s="9"/>
      <x:c r="B958" s="10"/>
      <x:c r="C958" s="14"/>
      <x:c r="D958" s="9"/>
      <x:c r="E958" s="9"/>
      <x:c r="F958" s="9"/>
      <x:c r="G958" s="9" t="str">
        <x:f>IF(A958="","",INDEX('입고대장'!$M$7:$M$1006,MATCH(A958,'입고대장'!$A$7:$A$1006,0)))</x:f>
      </x:c>
      <x:c r="H958" s="9"/>
      <x:c r="I958" s="2"/>
      <x:c r="J958" s="2"/>
      <x:c r="K958" s="2"/>
      <x:c r="L958" s="2"/>
      <x:c r="M958" s="2"/>
      <x:c r="N958" s="2"/>
    </x:row>
    <x:row r="959" ht="23" customHeight="1">
      <x:c r="A959" s="9"/>
      <x:c r="B959" s="10"/>
      <x:c r="C959" s="14"/>
      <x:c r="D959" s="9"/>
      <x:c r="E959" s="9"/>
      <x:c r="F959" s="9"/>
      <x:c r="G959" s="9" t="str">
        <x:f>IF(A959="","",INDEX('입고대장'!$M$7:$M$1006,MATCH(A959,'입고대장'!$A$7:$A$1006,0)))</x:f>
      </x:c>
      <x:c r="H959" s="9"/>
      <x:c r="I959" s="2"/>
      <x:c r="J959" s="2"/>
      <x:c r="K959" s="2"/>
      <x:c r="L959" s="2"/>
      <x:c r="M959" s="2"/>
      <x:c r="N959" s="2"/>
    </x:row>
    <x:row r="960" ht="23" customHeight="1">
      <x:c r="A960" s="9"/>
      <x:c r="B960" s="10"/>
      <x:c r="C960" s="14"/>
      <x:c r="D960" s="9"/>
      <x:c r="E960" s="9"/>
      <x:c r="F960" s="9"/>
      <x:c r="G960" s="9" t="str">
        <x:f>IF(A960="","",INDEX('입고대장'!$M$7:$M$1006,MATCH(A960,'입고대장'!$A$7:$A$1006,0)))</x:f>
      </x:c>
      <x:c r="H960" s="9"/>
      <x:c r="I960" s="2"/>
      <x:c r="J960" s="2"/>
      <x:c r="K960" s="2"/>
      <x:c r="L960" s="2"/>
      <x:c r="M960" s="2"/>
      <x:c r="N960" s="2"/>
    </x:row>
    <x:row r="961" ht="23" customHeight="1">
      <x:c r="A961" s="9"/>
      <x:c r="B961" s="10"/>
      <x:c r="C961" s="14"/>
      <x:c r="D961" s="9"/>
      <x:c r="E961" s="9"/>
      <x:c r="F961" s="9"/>
      <x:c r="G961" s="9" t="str">
        <x:f>IF(A961="","",INDEX('입고대장'!$M$7:$M$1006,MATCH(A961,'입고대장'!$A$7:$A$1006,0)))</x:f>
      </x:c>
      <x:c r="H961" s="9"/>
      <x:c r="I961" s="2"/>
      <x:c r="J961" s="2"/>
      <x:c r="K961" s="2"/>
      <x:c r="L961" s="2"/>
      <x:c r="M961" s="2"/>
      <x:c r="N961" s="2"/>
    </x:row>
    <x:row r="962" ht="23" customHeight="1">
      <x:c r="A962" s="9"/>
      <x:c r="B962" s="10"/>
      <x:c r="C962" s="14"/>
      <x:c r="D962" s="9"/>
      <x:c r="E962" s="9"/>
      <x:c r="F962" s="9"/>
      <x:c r="G962" s="9" t="str">
        <x:f>IF(A962="","",INDEX('입고대장'!$M$7:$M$1006,MATCH(A962,'입고대장'!$A$7:$A$1006,0)))</x:f>
      </x:c>
      <x:c r="H962" s="9"/>
      <x:c r="I962" s="2"/>
      <x:c r="J962" s="2"/>
      <x:c r="K962" s="2"/>
      <x:c r="L962" s="2"/>
      <x:c r="M962" s="2"/>
      <x:c r="N962" s="2"/>
    </x:row>
    <x:row r="963" ht="23" customHeight="1">
      <x:c r="A963" s="9"/>
      <x:c r="B963" s="10"/>
      <x:c r="C963" s="14"/>
      <x:c r="D963" s="9"/>
      <x:c r="E963" s="9"/>
      <x:c r="F963" s="9"/>
      <x:c r="G963" s="9" t="str">
        <x:f>IF(A963="","",INDEX('입고대장'!$M$7:$M$1006,MATCH(A963,'입고대장'!$A$7:$A$1006,0)))</x:f>
      </x:c>
      <x:c r="H963" s="9"/>
      <x:c r="I963" s="2"/>
      <x:c r="J963" s="2"/>
      <x:c r="K963" s="2"/>
      <x:c r="L963" s="2"/>
      <x:c r="M963" s="2"/>
      <x:c r="N963" s="2"/>
    </x:row>
    <x:row r="964" ht="23" customHeight="1">
      <x:c r="A964" s="9"/>
      <x:c r="B964" s="10"/>
      <x:c r="C964" s="14"/>
      <x:c r="D964" s="9"/>
      <x:c r="E964" s="9"/>
      <x:c r="F964" s="9"/>
      <x:c r="G964" s="9" t="str">
        <x:f>IF(A964="","",INDEX('입고대장'!$M$7:$M$1006,MATCH(A964,'입고대장'!$A$7:$A$1006,0)))</x:f>
      </x:c>
      <x:c r="H964" s="9"/>
      <x:c r="I964" s="2"/>
      <x:c r="J964" s="2"/>
      <x:c r="K964" s="2"/>
      <x:c r="L964" s="2"/>
      <x:c r="M964" s="2"/>
      <x:c r="N964" s="2"/>
    </x:row>
    <x:row r="965" ht="23" customHeight="1">
      <x:c r="A965" s="9"/>
      <x:c r="B965" s="10"/>
      <x:c r="C965" s="14"/>
      <x:c r="D965" s="9"/>
      <x:c r="E965" s="9"/>
      <x:c r="F965" s="9"/>
      <x:c r="G965" s="9" t="str">
        <x:f>IF(A965="","",INDEX('입고대장'!$M$7:$M$1006,MATCH(A965,'입고대장'!$A$7:$A$1006,0)))</x:f>
      </x:c>
      <x:c r="H965" s="9"/>
      <x:c r="I965" s="2"/>
      <x:c r="J965" s="2"/>
      <x:c r="K965" s="2"/>
      <x:c r="L965" s="2"/>
      <x:c r="M965" s="2"/>
      <x:c r="N965" s="2"/>
    </x:row>
    <x:row r="966" ht="23" customHeight="1">
      <x:c r="A966" s="9"/>
      <x:c r="B966" s="10"/>
      <x:c r="C966" s="14"/>
      <x:c r="D966" s="9"/>
      <x:c r="E966" s="9"/>
      <x:c r="F966" s="9"/>
      <x:c r="G966" s="9" t="str">
        <x:f>IF(A966="","",INDEX('입고대장'!$M$7:$M$1006,MATCH(A966,'입고대장'!$A$7:$A$1006,0)))</x:f>
      </x:c>
      <x:c r="H966" s="9"/>
      <x:c r="I966" s="2"/>
      <x:c r="J966" s="2"/>
      <x:c r="K966" s="2"/>
      <x:c r="L966" s="2"/>
      <x:c r="M966" s="2"/>
      <x:c r="N966" s="2"/>
    </x:row>
    <x:row r="967" ht="23" customHeight="1">
      <x:c r="A967" s="9"/>
      <x:c r="B967" s="10"/>
      <x:c r="C967" s="14"/>
      <x:c r="D967" s="9"/>
      <x:c r="E967" s="9"/>
      <x:c r="F967" s="9"/>
      <x:c r="G967" s="9" t="str">
        <x:f>IF(A967="","",INDEX('입고대장'!$M$7:$M$1006,MATCH(A967,'입고대장'!$A$7:$A$1006,0)))</x:f>
      </x:c>
      <x:c r="H967" s="9"/>
      <x:c r="I967" s="2"/>
      <x:c r="J967" s="2"/>
      <x:c r="K967" s="2"/>
      <x:c r="L967" s="2"/>
      <x:c r="M967" s="2"/>
      <x:c r="N967" s="2"/>
    </x:row>
    <x:row r="968" ht="23" customHeight="1">
      <x:c r="A968" s="9"/>
      <x:c r="B968" s="10"/>
      <x:c r="C968" s="14"/>
      <x:c r="D968" s="9"/>
      <x:c r="E968" s="9"/>
      <x:c r="F968" s="9"/>
      <x:c r="G968" s="9" t="str">
        <x:f>IF(A968="","",INDEX('입고대장'!$M$7:$M$1006,MATCH(A968,'입고대장'!$A$7:$A$1006,0)))</x:f>
      </x:c>
      <x:c r="H968" s="9"/>
      <x:c r="I968" s="2"/>
      <x:c r="J968" s="2"/>
      <x:c r="K968" s="2"/>
      <x:c r="L968" s="2"/>
      <x:c r="M968" s="2"/>
      <x:c r="N968" s="2"/>
    </x:row>
    <x:row r="969" ht="23" customHeight="1">
      <x:c r="A969" s="9"/>
      <x:c r="B969" s="10"/>
      <x:c r="C969" s="14"/>
      <x:c r="D969" s="9"/>
      <x:c r="E969" s="9"/>
      <x:c r="F969" s="9"/>
      <x:c r="G969" s="9" t="str">
        <x:f>IF(A969="","",INDEX('입고대장'!$M$7:$M$1006,MATCH(A969,'입고대장'!$A$7:$A$1006,0)))</x:f>
      </x:c>
      <x:c r="H969" s="9"/>
      <x:c r="I969" s="2"/>
      <x:c r="J969" s="2"/>
      <x:c r="K969" s="2"/>
      <x:c r="L969" s="2"/>
      <x:c r="M969" s="2"/>
      <x:c r="N969" s="2"/>
    </x:row>
    <x:row r="970" ht="23" customHeight="1">
      <x:c r="A970" s="9"/>
      <x:c r="B970" s="10"/>
      <x:c r="C970" s="14"/>
      <x:c r="D970" s="9"/>
      <x:c r="E970" s="9"/>
      <x:c r="F970" s="9"/>
      <x:c r="G970" s="9" t="str">
        <x:f>IF(A970="","",INDEX('입고대장'!$M$7:$M$1006,MATCH(A970,'입고대장'!$A$7:$A$1006,0)))</x:f>
      </x:c>
      <x:c r="H970" s="9"/>
      <x:c r="I970" s="2"/>
      <x:c r="J970" s="2"/>
      <x:c r="K970" s="2"/>
      <x:c r="L970" s="2"/>
      <x:c r="M970" s="2"/>
      <x:c r="N970" s="2"/>
    </x:row>
    <x:row r="971" ht="23" customHeight="1">
      <x:c r="A971" s="9"/>
      <x:c r="B971" s="10"/>
      <x:c r="C971" s="14"/>
      <x:c r="D971" s="9"/>
      <x:c r="E971" s="9"/>
      <x:c r="F971" s="9"/>
      <x:c r="G971" s="9" t="str">
        <x:f>IF(A971="","",INDEX('입고대장'!$M$7:$M$1006,MATCH(A971,'입고대장'!$A$7:$A$1006,0)))</x:f>
      </x:c>
      <x:c r="H971" s="9"/>
      <x:c r="I971" s="2"/>
      <x:c r="J971" s="2"/>
      <x:c r="K971" s="2"/>
      <x:c r="L971" s="2"/>
      <x:c r="M971" s="2"/>
      <x:c r="N971" s="2"/>
    </x:row>
    <x:row r="972" ht="23" customHeight="1">
      <x:c r="A972" s="9"/>
      <x:c r="B972" s="10"/>
      <x:c r="C972" s="14"/>
      <x:c r="D972" s="9"/>
      <x:c r="E972" s="9"/>
      <x:c r="F972" s="9"/>
      <x:c r="G972" s="9" t="str">
        <x:f>IF(A972="","",INDEX('입고대장'!$M$7:$M$1006,MATCH(A972,'입고대장'!$A$7:$A$1006,0)))</x:f>
      </x:c>
      <x:c r="H972" s="9"/>
      <x:c r="I972" s="2"/>
      <x:c r="J972" s="2"/>
      <x:c r="K972" s="2"/>
      <x:c r="L972" s="2"/>
      <x:c r="M972" s="2"/>
      <x:c r="N972" s="2"/>
    </x:row>
    <x:row r="973" ht="23" customHeight="1">
      <x:c r="A973" s="9"/>
      <x:c r="B973" s="10"/>
      <x:c r="C973" s="14"/>
      <x:c r="D973" s="9"/>
      <x:c r="E973" s="9"/>
      <x:c r="F973" s="9"/>
      <x:c r="G973" s="9" t="str">
        <x:f>IF(A973="","",INDEX('입고대장'!$M$7:$M$1006,MATCH(A973,'입고대장'!$A$7:$A$1006,0)))</x:f>
      </x:c>
      <x:c r="H973" s="9"/>
      <x:c r="I973" s="2"/>
      <x:c r="J973" s="2"/>
      <x:c r="K973" s="2"/>
      <x:c r="L973" s="2"/>
      <x:c r="M973" s="2"/>
      <x:c r="N973" s="2"/>
    </x:row>
    <x:row r="974" ht="23" customHeight="1">
      <x:c r="A974" s="9"/>
      <x:c r="B974" s="10"/>
      <x:c r="C974" s="14"/>
      <x:c r="D974" s="9"/>
      <x:c r="E974" s="9"/>
      <x:c r="F974" s="9"/>
      <x:c r="G974" s="9" t="str">
        <x:f>IF(A974="","",INDEX('입고대장'!$M$7:$M$1006,MATCH(A974,'입고대장'!$A$7:$A$1006,0)))</x:f>
      </x:c>
      <x:c r="H974" s="9"/>
      <x:c r="I974" s="2"/>
      <x:c r="J974" s="2"/>
      <x:c r="K974" s="2"/>
      <x:c r="L974" s="2"/>
      <x:c r="M974" s="2"/>
      <x:c r="N974" s="2"/>
    </x:row>
    <x:row r="975" ht="23" customHeight="1">
      <x:c r="A975" s="9"/>
      <x:c r="B975" s="10"/>
      <x:c r="C975" s="14"/>
      <x:c r="D975" s="9"/>
      <x:c r="E975" s="9"/>
      <x:c r="F975" s="9"/>
      <x:c r="G975" s="9" t="str">
        <x:f>IF(A975="","",INDEX('입고대장'!$M$7:$M$1006,MATCH(A975,'입고대장'!$A$7:$A$1006,0)))</x:f>
      </x:c>
      <x:c r="H975" s="9"/>
      <x:c r="I975" s="2"/>
      <x:c r="J975" s="2"/>
      <x:c r="K975" s="2"/>
      <x:c r="L975" s="2"/>
      <x:c r="M975" s="2"/>
      <x:c r="N975" s="2"/>
    </x:row>
    <x:row r="976" ht="23" customHeight="1">
      <x:c r="A976" s="9"/>
      <x:c r="B976" s="10"/>
      <x:c r="C976" s="14"/>
      <x:c r="D976" s="9"/>
      <x:c r="E976" s="9"/>
      <x:c r="F976" s="9"/>
      <x:c r="G976" s="9" t="str">
        <x:f>IF(A976="","",INDEX('입고대장'!$M$7:$M$1006,MATCH(A976,'입고대장'!$A$7:$A$1006,0)))</x:f>
      </x:c>
      <x:c r="H976" s="9"/>
      <x:c r="I976" s="2"/>
      <x:c r="J976" s="2"/>
      <x:c r="K976" s="2"/>
      <x:c r="L976" s="2"/>
      <x:c r="M976" s="2"/>
      <x:c r="N976" s="2"/>
    </x:row>
    <x:row r="977" ht="23" customHeight="1">
      <x:c r="A977" s="9"/>
      <x:c r="B977" s="10"/>
      <x:c r="C977" s="14"/>
      <x:c r="D977" s="9"/>
      <x:c r="E977" s="9"/>
      <x:c r="F977" s="9"/>
      <x:c r="G977" s="9" t="str">
        <x:f>IF(A977="","",INDEX('입고대장'!$M$7:$M$1006,MATCH(A977,'입고대장'!$A$7:$A$1006,0)))</x:f>
      </x:c>
      <x:c r="H977" s="9"/>
      <x:c r="I977" s="2"/>
      <x:c r="J977" s="2"/>
      <x:c r="K977" s="2"/>
      <x:c r="L977" s="2"/>
      <x:c r="M977" s="2"/>
      <x:c r="N977" s="2"/>
    </x:row>
    <x:row r="978" ht="23" customHeight="1">
      <x:c r="A978" s="9"/>
      <x:c r="B978" s="10"/>
      <x:c r="C978" s="14"/>
      <x:c r="D978" s="9"/>
      <x:c r="E978" s="9"/>
      <x:c r="F978" s="9"/>
      <x:c r="G978" s="9" t="str">
        <x:f>IF(A978="","",INDEX('입고대장'!$M$7:$M$1006,MATCH(A978,'입고대장'!$A$7:$A$1006,0)))</x:f>
      </x:c>
      <x:c r="H978" s="9"/>
      <x:c r="I978" s="2"/>
      <x:c r="J978" s="2"/>
      <x:c r="K978" s="2"/>
      <x:c r="L978" s="2"/>
      <x:c r="M978" s="2"/>
      <x:c r="N978" s="2"/>
    </x:row>
    <x:row r="979" ht="23" customHeight="1">
      <x:c r="A979" s="9"/>
      <x:c r="B979" s="10"/>
      <x:c r="C979" s="14"/>
      <x:c r="D979" s="9"/>
      <x:c r="E979" s="9"/>
      <x:c r="F979" s="9"/>
      <x:c r="G979" s="9" t="str">
        <x:f>IF(A979="","",INDEX('입고대장'!$M$7:$M$1006,MATCH(A979,'입고대장'!$A$7:$A$1006,0)))</x:f>
      </x:c>
      <x:c r="H979" s="9"/>
      <x:c r="I979" s="2"/>
      <x:c r="J979" s="2"/>
      <x:c r="K979" s="2"/>
      <x:c r="L979" s="2"/>
      <x:c r="M979" s="2"/>
      <x:c r="N979" s="2"/>
    </x:row>
    <x:row r="980" ht="23" customHeight="1">
      <x:c r="A980" s="9"/>
      <x:c r="B980" s="10"/>
      <x:c r="C980" s="14"/>
      <x:c r="D980" s="9"/>
      <x:c r="E980" s="9"/>
      <x:c r="F980" s="9"/>
      <x:c r="G980" s="9" t="str">
        <x:f>IF(A980="","",INDEX('입고대장'!$M$7:$M$1006,MATCH(A980,'입고대장'!$A$7:$A$1006,0)))</x:f>
      </x:c>
      <x:c r="H980" s="9"/>
      <x:c r="I980" s="2"/>
      <x:c r="J980" s="2"/>
      <x:c r="K980" s="2"/>
      <x:c r="L980" s="2"/>
      <x:c r="M980" s="2"/>
      <x:c r="N980" s="2"/>
    </x:row>
    <x:row r="981" ht="23" customHeight="1">
      <x:c r="A981" s="9"/>
      <x:c r="B981" s="10"/>
      <x:c r="C981" s="14"/>
      <x:c r="D981" s="9"/>
      <x:c r="E981" s="9"/>
      <x:c r="F981" s="9"/>
      <x:c r="G981" s="9" t="str">
        <x:f>IF(A981="","",INDEX('입고대장'!$M$7:$M$1006,MATCH(A981,'입고대장'!$A$7:$A$1006,0)))</x:f>
      </x:c>
      <x:c r="H981" s="9"/>
      <x:c r="I981" s="2"/>
      <x:c r="J981" s="2"/>
      <x:c r="K981" s="2"/>
      <x:c r="L981" s="2"/>
      <x:c r="M981" s="2"/>
      <x:c r="N981" s="2"/>
    </x:row>
    <x:row r="982" ht="23" customHeight="1">
      <x:c r="A982" s="9"/>
      <x:c r="B982" s="10"/>
      <x:c r="C982" s="14"/>
      <x:c r="D982" s="9"/>
      <x:c r="E982" s="9"/>
      <x:c r="F982" s="9"/>
      <x:c r="G982" s="9" t="str">
        <x:f>IF(A982="","",INDEX('입고대장'!$M$7:$M$1006,MATCH(A982,'입고대장'!$A$7:$A$1006,0)))</x:f>
      </x:c>
      <x:c r="H982" s="9"/>
      <x:c r="I982" s="2"/>
      <x:c r="J982" s="2"/>
      <x:c r="K982" s="2"/>
      <x:c r="L982" s="2"/>
      <x:c r="M982" s="2"/>
      <x:c r="N982" s="2"/>
    </x:row>
    <x:row r="983" ht="23" customHeight="1">
      <x:c r="A983" s="9"/>
      <x:c r="B983" s="10"/>
      <x:c r="C983" s="14"/>
      <x:c r="D983" s="9"/>
      <x:c r="E983" s="9"/>
      <x:c r="F983" s="9"/>
      <x:c r="G983" s="9" t="str">
        <x:f>IF(A983="","",INDEX('입고대장'!$M$7:$M$1006,MATCH(A983,'입고대장'!$A$7:$A$1006,0)))</x:f>
      </x:c>
      <x:c r="H983" s="9"/>
      <x:c r="I983" s="2"/>
      <x:c r="J983" s="2"/>
      <x:c r="K983" s="2"/>
      <x:c r="L983" s="2"/>
      <x:c r="M983" s="2"/>
      <x:c r="N983" s="2"/>
    </x:row>
    <x:row r="984" ht="23" customHeight="1">
      <x:c r="A984" s="9"/>
      <x:c r="B984" s="10"/>
      <x:c r="C984" s="14"/>
      <x:c r="D984" s="9"/>
      <x:c r="E984" s="9"/>
      <x:c r="F984" s="9"/>
      <x:c r="G984" s="9" t="str">
        <x:f>IF(A984="","",INDEX('입고대장'!$M$7:$M$1006,MATCH(A984,'입고대장'!$A$7:$A$1006,0)))</x:f>
      </x:c>
      <x:c r="H984" s="9"/>
      <x:c r="I984" s="2"/>
      <x:c r="J984" s="2"/>
      <x:c r="K984" s="2"/>
      <x:c r="L984" s="2"/>
      <x:c r="M984" s="2"/>
      <x:c r="N984" s="2"/>
    </x:row>
    <x:row r="985" ht="23" customHeight="1">
      <x:c r="A985" s="9"/>
      <x:c r="B985" s="10"/>
      <x:c r="C985" s="14"/>
      <x:c r="D985" s="9"/>
      <x:c r="E985" s="9"/>
      <x:c r="F985" s="9"/>
      <x:c r="G985" s="9" t="str">
        <x:f>IF(A985="","",INDEX('입고대장'!$M$7:$M$1006,MATCH(A985,'입고대장'!$A$7:$A$1006,0)))</x:f>
      </x:c>
      <x:c r="H985" s="9"/>
      <x:c r="I985" s="2"/>
      <x:c r="J985" s="2"/>
      <x:c r="K985" s="2"/>
      <x:c r="L985" s="2"/>
      <x:c r="M985" s="2"/>
      <x:c r="N985" s="2"/>
    </x:row>
    <x:row r="986" ht="23" customHeight="1">
      <x:c r="A986" s="9"/>
      <x:c r="B986" s="10"/>
      <x:c r="C986" s="14"/>
      <x:c r="D986" s="9"/>
      <x:c r="E986" s="9"/>
      <x:c r="F986" s="9"/>
      <x:c r="G986" s="9" t="str">
        <x:f>IF(A986="","",INDEX('입고대장'!$M$7:$M$1006,MATCH(A986,'입고대장'!$A$7:$A$1006,0)))</x:f>
      </x:c>
      <x:c r="H986" s="9"/>
      <x:c r="I986" s="2"/>
      <x:c r="J986" s="2"/>
      <x:c r="K986" s="2"/>
      <x:c r="L986" s="2"/>
      <x:c r="M986" s="2"/>
      <x:c r="N986" s="2"/>
    </x:row>
    <x:row r="987" ht="23" customHeight="1">
      <x:c r="A987" s="9"/>
      <x:c r="B987" s="10"/>
      <x:c r="C987" s="14"/>
      <x:c r="D987" s="9"/>
      <x:c r="E987" s="9"/>
      <x:c r="F987" s="9"/>
      <x:c r="G987" s="9" t="str">
        <x:f>IF(A987="","",INDEX('입고대장'!$M$7:$M$1006,MATCH(A987,'입고대장'!$A$7:$A$1006,0)))</x:f>
      </x:c>
      <x:c r="H987" s="9"/>
      <x:c r="I987" s="2"/>
      <x:c r="J987" s="2"/>
      <x:c r="K987" s="2"/>
      <x:c r="L987" s="2"/>
      <x:c r="M987" s="2"/>
      <x:c r="N987" s="2"/>
    </x:row>
    <x:row r="988" ht="23" customHeight="1">
      <x:c r="A988" s="9"/>
      <x:c r="B988" s="10"/>
      <x:c r="C988" s="14"/>
      <x:c r="D988" s="9"/>
      <x:c r="E988" s="9"/>
      <x:c r="F988" s="9"/>
      <x:c r="G988" s="9" t="str">
        <x:f>IF(A988="","",INDEX('입고대장'!$M$7:$M$1006,MATCH(A988,'입고대장'!$A$7:$A$1006,0)))</x:f>
      </x:c>
      <x:c r="H988" s="9"/>
      <x:c r="I988" s="2"/>
      <x:c r="J988" s="2"/>
      <x:c r="K988" s="2"/>
      <x:c r="L988" s="2"/>
      <x:c r="M988" s="2"/>
      <x:c r="N988" s="2"/>
    </x:row>
    <x:row r="989" ht="23" customHeight="1">
      <x:c r="A989" s="9"/>
      <x:c r="B989" s="10"/>
      <x:c r="C989" s="14"/>
      <x:c r="D989" s="9"/>
      <x:c r="E989" s="9"/>
      <x:c r="F989" s="9"/>
      <x:c r="G989" s="9" t="str">
        <x:f>IF(A989="","",INDEX('입고대장'!$M$7:$M$1006,MATCH(A989,'입고대장'!$A$7:$A$1006,0)))</x:f>
      </x:c>
      <x:c r="H989" s="9"/>
      <x:c r="I989" s="2"/>
      <x:c r="J989" s="2"/>
      <x:c r="K989" s="2"/>
      <x:c r="L989" s="2"/>
      <x:c r="M989" s="2"/>
      <x:c r="N989" s="2"/>
    </x:row>
    <x:row r="990" ht="23" customHeight="1">
      <x:c r="A990" s="9"/>
      <x:c r="B990" s="10"/>
      <x:c r="C990" s="14"/>
      <x:c r="D990" s="9"/>
      <x:c r="E990" s="9"/>
      <x:c r="F990" s="9"/>
      <x:c r="G990" s="9" t="str">
        <x:f>IF(A990="","",INDEX('입고대장'!$M$7:$M$1006,MATCH(A990,'입고대장'!$A$7:$A$1006,0)))</x:f>
      </x:c>
      <x:c r="H990" s="9"/>
      <x:c r="I990" s="2"/>
      <x:c r="J990" s="2"/>
      <x:c r="K990" s="2"/>
      <x:c r="L990" s="2"/>
      <x:c r="M990" s="2"/>
      <x:c r="N990" s="2"/>
    </x:row>
    <x:row r="991" ht="23" customHeight="1">
      <x:c r="A991" s="9"/>
      <x:c r="B991" s="10"/>
      <x:c r="C991" s="14"/>
      <x:c r="D991" s="9"/>
      <x:c r="E991" s="9"/>
      <x:c r="F991" s="9"/>
      <x:c r="G991" s="9" t="str">
        <x:f>IF(A991="","",INDEX('입고대장'!$M$7:$M$1006,MATCH(A991,'입고대장'!$A$7:$A$1006,0)))</x:f>
      </x:c>
      <x:c r="H991" s="9"/>
      <x:c r="I991" s="2"/>
      <x:c r="J991" s="2"/>
      <x:c r="K991" s="2"/>
      <x:c r="L991" s="2"/>
      <x:c r="M991" s="2"/>
      <x:c r="N991" s="2"/>
    </x:row>
    <x:row r="992" ht="23" customHeight="1">
      <x:c r="A992" s="9"/>
      <x:c r="B992" s="10"/>
      <x:c r="C992" s="14"/>
      <x:c r="D992" s="9"/>
      <x:c r="E992" s="9"/>
      <x:c r="F992" s="9"/>
      <x:c r="G992" s="9" t="str">
        <x:f>IF(A992="","",INDEX('입고대장'!$M$7:$M$1006,MATCH(A992,'입고대장'!$A$7:$A$1006,0)))</x:f>
      </x:c>
      <x:c r="H992" s="9"/>
      <x:c r="I992" s="2"/>
      <x:c r="J992" s="2"/>
      <x:c r="K992" s="2"/>
      <x:c r="L992" s="2"/>
      <x:c r="M992" s="2"/>
      <x:c r="N992" s="2"/>
    </x:row>
    <x:row r="993" ht="23" customHeight="1">
      <x:c r="A993" s="9"/>
      <x:c r="B993" s="10"/>
      <x:c r="C993" s="14"/>
      <x:c r="D993" s="9"/>
      <x:c r="E993" s="9"/>
      <x:c r="F993" s="9"/>
      <x:c r="G993" s="9" t="str">
        <x:f>IF(A993="","",INDEX('입고대장'!$M$7:$M$1006,MATCH(A993,'입고대장'!$A$7:$A$1006,0)))</x:f>
      </x:c>
      <x:c r="H993" s="9"/>
      <x:c r="I993" s="2"/>
      <x:c r="J993" s="2"/>
      <x:c r="K993" s="2"/>
      <x:c r="L993" s="2"/>
      <x:c r="M993" s="2"/>
      <x:c r="N993" s="2"/>
    </x:row>
    <x:row r="994" ht="23" customHeight="1">
      <x:c r="A994" s="9"/>
      <x:c r="B994" s="10"/>
      <x:c r="C994" s="14"/>
      <x:c r="D994" s="9"/>
      <x:c r="E994" s="9"/>
      <x:c r="F994" s="9"/>
      <x:c r="G994" s="9" t="str">
        <x:f>IF(A994="","",INDEX('입고대장'!$M$7:$M$1006,MATCH(A994,'입고대장'!$A$7:$A$1006,0)))</x:f>
      </x:c>
      <x:c r="H994" s="9"/>
      <x:c r="I994" s="2"/>
      <x:c r="J994" s="2"/>
      <x:c r="K994" s="2"/>
      <x:c r="L994" s="2"/>
      <x:c r="M994" s="2"/>
      <x:c r="N994" s="2"/>
    </x:row>
    <x:row r="995" ht="23" customHeight="1">
      <x:c r="A995" s="9"/>
      <x:c r="B995" s="10"/>
      <x:c r="C995" s="14"/>
      <x:c r="D995" s="9"/>
      <x:c r="E995" s="9"/>
      <x:c r="F995" s="9"/>
      <x:c r="G995" s="9" t="str">
        <x:f>IF(A995="","",INDEX('입고대장'!$M$7:$M$1006,MATCH(A995,'입고대장'!$A$7:$A$1006,0)))</x:f>
      </x:c>
      <x:c r="H995" s="9"/>
      <x:c r="I995" s="2"/>
      <x:c r="J995" s="2"/>
      <x:c r="K995" s="2"/>
      <x:c r="L995" s="2"/>
      <x:c r="M995" s="2"/>
      <x:c r="N995" s="2"/>
    </x:row>
    <x:row r="996" ht="23" customHeight="1">
      <x:c r="A996" s="9"/>
      <x:c r="B996" s="10"/>
      <x:c r="C996" s="14"/>
      <x:c r="D996" s="9"/>
      <x:c r="E996" s="9"/>
      <x:c r="F996" s="9"/>
      <x:c r="G996" s="9" t="str">
        <x:f>IF(A996="","",INDEX('입고대장'!$M$7:$M$1006,MATCH(A996,'입고대장'!$A$7:$A$1006,0)))</x:f>
      </x:c>
      <x:c r="H996" s="9"/>
      <x:c r="I996" s="2"/>
      <x:c r="J996" s="2"/>
      <x:c r="K996" s="2"/>
      <x:c r="L996" s="2"/>
      <x:c r="M996" s="2"/>
      <x:c r="N996" s="2"/>
    </x:row>
    <x:row r="997" ht="23" customHeight="1">
      <x:c r="A997" s="9"/>
      <x:c r="B997" s="10"/>
      <x:c r="C997" s="14"/>
      <x:c r="D997" s="9"/>
      <x:c r="E997" s="9"/>
      <x:c r="F997" s="9"/>
      <x:c r="G997" s="9" t="str">
        <x:f>IF(A997="","",INDEX('입고대장'!$M$7:$M$1006,MATCH(A997,'입고대장'!$A$7:$A$1006,0)))</x:f>
      </x:c>
      <x:c r="H997" s="9"/>
      <x:c r="I997" s="2"/>
      <x:c r="J997" s="2"/>
      <x:c r="K997" s="2"/>
      <x:c r="L997" s="2"/>
      <x:c r="M997" s="2"/>
      <x:c r="N997" s="2"/>
    </x:row>
    <x:row r="998" ht="23" customHeight="1">
      <x:c r="A998" s="9"/>
      <x:c r="B998" s="10"/>
      <x:c r="C998" s="14"/>
      <x:c r="D998" s="9"/>
      <x:c r="E998" s="9"/>
      <x:c r="F998" s="9"/>
      <x:c r="G998" s="9" t="str">
        <x:f>IF(A998="","",INDEX('입고대장'!$M$7:$M$1006,MATCH(A998,'입고대장'!$A$7:$A$1006,0)))</x:f>
      </x:c>
      <x:c r="H998" s="9"/>
      <x:c r="I998" s="2"/>
      <x:c r="J998" s="2"/>
      <x:c r="K998" s="2"/>
      <x:c r="L998" s="2"/>
      <x:c r="M998" s="2"/>
      <x:c r="N998" s="2"/>
    </x:row>
    <x:row r="999" ht="23" customHeight="1">
      <x:c r="A999" s="9"/>
      <x:c r="B999" s="10"/>
      <x:c r="C999" s="14"/>
      <x:c r="D999" s="9"/>
      <x:c r="E999" s="9"/>
      <x:c r="F999" s="9"/>
      <x:c r="G999" s="9" t="str">
        <x:f>IF(A999="","",INDEX('입고대장'!$M$7:$M$1006,MATCH(A999,'입고대장'!$A$7:$A$1006,0)))</x:f>
      </x:c>
      <x:c r="H999" s="9"/>
      <x:c r="I999" s="2"/>
      <x:c r="J999" s="2"/>
      <x:c r="K999" s="2"/>
      <x:c r="L999" s="2"/>
      <x:c r="M999" s="2"/>
      <x:c r="N999" s="2"/>
    </x:row>
    <x:row r="1000" ht="23" customHeight="1">
      <x:c r="A1000" s="9"/>
      <x:c r="B1000" s="10"/>
      <x:c r="C1000" s="14"/>
      <x:c r="D1000" s="9"/>
      <x:c r="E1000" s="9"/>
      <x:c r="F1000" s="9"/>
      <x:c r="G1000" s="9" t="str">
        <x:f>IF(A1000="","",INDEX('입고대장'!$M$7:$M$1006,MATCH(A1000,'입고대장'!$A$7:$A$1006,0)))</x:f>
      </x:c>
      <x:c r="H1000" s="9"/>
      <x:c r="I1000" s="2"/>
      <x:c r="J1000" s="2"/>
      <x:c r="K1000" s="2"/>
      <x:c r="L1000" s="2"/>
      <x:c r="M1000" s="2"/>
      <x:c r="N1000" s="2"/>
    </x:row>
    <x:row r="1001" ht="23" customHeight="1">
      <x:c r="A1001" s="9"/>
      <x:c r="B1001" s="10"/>
      <x:c r="C1001" s="14"/>
      <x:c r="D1001" s="9"/>
      <x:c r="E1001" s="9"/>
      <x:c r="F1001" s="9"/>
      <x:c r="G1001" s="9" t="str">
        <x:f>IF(A1001="","",INDEX('입고대장'!$M$7:$M$1006,MATCH(A1001,'입고대장'!$A$7:$A$1006,0)))</x:f>
      </x:c>
      <x:c r="H1001" s="9"/>
      <x:c r="I1001" s="2"/>
      <x:c r="J1001" s="2"/>
      <x:c r="K1001" s="2"/>
      <x:c r="L1001" s="2"/>
      <x:c r="M1001" s="2"/>
      <x:c r="N1001" s="2"/>
    </x:row>
    <x:row r="1002" ht="23" customHeight="1">
      <x:c r="A1002" s="9"/>
      <x:c r="B1002" s="10"/>
      <x:c r="C1002" s="14"/>
      <x:c r="D1002" s="9"/>
      <x:c r="E1002" s="9"/>
      <x:c r="F1002" s="9"/>
      <x:c r="G1002" s="9" t="str">
        <x:f>IF(A1002="","",INDEX('입고대장'!$M$7:$M$1006,MATCH(A1002,'입고대장'!$A$7:$A$1006,0)))</x:f>
      </x:c>
      <x:c r="H1002" s="9"/>
      <x:c r="I1002" s="2"/>
      <x:c r="J1002" s="2"/>
      <x:c r="K1002" s="2"/>
      <x:c r="L1002" s="2"/>
      <x:c r="M1002" s="2"/>
      <x:c r="N1002" s="2"/>
    </x:row>
    <x:row r="1003" ht="23" customHeight="1">
      <x:c r="A1003" s="9"/>
      <x:c r="B1003" s="10"/>
      <x:c r="C1003" s="14"/>
      <x:c r="D1003" s="9"/>
      <x:c r="E1003" s="9"/>
      <x:c r="F1003" s="9"/>
      <x:c r="G1003" s="9" t="str">
        <x:f>IF(A1003="","",INDEX('입고대장'!$M$7:$M$1006,MATCH(A1003,'입고대장'!$A$7:$A$1006,0)))</x:f>
      </x:c>
      <x:c r="H1003" s="9"/>
      <x:c r="I1003" s="2"/>
      <x:c r="J1003" s="2"/>
      <x:c r="K1003" s="2"/>
      <x:c r="L1003" s="2"/>
      <x:c r="M1003" s="2"/>
      <x:c r="N1003" s="2"/>
    </x:row>
    <x:row r="1004" ht="23" customHeight="1">
      <x:c r="A1004" s="9"/>
      <x:c r="B1004" s="10"/>
      <x:c r="C1004" s="14"/>
      <x:c r="D1004" s="9"/>
      <x:c r="E1004" s="9"/>
      <x:c r="F1004" s="9"/>
      <x:c r="G1004" s="9" t="str">
        <x:f>IF(A1004="","",INDEX('입고대장'!$M$7:$M$1006,MATCH(A1004,'입고대장'!$A$7:$A$1006,0)))</x:f>
      </x:c>
      <x:c r="H1004" s="9"/>
      <x:c r="I1004" s="2"/>
      <x:c r="J1004" s="2"/>
      <x:c r="K1004" s="2"/>
      <x:c r="L1004" s="2"/>
      <x:c r="M1004" s="2"/>
      <x:c r="N1004" s="2"/>
    </x:row>
    <x:row r="1005" ht="23" customHeight="1">
      <x:c r="A1005" s="9"/>
      <x:c r="B1005" s="10"/>
      <x:c r="C1005" s="14"/>
      <x:c r="D1005" s="9"/>
      <x:c r="E1005" s="9"/>
      <x:c r="F1005" s="9"/>
      <x:c r="G1005" s="9" t="str">
        <x:f>IF(A1005="","",INDEX('입고대장'!$M$7:$M$1006,MATCH(A1005,'입고대장'!$A$7:$A$1006,0)))</x:f>
      </x:c>
      <x:c r="H1005" s="9"/>
      <x:c r="I1005" s="2"/>
      <x:c r="J1005" s="2"/>
      <x:c r="K1005" s="2"/>
      <x:c r="L1005" s="2"/>
      <x:c r="M1005" s="2"/>
      <x:c r="N1005" s="2"/>
    </x:row>
    <x:row r="1006" ht="23" customHeight="1">
      <x:c r="A1006" s="9"/>
      <x:c r="B1006" s="10"/>
      <x:c r="C1006" s="14"/>
      <x:c r="D1006" s="9"/>
      <x:c r="E1006" s="9"/>
      <x:c r="F1006" s="9"/>
      <x:c r="G1006" s="9" t="str">
        <x:f>IF(A1006="","",INDEX('입고대장'!$M$7:$M$1006,MATCH(A1006,'입고대장'!$A$7:$A$1006,0)))</x:f>
      </x:c>
      <x:c r="H1006" s="9"/>
      <x:c r="I1006" s="2"/>
      <x:c r="J1006" s="2"/>
      <x:c r="K1006" s="2"/>
      <x:c r="L1006" s="2"/>
      <x:c r="M1006" s="2"/>
      <x:c r="N1006" s="2"/>
    </x:row>
  </x:sheetData>
  <x:pageMargins left="0.7" right="0.7" top="0.75" bottom="0.75" header="0.3" footer="0.3"/>
</x:worksheet>
</file>